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klem\Desktop\ESILV_A5\Fracture_Mechanic\Projet\"/>
    </mc:Choice>
  </mc:AlternateContent>
  <xr:revisionPtr revIDLastSave="0" documentId="13_ncr:1_{4F0EE943-96CF-4A2E-AE0D-6A76578FF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otonic-0-degree (version 2)." sheetId="1" r:id="rId1"/>
    <sheet name="Nanomaterial_TD3" sheetId="2" r:id="rId2"/>
    <sheet name="For_Abaqus" sheetId="3" r:id="rId3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17" i="1" l="1"/>
  <c r="L2617" i="1"/>
  <c r="G3" i="1"/>
  <c r="E514" i="1"/>
  <c r="C3" i="1"/>
  <c r="G514" i="1"/>
  <c r="H514" i="1"/>
  <c r="K514" i="1"/>
  <c r="J4" i="1"/>
  <c r="E8" i="1"/>
  <c r="G8" i="1"/>
  <c r="H8" i="1"/>
  <c r="K8" i="1"/>
  <c r="E9" i="1"/>
  <c r="G9" i="1"/>
  <c r="H9" i="1"/>
  <c r="K9" i="1"/>
  <c r="E10" i="1"/>
  <c r="G10" i="1"/>
  <c r="H10" i="1"/>
  <c r="K10" i="1"/>
  <c r="E11" i="1"/>
  <c r="G11" i="1"/>
  <c r="H11" i="1"/>
  <c r="K11" i="1"/>
  <c r="E12" i="1"/>
  <c r="G12" i="1"/>
  <c r="H12" i="1"/>
  <c r="K12" i="1"/>
  <c r="E13" i="1"/>
  <c r="G13" i="1"/>
  <c r="H13" i="1"/>
  <c r="K13" i="1"/>
  <c r="E14" i="1"/>
  <c r="G14" i="1"/>
  <c r="H14" i="1"/>
  <c r="K14" i="1"/>
  <c r="E15" i="1"/>
  <c r="G15" i="1"/>
  <c r="H15" i="1"/>
  <c r="K15" i="1"/>
  <c r="E16" i="1"/>
  <c r="G16" i="1"/>
  <c r="H16" i="1"/>
  <c r="K16" i="1"/>
  <c r="E17" i="1"/>
  <c r="G17" i="1"/>
  <c r="H17" i="1"/>
  <c r="K17" i="1"/>
  <c r="E18" i="1"/>
  <c r="G18" i="1"/>
  <c r="H18" i="1"/>
  <c r="K18" i="1"/>
  <c r="E19" i="1"/>
  <c r="G19" i="1"/>
  <c r="H19" i="1"/>
  <c r="K19" i="1"/>
  <c r="E20" i="1"/>
  <c r="G20" i="1"/>
  <c r="H20" i="1"/>
  <c r="K20" i="1"/>
  <c r="E21" i="1"/>
  <c r="G21" i="1"/>
  <c r="H21" i="1"/>
  <c r="K21" i="1"/>
  <c r="E22" i="1"/>
  <c r="G22" i="1"/>
  <c r="H22" i="1"/>
  <c r="K22" i="1"/>
  <c r="E23" i="1"/>
  <c r="G23" i="1"/>
  <c r="H23" i="1"/>
  <c r="K23" i="1"/>
  <c r="E24" i="1"/>
  <c r="G24" i="1"/>
  <c r="H24" i="1"/>
  <c r="K24" i="1"/>
  <c r="E25" i="1"/>
  <c r="G25" i="1"/>
  <c r="H25" i="1"/>
  <c r="K25" i="1"/>
  <c r="E26" i="1"/>
  <c r="G26" i="1"/>
  <c r="H26" i="1"/>
  <c r="K26" i="1"/>
  <c r="E27" i="1"/>
  <c r="G27" i="1"/>
  <c r="H27" i="1"/>
  <c r="K27" i="1"/>
  <c r="E28" i="1"/>
  <c r="G28" i="1"/>
  <c r="H28" i="1"/>
  <c r="K28" i="1"/>
  <c r="E29" i="1"/>
  <c r="G29" i="1"/>
  <c r="H29" i="1"/>
  <c r="K29" i="1"/>
  <c r="E30" i="1"/>
  <c r="G30" i="1"/>
  <c r="H30" i="1"/>
  <c r="K30" i="1"/>
  <c r="E31" i="1"/>
  <c r="G31" i="1"/>
  <c r="H31" i="1"/>
  <c r="K31" i="1"/>
  <c r="E32" i="1"/>
  <c r="G32" i="1"/>
  <c r="H32" i="1"/>
  <c r="K32" i="1"/>
  <c r="E33" i="1"/>
  <c r="G33" i="1"/>
  <c r="H33" i="1"/>
  <c r="K33" i="1"/>
  <c r="E34" i="1"/>
  <c r="G34" i="1"/>
  <c r="H34" i="1"/>
  <c r="K34" i="1"/>
  <c r="E35" i="1"/>
  <c r="G35" i="1"/>
  <c r="H35" i="1"/>
  <c r="K35" i="1"/>
  <c r="E36" i="1"/>
  <c r="G36" i="1"/>
  <c r="H36" i="1"/>
  <c r="K36" i="1"/>
  <c r="E37" i="1"/>
  <c r="G37" i="1"/>
  <c r="H37" i="1"/>
  <c r="K37" i="1"/>
  <c r="E38" i="1"/>
  <c r="G38" i="1"/>
  <c r="H38" i="1"/>
  <c r="K38" i="1"/>
  <c r="E39" i="1"/>
  <c r="G39" i="1"/>
  <c r="H39" i="1"/>
  <c r="K39" i="1"/>
  <c r="E40" i="1"/>
  <c r="G40" i="1"/>
  <c r="H40" i="1"/>
  <c r="K40" i="1"/>
  <c r="E41" i="1"/>
  <c r="G41" i="1"/>
  <c r="H41" i="1"/>
  <c r="K41" i="1"/>
  <c r="E42" i="1"/>
  <c r="G42" i="1"/>
  <c r="H42" i="1"/>
  <c r="K42" i="1"/>
  <c r="E43" i="1"/>
  <c r="G43" i="1"/>
  <c r="H43" i="1"/>
  <c r="K43" i="1"/>
  <c r="E44" i="1"/>
  <c r="G44" i="1"/>
  <c r="H44" i="1"/>
  <c r="K44" i="1"/>
  <c r="E45" i="1"/>
  <c r="G45" i="1"/>
  <c r="H45" i="1"/>
  <c r="K45" i="1"/>
  <c r="E46" i="1"/>
  <c r="G46" i="1"/>
  <c r="H46" i="1"/>
  <c r="K46" i="1"/>
  <c r="E47" i="1"/>
  <c r="G47" i="1"/>
  <c r="H47" i="1"/>
  <c r="K47" i="1"/>
  <c r="E48" i="1"/>
  <c r="G48" i="1"/>
  <c r="H48" i="1"/>
  <c r="K48" i="1"/>
  <c r="E49" i="1"/>
  <c r="G49" i="1"/>
  <c r="H49" i="1"/>
  <c r="K49" i="1"/>
  <c r="E50" i="1"/>
  <c r="G50" i="1"/>
  <c r="H50" i="1"/>
  <c r="K50" i="1"/>
  <c r="E51" i="1"/>
  <c r="G51" i="1"/>
  <c r="H51" i="1"/>
  <c r="K51" i="1"/>
  <c r="E52" i="1"/>
  <c r="G52" i="1"/>
  <c r="H52" i="1"/>
  <c r="K52" i="1"/>
  <c r="E53" i="1"/>
  <c r="G53" i="1"/>
  <c r="H53" i="1"/>
  <c r="K53" i="1"/>
  <c r="E54" i="1"/>
  <c r="G54" i="1"/>
  <c r="H54" i="1"/>
  <c r="K54" i="1"/>
  <c r="E55" i="1"/>
  <c r="G55" i="1"/>
  <c r="H55" i="1"/>
  <c r="K55" i="1"/>
  <c r="E56" i="1"/>
  <c r="G56" i="1"/>
  <c r="H56" i="1"/>
  <c r="K56" i="1"/>
  <c r="E57" i="1"/>
  <c r="G57" i="1"/>
  <c r="H57" i="1"/>
  <c r="K57" i="1"/>
  <c r="E58" i="1"/>
  <c r="G58" i="1"/>
  <c r="H58" i="1"/>
  <c r="K58" i="1"/>
  <c r="E59" i="1"/>
  <c r="G59" i="1"/>
  <c r="H59" i="1"/>
  <c r="K59" i="1"/>
  <c r="E60" i="1"/>
  <c r="G60" i="1"/>
  <c r="H60" i="1"/>
  <c r="K60" i="1"/>
  <c r="E61" i="1"/>
  <c r="G61" i="1"/>
  <c r="H61" i="1"/>
  <c r="K61" i="1"/>
  <c r="E62" i="1"/>
  <c r="G62" i="1"/>
  <c r="H62" i="1"/>
  <c r="K62" i="1"/>
  <c r="E63" i="1"/>
  <c r="G63" i="1"/>
  <c r="H63" i="1"/>
  <c r="K63" i="1"/>
  <c r="E64" i="1"/>
  <c r="G64" i="1"/>
  <c r="H64" i="1"/>
  <c r="K64" i="1"/>
  <c r="E65" i="1"/>
  <c r="G65" i="1"/>
  <c r="H65" i="1"/>
  <c r="K65" i="1"/>
  <c r="E66" i="1"/>
  <c r="G66" i="1"/>
  <c r="H66" i="1"/>
  <c r="K66" i="1"/>
  <c r="E67" i="1"/>
  <c r="G67" i="1"/>
  <c r="H67" i="1"/>
  <c r="K67" i="1"/>
  <c r="E68" i="1"/>
  <c r="G68" i="1"/>
  <c r="H68" i="1"/>
  <c r="K68" i="1"/>
  <c r="E69" i="1"/>
  <c r="G69" i="1"/>
  <c r="H69" i="1"/>
  <c r="K69" i="1"/>
  <c r="E70" i="1"/>
  <c r="G70" i="1"/>
  <c r="H70" i="1"/>
  <c r="K70" i="1"/>
  <c r="E71" i="1"/>
  <c r="G71" i="1"/>
  <c r="H71" i="1"/>
  <c r="K71" i="1"/>
  <c r="E72" i="1"/>
  <c r="G72" i="1"/>
  <c r="H72" i="1"/>
  <c r="K72" i="1"/>
  <c r="E73" i="1"/>
  <c r="G73" i="1"/>
  <c r="H73" i="1"/>
  <c r="K73" i="1"/>
  <c r="E74" i="1"/>
  <c r="G74" i="1"/>
  <c r="H74" i="1"/>
  <c r="K74" i="1"/>
  <c r="E75" i="1"/>
  <c r="G75" i="1"/>
  <c r="H75" i="1"/>
  <c r="K75" i="1"/>
  <c r="E76" i="1"/>
  <c r="G76" i="1"/>
  <c r="H76" i="1"/>
  <c r="K76" i="1"/>
  <c r="E77" i="1"/>
  <c r="G77" i="1"/>
  <c r="H77" i="1"/>
  <c r="K77" i="1"/>
  <c r="E78" i="1"/>
  <c r="G78" i="1"/>
  <c r="H78" i="1"/>
  <c r="K78" i="1"/>
  <c r="E79" i="1"/>
  <c r="G79" i="1"/>
  <c r="H79" i="1"/>
  <c r="K79" i="1"/>
  <c r="E80" i="1"/>
  <c r="G80" i="1"/>
  <c r="H80" i="1"/>
  <c r="K80" i="1"/>
  <c r="E81" i="1"/>
  <c r="G81" i="1"/>
  <c r="H81" i="1"/>
  <c r="K81" i="1"/>
  <c r="E82" i="1"/>
  <c r="G82" i="1"/>
  <c r="H82" i="1"/>
  <c r="K82" i="1"/>
  <c r="E83" i="1"/>
  <c r="G83" i="1"/>
  <c r="H83" i="1"/>
  <c r="K83" i="1"/>
  <c r="E84" i="1"/>
  <c r="G84" i="1"/>
  <c r="H84" i="1"/>
  <c r="K84" i="1"/>
  <c r="E85" i="1"/>
  <c r="G85" i="1"/>
  <c r="H85" i="1"/>
  <c r="K85" i="1"/>
  <c r="E86" i="1"/>
  <c r="G86" i="1"/>
  <c r="H86" i="1"/>
  <c r="K86" i="1"/>
  <c r="E87" i="1"/>
  <c r="G87" i="1"/>
  <c r="H87" i="1"/>
  <c r="K87" i="1"/>
  <c r="E88" i="1"/>
  <c r="G88" i="1"/>
  <c r="H88" i="1"/>
  <c r="K88" i="1"/>
  <c r="E89" i="1"/>
  <c r="G89" i="1"/>
  <c r="H89" i="1"/>
  <c r="K89" i="1"/>
  <c r="E90" i="1"/>
  <c r="G90" i="1"/>
  <c r="H90" i="1"/>
  <c r="K90" i="1"/>
  <c r="E91" i="1"/>
  <c r="G91" i="1"/>
  <c r="H91" i="1"/>
  <c r="K91" i="1"/>
  <c r="E92" i="1"/>
  <c r="G92" i="1"/>
  <c r="H92" i="1"/>
  <c r="K92" i="1"/>
  <c r="E93" i="1"/>
  <c r="G93" i="1"/>
  <c r="H93" i="1"/>
  <c r="K93" i="1"/>
  <c r="E94" i="1"/>
  <c r="G94" i="1"/>
  <c r="H94" i="1"/>
  <c r="K94" i="1"/>
  <c r="E95" i="1"/>
  <c r="G95" i="1"/>
  <c r="H95" i="1"/>
  <c r="K95" i="1"/>
  <c r="E96" i="1"/>
  <c r="G96" i="1"/>
  <c r="H96" i="1"/>
  <c r="K96" i="1"/>
  <c r="E97" i="1"/>
  <c r="G97" i="1"/>
  <c r="H97" i="1"/>
  <c r="K97" i="1"/>
  <c r="E98" i="1"/>
  <c r="G98" i="1"/>
  <c r="H98" i="1"/>
  <c r="K98" i="1"/>
  <c r="E99" i="1"/>
  <c r="G99" i="1"/>
  <c r="H99" i="1"/>
  <c r="K99" i="1"/>
  <c r="E100" i="1"/>
  <c r="G100" i="1"/>
  <c r="H100" i="1"/>
  <c r="K100" i="1"/>
  <c r="E101" i="1"/>
  <c r="G101" i="1"/>
  <c r="H101" i="1"/>
  <c r="K101" i="1"/>
  <c r="E102" i="1"/>
  <c r="G102" i="1"/>
  <c r="H102" i="1"/>
  <c r="K102" i="1"/>
  <c r="E103" i="1"/>
  <c r="G103" i="1"/>
  <c r="H103" i="1"/>
  <c r="K103" i="1"/>
  <c r="E104" i="1"/>
  <c r="G104" i="1"/>
  <c r="H104" i="1"/>
  <c r="K104" i="1"/>
  <c r="E105" i="1"/>
  <c r="G105" i="1"/>
  <c r="H105" i="1"/>
  <c r="K105" i="1"/>
  <c r="E106" i="1"/>
  <c r="G106" i="1"/>
  <c r="H106" i="1"/>
  <c r="K106" i="1"/>
  <c r="E107" i="1"/>
  <c r="G107" i="1"/>
  <c r="H107" i="1"/>
  <c r="K107" i="1"/>
  <c r="E108" i="1"/>
  <c r="G108" i="1"/>
  <c r="H108" i="1"/>
  <c r="K108" i="1"/>
  <c r="E109" i="1"/>
  <c r="G109" i="1"/>
  <c r="H109" i="1"/>
  <c r="K109" i="1"/>
  <c r="E110" i="1"/>
  <c r="G110" i="1"/>
  <c r="H110" i="1"/>
  <c r="K110" i="1"/>
  <c r="E111" i="1"/>
  <c r="G111" i="1"/>
  <c r="H111" i="1"/>
  <c r="K111" i="1"/>
  <c r="E112" i="1"/>
  <c r="G112" i="1"/>
  <c r="H112" i="1"/>
  <c r="K112" i="1"/>
  <c r="E113" i="1"/>
  <c r="G113" i="1"/>
  <c r="H113" i="1"/>
  <c r="K113" i="1"/>
  <c r="E114" i="1"/>
  <c r="G114" i="1"/>
  <c r="H114" i="1"/>
  <c r="K114" i="1"/>
  <c r="E115" i="1"/>
  <c r="G115" i="1"/>
  <c r="H115" i="1"/>
  <c r="K115" i="1"/>
  <c r="E116" i="1"/>
  <c r="G116" i="1"/>
  <c r="H116" i="1"/>
  <c r="K116" i="1"/>
  <c r="E117" i="1"/>
  <c r="G117" i="1"/>
  <c r="H117" i="1"/>
  <c r="K117" i="1"/>
  <c r="E118" i="1"/>
  <c r="G118" i="1"/>
  <c r="H118" i="1"/>
  <c r="K118" i="1"/>
  <c r="E119" i="1"/>
  <c r="G119" i="1"/>
  <c r="H119" i="1"/>
  <c r="K119" i="1"/>
  <c r="E120" i="1"/>
  <c r="G120" i="1"/>
  <c r="H120" i="1"/>
  <c r="K120" i="1"/>
  <c r="E121" i="1"/>
  <c r="G121" i="1"/>
  <c r="H121" i="1"/>
  <c r="K121" i="1"/>
  <c r="E122" i="1"/>
  <c r="G122" i="1"/>
  <c r="H122" i="1"/>
  <c r="K122" i="1"/>
  <c r="E123" i="1"/>
  <c r="G123" i="1"/>
  <c r="H123" i="1"/>
  <c r="K123" i="1"/>
  <c r="E124" i="1"/>
  <c r="G124" i="1"/>
  <c r="H124" i="1"/>
  <c r="K124" i="1"/>
  <c r="E125" i="1"/>
  <c r="G125" i="1"/>
  <c r="H125" i="1"/>
  <c r="K125" i="1"/>
  <c r="E126" i="1"/>
  <c r="G126" i="1"/>
  <c r="H126" i="1"/>
  <c r="K126" i="1"/>
  <c r="E127" i="1"/>
  <c r="G127" i="1"/>
  <c r="H127" i="1"/>
  <c r="K127" i="1"/>
  <c r="E128" i="1"/>
  <c r="G128" i="1"/>
  <c r="H128" i="1"/>
  <c r="K128" i="1"/>
  <c r="E129" i="1"/>
  <c r="G129" i="1"/>
  <c r="H129" i="1"/>
  <c r="K129" i="1"/>
  <c r="E130" i="1"/>
  <c r="G130" i="1"/>
  <c r="H130" i="1"/>
  <c r="K130" i="1"/>
  <c r="E131" i="1"/>
  <c r="G131" i="1"/>
  <c r="H131" i="1"/>
  <c r="K131" i="1"/>
  <c r="E132" i="1"/>
  <c r="G132" i="1"/>
  <c r="H132" i="1"/>
  <c r="K132" i="1"/>
  <c r="E133" i="1"/>
  <c r="G133" i="1"/>
  <c r="H133" i="1"/>
  <c r="K133" i="1"/>
  <c r="E134" i="1"/>
  <c r="G134" i="1"/>
  <c r="H134" i="1"/>
  <c r="K134" i="1"/>
  <c r="E135" i="1"/>
  <c r="G135" i="1"/>
  <c r="H135" i="1"/>
  <c r="K135" i="1"/>
  <c r="E136" i="1"/>
  <c r="G136" i="1"/>
  <c r="H136" i="1"/>
  <c r="K136" i="1"/>
  <c r="E137" i="1"/>
  <c r="G137" i="1"/>
  <c r="H137" i="1"/>
  <c r="K137" i="1"/>
  <c r="E138" i="1"/>
  <c r="G138" i="1"/>
  <c r="H138" i="1"/>
  <c r="K138" i="1"/>
  <c r="E139" i="1"/>
  <c r="G139" i="1"/>
  <c r="H139" i="1"/>
  <c r="K139" i="1"/>
  <c r="E140" i="1"/>
  <c r="G140" i="1"/>
  <c r="H140" i="1"/>
  <c r="K140" i="1"/>
  <c r="E141" i="1"/>
  <c r="G141" i="1"/>
  <c r="H141" i="1"/>
  <c r="K141" i="1"/>
  <c r="E142" i="1"/>
  <c r="G142" i="1"/>
  <c r="H142" i="1"/>
  <c r="K142" i="1"/>
  <c r="E143" i="1"/>
  <c r="G143" i="1"/>
  <c r="H143" i="1"/>
  <c r="K143" i="1"/>
  <c r="E144" i="1"/>
  <c r="G144" i="1"/>
  <c r="H144" i="1"/>
  <c r="K144" i="1"/>
  <c r="E145" i="1"/>
  <c r="G145" i="1"/>
  <c r="H145" i="1"/>
  <c r="K145" i="1"/>
  <c r="E146" i="1"/>
  <c r="G146" i="1"/>
  <c r="H146" i="1"/>
  <c r="K146" i="1"/>
  <c r="E147" i="1"/>
  <c r="G147" i="1"/>
  <c r="H147" i="1"/>
  <c r="K147" i="1"/>
  <c r="E148" i="1"/>
  <c r="G148" i="1"/>
  <c r="H148" i="1"/>
  <c r="K148" i="1"/>
  <c r="E149" i="1"/>
  <c r="G149" i="1"/>
  <c r="H149" i="1"/>
  <c r="K149" i="1"/>
  <c r="E150" i="1"/>
  <c r="G150" i="1"/>
  <c r="H150" i="1"/>
  <c r="K150" i="1"/>
  <c r="E151" i="1"/>
  <c r="G151" i="1"/>
  <c r="H151" i="1"/>
  <c r="K151" i="1"/>
  <c r="E152" i="1"/>
  <c r="G152" i="1"/>
  <c r="H152" i="1"/>
  <c r="K152" i="1"/>
  <c r="E153" i="1"/>
  <c r="G153" i="1"/>
  <c r="H153" i="1"/>
  <c r="K153" i="1"/>
  <c r="E154" i="1"/>
  <c r="G154" i="1"/>
  <c r="H154" i="1"/>
  <c r="K154" i="1"/>
  <c r="E155" i="1"/>
  <c r="G155" i="1"/>
  <c r="H155" i="1"/>
  <c r="K155" i="1"/>
  <c r="E156" i="1"/>
  <c r="G156" i="1"/>
  <c r="H156" i="1"/>
  <c r="K156" i="1"/>
  <c r="E157" i="1"/>
  <c r="G157" i="1"/>
  <c r="H157" i="1"/>
  <c r="K157" i="1"/>
  <c r="E158" i="1"/>
  <c r="G158" i="1"/>
  <c r="H158" i="1"/>
  <c r="K158" i="1"/>
  <c r="E159" i="1"/>
  <c r="G159" i="1"/>
  <c r="H159" i="1"/>
  <c r="K159" i="1"/>
  <c r="E160" i="1"/>
  <c r="G160" i="1"/>
  <c r="H160" i="1"/>
  <c r="K160" i="1"/>
  <c r="E161" i="1"/>
  <c r="G161" i="1"/>
  <c r="H161" i="1"/>
  <c r="K161" i="1"/>
  <c r="E162" i="1"/>
  <c r="G162" i="1"/>
  <c r="H162" i="1"/>
  <c r="K162" i="1"/>
  <c r="E163" i="1"/>
  <c r="G163" i="1"/>
  <c r="H163" i="1"/>
  <c r="K163" i="1"/>
  <c r="E164" i="1"/>
  <c r="G164" i="1"/>
  <c r="H164" i="1"/>
  <c r="K164" i="1"/>
  <c r="E165" i="1"/>
  <c r="G165" i="1"/>
  <c r="H165" i="1"/>
  <c r="K165" i="1"/>
  <c r="E166" i="1"/>
  <c r="G166" i="1"/>
  <c r="H166" i="1"/>
  <c r="K166" i="1"/>
  <c r="E167" i="1"/>
  <c r="G167" i="1"/>
  <c r="H167" i="1"/>
  <c r="K167" i="1"/>
  <c r="E168" i="1"/>
  <c r="G168" i="1"/>
  <c r="H168" i="1"/>
  <c r="K168" i="1"/>
  <c r="E169" i="1"/>
  <c r="G169" i="1"/>
  <c r="H169" i="1"/>
  <c r="K169" i="1"/>
  <c r="E170" i="1"/>
  <c r="G170" i="1"/>
  <c r="H170" i="1"/>
  <c r="K170" i="1"/>
  <c r="E171" i="1"/>
  <c r="G171" i="1"/>
  <c r="H171" i="1"/>
  <c r="K171" i="1"/>
  <c r="E172" i="1"/>
  <c r="G172" i="1"/>
  <c r="H172" i="1"/>
  <c r="K172" i="1"/>
  <c r="E173" i="1"/>
  <c r="G173" i="1"/>
  <c r="H173" i="1"/>
  <c r="K173" i="1"/>
  <c r="E174" i="1"/>
  <c r="G174" i="1"/>
  <c r="H174" i="1"/>
  <c r="K174" i="1"/>
  <c r="E175" i="1"/>
  <c r="G175" i="1"/>
  <c r="H175" i="1"/>
  <c r="K175" i="1"/>
  <c r="E176" i="1"/>
  <c r="G176" i="1"/>
  <c r="H176" i="1"/>
  <c r="K176" i="1"/>
  <c r="E177" i="1"/>
  <c r="G177" i="1"/>
  <c r="H177" i="1"/>
  <c r="K177" i="1"/>
  <c r="E178" i="1"/>
  <c r="G178" i="1"/>
  <c r="H178" i="1"/>
  <c r="K178" i="1"/>
  <c r="E179" i="1"/>
  <c r="G179" i="1"/>
  <c r="H179" i="1"/>
  <c r="K179" i="1"/>
  <c r="E180" i="1"/>
  <c r="G180" i="1"/>
  <c r="H180" i="1"/>
  <c r="K180" i="1"/>
  <c r="E181" i="1"/>
  <c r="G181" i="1"/>
  <c r="H181" i="1"/>
  <c r="K181" i="1"/>
  <c r="E182" i="1"/>
  <c r="G182" i="1"/>
  <c r="H182" i="1"/>
  <c r="K182" i="1"/>
  <c r="E183" i="1"/>
  <c r="G183" i="1"/>
  <c r="H183" i="1"/>
  <c r="K183" i="1"/>
  <c r="E184" i="1"/>
  <c r="G184" i="1"/>
  <c r="H184" i="1"/>
  <c r="K184" i="1"/>
  <c r="E185" i="1"/>
  <c r="G185" i="1"/>
  <c r="H185" i="1"/>
  <c r="K185" i="1"/>
  <c r="E186" i="1"/>
  <c r="G186" i="1"/>
  <c r="H186" i="1"/>
  <c r="K186" i="1"/>
  <c r="E187" i="1"/>
  <c r="G187" i="1"/>
  <c r="H187" i="1"/>
  <c r="K187" i="1"/>
  <c r="E188" i="1"/>
  <c r="G188" i="1"/>
  <c r="H188" i="1"/>
  <c r="K188" i="1"/>
  <c r="E189" i="1"/>
  <c r="G189" i="1"/>
  <c r="H189" i="1"/>
  <c r="K189" i="1"/>
  <c r="E190" i="1"/>
  <c r="G190" i="1"/>
  <c r="H190" i="1"/>
  <c r="K190" i="1"/>
  <c r="E191" i="1"/>
  <c r="G191" i="1"/>
  <c r="H191" i="1"/>
  <c r="K191" i="1"/>
  <c r="E192" i="1"/>
  <c r="G192" i="1"/>
  <c r="H192" i="1"/>
  <c r="K192" i="1"/>
  <c r="E193" i="1"/>
  <c r="G193" i="1"/>
  <c r="H193" i="1"/>
  <c r="K193" i="1"/>
  <c r="E194" i="1"/>
  <c r="G194" i="1"/>
  <c r="H194" i="1"/>
  <c r="K194" i="1"/>
  <c r="E195" i="1"/>
  <c r="G195" i="1"/>
  <c r="H195" i="1"/>
  <c r="K195" i="1"/>
  <c r="E196" i="1"/>
  <c r="G196" i="1"/>
  <c r="H196" i="1"/>
  <c r="K196" i="1"/>
  <c r="E197" i="1"/>
  <c r="G197" i="1"/>
  <c r="H197" i="1"/>
  <c r="K197" i="1"/>
  <c r="E198" i="1"/>
  <c r="G198" i="1"/>
  <c r="H198" i="1"/>
  <c r="K198" i="1"/>
  <c r="E199" i="1"/>
  <c r="G199" i="1"/>
  <c r="H199" i="1"/>
  <c r="K199" i="1"/>
  <c r="E200" i="1"/>
  <c r="G200" i="1"/>
  <c r="H200" i="1"/>
  <c r="K200" i="1"/>
  <c r="E201" i="1"/>
  <c r="G201" i="1"/>
  <c r="H201" i="1"/>
  <c r="K201" i="1"/>
  <c r="E202" i="1"/>
  <c r="G202" i="1"/>
  <c r="H202" i="1"/>
  <c r="K202" i="1"/>
  <c r="E203" i="1"/>
  <c r="G203" i="1"/>
  <c r="H203" i="1"/>
  <c r="K203" i="1"/>
  <c r="E204" i="1"/>
  <c r="G204" i="1"/>
  <c r="H204" i="1"/>
  <c r="K204" i="1"/>
  <c r="E205" i="1"/>
  <c r="G205" i="1"/>
  <c r="H205" i="1"/>
  <c r="K205" i="1"/>
  <c r="E206" i="1"/>
  <c r="G206" i="1"/>
  <c r="H206" i="1"/>
  <c r="K206" i="1"/>
  <c r="E207" i="1"/>
  <c r="G207" i="1"/>
  <c r="H207" i="1"/>
  <c r="K207" i="1"/>
  <c r="E208" i="1"/>
  <c r="G208" i="1"/>
  <c r="H208" i="1"/>
  <c r="K208" i="1"/>
  <c r="E209" i="1"/>
  <c r="G209" i="1"/>
  <c r="H209" i="1"/>
  <c r="K209" i="1"/>
  <c r="E210" i="1"/>
  <c r="G210" i="1"/>
  <c r="H210" i="1"/>
  <c r="K210" i="1"/>
  <c r="E211" i="1"/>
  <c r="G211" i="1"/>
  <c r="H211" i="1"/>
  <c r="K211" i="1"/>
  <c r="E212" i="1"/>
  <c r="G212" i="1"/>
  <c r="H212" i="1"/>
  <c r="K212" i="1"/>
  <c r="E213" i="1"/>
  <c r="G213" i="1"/>
  <c r="H213" i="1"/>
  <c r="K213" i="1"/>
  <c r="E214" i="1"/>
  <c r="G214" i="1"/>
  <c r="H214" i="1"/>
  <c r="K214" i="1"/>
  <c r="E215" i="1"/>
  <c r="G215" i="1"/>
  <c r="H215" i="1"/>
  <c r="K215" i="1"/>
  <c r="E216" i="1"/>
  <c r="G216" i="1"/>
  <c r="H216" i="1"/>
  <c r="K216" i="1"/>
  <c r="E217" i="1"/>
  <c r="G217" i="1"/>
  <c r="H217" i="1"/>
  <c r="K217" i="1"/>
  <c r="E218" i="1"/>
  <c r="G218" i="1"/>
  <c r="H218" i="1"/>
  <c r="K218" i="1"/>
  <c r="E219" i="1"/>
  <c r="G219" i="1"/>
  <c r="H219" i="1"/>
  <c r="K219" i="1"/>
  <c r="E220" i="1"/>
  <c r="G220" i="1"/>
  <c r="H220" i="1"/>
  <c r="K220" i="1"/>
  <c r="E221" i="1"/>
  <c r="G221" i="1"/>
  <c r="H221" i="1"/>
  <c r="K221" i="1"/>
  <c r="E222" i="1"/>
  <c r="G222" i="1"/>
  <c r="H222" i="1"/>
  <c r="K222" i="1"/>
  <c r="E223" i="1"/>
  <c r="G223" i="1"/>
  <c r="H223" i="1"/>
  <c r="K223" i="1"/>
  <c r="E224" i="1"/>
  <c r="G224" i="1"/>
  <c r="H224" i="1"/>
  <c r="K224" i="1"/>
  <c r="E225" i="1"/>
  <c r="G225" i="1"/>
  <c r="H225" i="1"/>
  <c r="K225" i="1"/>
  <c r="E226" i="1"/>
  <c r="G226" i="1"/>
  <c r="H226" i="1"/>
  <c r="K226" i="1"/>
  <c r="E227" i="1"/>
  <c r="G227" i="1"/>
  <c r="H227" i="1"/>
  <c r="K227" i="1"/>
  <c r="E228" i="1"/>
  <c r="G228" i="1"/>
  <c r="H228" i="1"/>
  <c r="K228" i="1"/>
  <c r="E229" i="1"/>
  <c r="G229" i="1"/>
  <c r="H229" i="1"/>
  <c r="K229" i="1"/>
  <c r="E230" i="1"/>
  <c r="G230" i="1"/>
  <c r="H230" i="1"/>
  <c r="K230" i="1"/>
  <c r="E231" i="1"/>
  <c r="G231" i="1"/>
  <c r="H231" i="1"/>
  <c r="K231" i="1"/>
  <c r="E232" i="1"/>
  <c r="G232" i="1"/>
  <c r="H232" i="1"/>
  <c r="K232" i="1"/>
  <c r="E233" i="1"/>
  <c r="G233" i="1"/>
  <c r="H233" i="1"/>
  <c r="K233" i="1"/>
  <c r="E234" i="1"/>
  <c r="G234" i="1"/>
  <c r="H234" i="1"/>
  <c r="K234" i="1"/>
  <c r="E235" i="1"/>
  <c r="G235" i="1"/>
  <c r="H235" i="1"/>
  <c r="K235" i="1"/>
  <c r="E236" i="1"/>
  <c r="G236" i="1"/>
  <c r="H236" i="1"/>
  <c r="K236" i="1"/>
  <c r="E237" i="1"/>
  <c r="G237" i="1"/>
  <c r="H237" i="1"/>
  <c r="K237" i="1"/>
  <c r="E238" i="1"/>
  <c r="G238" i="1"/>
  <c r="H238" i="1"/>
  <c r="K238" i="1"/>
  <c r="E239" i="1"/>
  <c r="G239" i="1"/>
  <c r="H239" i="1"/>
  <c r="K239" i="1"/>
  <c r="E240" i="1"/>
  <c r="G240" i="1"/>
  <c r="H240" i="1"/>
  <c r="K240" i="1"/>
  <c r="E241" i="1"/>
  <c r="G241" i="1"/>
  <c r="H241" i="1"/>
  <c r="K241" i="1"/>
  <c r="E242" i="1"/>
  <c r="G242" i="1"/>
  <c r="H242" i="1"/>
  <c r="K242" i="1"/>
  <c r="E243" i="1"/>
  <c r="G243" i="1"/>
  <c r="H243" i="1"/>
  <c r="K243" i="1"/>
  <c r="E244" i="1"/>
  <c r="G244" i="1"/>
  <c r="H244" i="1"/>
  <c r="K244" i="1"/>
  <c r="E245" i="1"/>
  <c r="G245" i="1"/>
  <c r="H245" i="1"/>
  <c r="K245" i="1"/>
  <c r="E246" i="1"/>
  <c r="G246" i="1"/>
  <c r="H246" i="1"/>
  <c r="K246" i="1"/>
  <c r="E247" i="1"/>
  <c r="G247" i="1"/>
  <c r="H247" i="1"/>
  <c r="K247" i="1"/>
  <c r="E248" i="1"/>
  <c r="G248" i="1"/>
  <c r="H248" i="1"/>
  <c r="K248" i="1"/>
  <c r="E249" i="1"/>
  <c r="G249" i="1"/>
  <c r="H249" i="1"/>
  <c r="K249" i="1"/>
  <c r="E250" i="1"/>
  <c r="G250" i="1"/>
  <c r="H250" i="1"/>
  <c r="K250" i="1"/>
  <c r="E251" i="1"/>
  <c r="G251" i="1"/>
  <c r="H251" i="1"/>
  <c r="K251" i="1"/>
  <c r="E252" i="1"/>
  <c r="G252" i="1"/>
  <c r="H252" i="1"/>
  <c r="K252" i="1"/>
  <c r="E253" i="1"/>
  <c r="G253" i="1"/>
  <c r="H253" i="1"/>
  <c r="K253" i="1"/>
  <c r="E254" i="1"/>
  <c r="G254" i="1"/>
  <c r="H254" i="1"/>
  <c r="K254" i="1"/>
  <c r="E255" i="1"/>
  <c r="G255" i="1"/>
  <c r="H255" i="1"/>
  <c r="K255" i="1"/>
  <c r="E256" i="1"/>
  <c r="G256" i="1"/>
  <c r="H256" i="1"/>
  <c r="K256" i="1"/>
  <c r="E257" i="1"/>
  <c r="G257" i="1"/>
  <c r="H257" i="1"/>
  <c r="K257" i="1"/>
  <c r="E258" i="1"/>
  <c r="G258" i="1"/>
  <c r="H258" i="1"/>
  <c r="K258" i="1"/>
  <c r="E259" i="1"/>
  <c r="G259" i="1"/>
  <c r="H259" i="1"/>
  <c r="K259" i="1"/>
  <c r="E260" i="1"/>
  <c r="G260" i="1"/>
  <c r="H260" i="1"/>
  <c r="K260" i="1"/>
  <c r="E261" i="1"/>
  <c r="G261" i="1"/>
  <c r="H261" i="1"/>
  <c r="K261" i="1"/>
  <c r="E262" i="1"/>
  <c r="G262" i="1"/>
  <c r="H262" i="1"/>
  <c r="K262" i="1"/>
  <c r="E263" i="1"/>
  <c r="G263" i="1"/>
  <c r="H263" i="1"/>
  <c r="K263" i="1"/>
  <c r="E264" i="1"/>
  <c r="G264" i="1"/>
  <c r="H264" i="1"/>
  <c r="K264" i="1"/>
  <c r="E265" i="1"/>
  <c r="G265" i="1"/>
  <c r="H265" i="1"/>
  <c r="K265" i="1"/>
  <c r="E266" i="1"/>
  <c r="G266" i="1"/>
  <c r="H266" i="1"/>
  <c r="K266" i="1"/>
  <c r="E267" i="1"/>
  <c r="G267" i="1"/>
  <c r="H267" i="1"/>
  <c r="K267" i="1"/>
  <c r="E268" i="1"/>
  <c r="G268" i="1"/>
  <c r="H268" i="1"/>
  <c r="K268" i="1"/>
  <c r="E269" i="1"/>
  <c r="G269" i="1"/>
  <c r="H269" i="1"/>
  <c r="K269" i="1"/>
  <c r="E270" i="1"/>
  <c r="G270" i="1"/>
  <c r="H270" i="1"/>
  <c r="K270" i="1"/>
  <c r="E271" i="1"/>
  <c r="G271" i="1"/>
  <c r="H271" i="1"/>
  <c r="K271" i="1"/>
  <c r="E272" i="1"/>
  <c r="G272" i="1"/>
  <c r="H272" i="1"/>
  <c r="K272" i="1"/>
  <c r="E273" i="1"/>
  <c r="G273" i="1"/>
  <c r="H273" i="1"/>
  <c r="K273" i="1"/>
  <c r="E274" i="1"/>
  <c r="G274" i="1"/>
  <c r="H274" i="1"/>
  <c r="K274" i="1"/>
  <c r="E275" i="1"/>
  <c r="G275" i="1"/>
  <c r="H275" i="1"/>
  <c r="K275" i="1"/>
  <c r="E276" i="1"/>
  <c r="G276" i="1"/>
  <c r="H276" i="1"/>
  <c r="K276" i="1"/>
  <c r="E277" i="1"/>
  <c r="G277" i="1"/>
  <c r="H277" i="1"/>
  <c r="K277" i="1"/>
  <c r="E278" i="1"/>
  <c r="G278" i="1"/>
  <c r="H278" i="1"/>
  <c r="K278" i="1"/>
  <c r="E279" i="1"/>
  <c r="G279" i="1"/>
  <c r="H279" i="1"/>
  <c r="K279" i="1"/>
  <c r="E280" i="1"/>
  <c r="G280" i="1"/>
  <c r="H280" i="1"/>
  <c r="K280" i="1"/>
  <c r="E281" i="1"/>
  <c r="G281" i="1"/>
  <c r="H281" i="1"/>
  <c r="K281" i="1"/>
  <c r="E282" i="1"/>
  <c r="G282" i="1"/>
  <c r="H282" i="1"/>
  <c r="K282" i="1"/>
  <c r="E283" i="1"/>
  <c r="G283" i="1"/>
  <c r="H283" i="1"/>
  <c r="K283" i="1"/>
  <c r="E284" i="1"/>
  <c r="G284" i="1"/>
  <c r="H284" i="1"/>
  <c r="K284" i="1"/>
  <c r="E285" i="1"/>
  <c r="G285" i="1"/>
  <c r="H285" i="1"/>
  <c r="K285" i="1"/>
  <c r="E286" i="1"/>
  <c r="G286" i="1"/>
  <c r="H286" i="1"/>
  <c r="K286" i="1"/>
  <c r="E287" i="1"/>
  <c r="G287" i="1"/>
  <c r="H287" i="1"/>
  <c r="K287" i="1"/>
  <c r="E288" i="1"/>
  <c r="G288" i="1"/>
  <c r="H288" i="1"/>
  <c r="K288" i="1"/>
  <c r="E289" i="1"/>
  <c r="G289" i="1"/>
  <c r="H289" i="1"/>
  <c r="K289" i="1"/>
  <c r="E290" i="1"/>
  <c r="G290" i="1"/>
  <c r="H290" i="1"/>
  <c r="K290" i="1"/>
  <c r="E291" i="1"/>
  <c r="G291" i="1"/>
  <c r="H291" i="1"/>
  <c r="K291" i="1"/>
  <c r="E292" i="1"/>
  <c r="G292" i="1"/>
  <c r="H292" i="1"/>
  <c r="K292" i="1"/>
  <c r="E293" i="1"/>
  <c r="G293" i="1"/>
  <c r="H293" i="1"/>
  <c r="K293" i="1"/>
  <c r="E294" i="1"/>
  <c r="G294" i="1"/>
  <c r="H294" i="1"/>
  <c r="K294" i="1"/>
  <c r="E295" i="1"/>
  <c r="G295" i="1"/>
  <c r="H295" i="1"/>
  <c r="K295" i="1"/>
  <c r="E296" i="1"/>
  <c r="G296" i="1"/>
  <c r="H296" i="1"/>
  <c r="K296" i="1"/>
  <c r="E297" i="1"/>
  <c r="G297" i="1"/>
  <c r="H297" i="1"/>
  <c r="K297" i="1"/>
  <c r="E298" i="1"/>
  <c r="G298" i="1"/>
  <c r="H298" i="1"/>
  <c r="K298" i="1"/>
  <c r="E299" i="1"/>
  <c r="G299" i="1"/>
  <c r="H299" i="1"/>
  <c r="K299" i="1"/>
  <c r="E300" i="1"/>
  <c r="G300" i="1"/>
  <c r="H300" i="1"/>
  <c r="K300" i="1"/>
  <c r="E301" i="1"/>
  <c r="G301" i="1"/>
  <c r="H301" i="1"/>
  <c r="K301" i="1"/>
  <c r="E302" i="1"/>
  <c r="G302" i="1"/>
  <c r="H302" i="1"/>
  <c r="K302" i="1"/>
  <c r="E303" i="1"/>
  <c r="G303" i="1"/>
  <c r="H303" i="1"/>
  <c r="K303" i="1"/>
  <c r="E304" i="1"/>
  <c r="G304" i="1"/>
  <c r="H304" i="1"/>
  <c r="K304" i="1"/>
  <c r="E305" i="1"/>
  <c r="G305" i="1"/>
  <c r="H305" i="1"/>
  <c r="K305" i="1"/>
  <c r="E306" i="1"/>
  <c r="G306" i="1"/>
  <c r="H306" i="1"/>
  <c r="K306" i="1"/>
  <c r="E307" i="1"/>
  <c r="G307" i="1"/>
  <c r="H307" i="1"/>
  <c r="K307" i="1"/>
  <c r="E308" i="1"/>
  <c r="G308" i="1"/>
  <c r="H308" i="1"/>
  <c r="K308" i="1"/>
  <c r="E309" i="1"/>
  <c r="G309" i="1"/>
  <c r="H309" i="1"/>
  <c r="K309" i="1"/>
  <c r="E310" i="1"/>
  <c r="G310" i="1"/>
  <c r="H310" i="1"/>
  <c r="K310" i="1"/>
  <c r="E311" i="1"/>
  <c r="G311" i="1"/>
  <c r="H311" i="1"/>
  <c r="K311" i="1"/>
  <c r="E312" i="1"/>
  <c r="G312" i="1"/>
  <c r="H312" i="1"/>
  <c r="K312" i="1"/>
  <c r="E313" i="1"/>
  <c r="G313" i="1"/>
  <c r="H313" i="1"/>
  <c r="K313" i="1"/>
  <c r="E314" i="1"/>
  <c r="G314" i="1"/>
  <c r="H314" i="1"/>
  <c r="K314" i="1"/>
  <c r="E315" i="1"/>
  <c r="G315" i="1"/>
  <c r="H315" i="1"/>
  <c r="K315" i="1"/>
  <c r="E316" i="1"/>
  <c r="G316" i="1"/>
  <c r="H316" i="1"/>
  <c r="K316" i="1"/>
  <c r="E317" i="1"/>
  <c r="G317" i="1"/>
  <c r="H317" i="1"/>
  <c r="K317" i="1"/>
  <c r="E318" i="1"/>
  <c r="G318" i="1"/>
  <c r="H318" i="1"/>
  <c r="K318" i="1"/>
  <c r="E319" i="1"/>
  <c r="G319" i="1"/>
  <c r="H319" i="1"/>
  <c r="K319" i="1"/>
  <c r="E320" i="1"/>
  <c r="G320" i="1"/>
  <c r="H320" i="1"/>
  <c r="K320" i="1"/>
  <c r="E321" i="1"/>
  <c r="G321" i="1"/>
  <c r="H321" i="1"/>
  <c r="K321" i="1"/>
  <c r="E322" i="1"/>
  <c r="G322" i="1"/>
  <c r="H322" i="1"/>
  <c r="K322" i="1"/>
  <c r="E323" i="1"/>
  <c r="G323" i="1"/>
  <c r="H323" i="1"/>
  <c r="K323" i="1"/>
  <c r="E324" i="1"/>
  <c r="G324" i="1"/>
  <c r="H324" i="1"/>
  <c r="K324" i="1"/>
  <c r="E325" i="1"/>
  <c r="G325" i="1"/>
  <c r="H325" i="1"/>
  <c r="K325" i="1"/>
  <c r="E326" i="1"/>
  <c r="G326" i="1"/>
  <c r="H326" i="1"/>
  <c r="K326" i="1"/>
  <c r="E327" i="1"/>
  <c r="G327" i="1"/>
  <c r="H327" i="1"/>
  <c r="K327" i="1"/>
  <c r="E328" i="1"/>
  <c r="G328" i="1"/>
  <c r="H328" i="1"/>
  <c r="K328" i="1"/>
  <c r="E329" i="1"/>
  <c r="G329" i="1"/>
  <c r="H329" i="1"/>
  <c r="K329" i="1"/>
  <c r="E330" i="1"/>
  <c r="G330" i="1"/>
  <c r="H330" i="1"/>
  <c r="K330" i="1"/>
  <c r="E331" i="1"/>
  <c r="G331" i="1"/>
  <c r="H331" i="1"/>
  <c r="K331" i="1"/>
  <c r="E332" i="1"/>
  <c r="G332" i="1"/>
  <c r="H332" i="1"/>
  <c r="K332" i="1"/>
  <c r="E333" i="1"/>
  <c r="G333" i="1"/>
  <c r="H333" i="1"/>
  <c r="K333" i="1"/>
  <c r="E334" i="1"/>
  <c r="G334" i="1"/>
  <c r="H334" i="1"/>
  <c r="K334" i="1"/>
  <c r="E335" i="1"/>
  <c r="G335" i="1"/>
  <c r="H335" i="1"/>
  <c r="K335" i="1"/>
  <c r="E336" i="1"/>
  <c r="G336" i="1"/>
  <c r="H336" i="1"/>
  <c r="K336" i="1"/>
  <c r="E337" i="1"/>
  <c r="G337" i="1"/>
  <c r="H337" i="1"/>
  <c r="K337" i="1"/>
  <c r="E338" i="1"/>
  <c r="G338" i="1"/>
  <c r="H338" i="1"/>
  <c r="K338" i="1"/>
  <c r="E339" i="1"/>
  <c r="G339" i="1"/>
  <c r="H339" i="1"/>
  <c r="K339" i="1"/>
  <c r="E340" i="1"/>
  <c r="G340" i="1"/>
  <c r="H340" i="1"/>
  <c r="K340" i="1"/>
  <c r="E341" i="1"/>
  <c r="G341" i="1"/>
  <c r="H341" i="1"/>
  <c r="K341" i="1"/>
  <c r="E342" i="1"/>
  <c r="G342" i="1"/>
  <c r="H342" i="1"/>
  <c r="K342" i="1"/>
  <c r="E343" i="1"/>
  <c r="G343" i="1"/>
  <c r="H343" i="1"/>
  <c r="K343" i="1"/>
  <c r="E344" i="1"/>
  <c r="G344" i="1"/>
  <c r="H344" i="1"/>
  <c r="K344" i="1"/>
  <c r="E345" i="1"/>
  <c r="G345" i="1"/>
  <c r="H345" i="1"/>
  <c r="K345" i="1"/>
  <c r="E346" i="1"/>
  <c r="G346" i="1"/>
  <c r="H346" i="1"/>
  <c r="K346" i="1"/>
  <c r="E347" i="1"/>
  <c r="G347" i="1"/>
  <c r="H347" i="1"/>
  <c r="K347" i="1"/>
  <c r="E348" i="1"/>
  <c r="G348" i="1"/>
  <c r="H348" i="1"/>
  <c r="K348" i="1"/>
  <c r="E349" i="1"/>
  <c r="G349" i="1"/>
  <c r="H349" i="1"/>
  <c r="K349" i="1"/>
  <c r="E350" i="1"/>
  <c r="G350" i="1"/>
  <c r="H350" i="1"/>
  <c r="K350" i="1"/>
  <c r="E351" i="1"/>
  <c r="G351" i="1"/>
  <c r="H351" i="1"/>
  <c r="K351" i="1"/>
  <c r="E352" i="1"/>
  <c r="G352" i="1"/>
  <c r="H352" i="1"/>
  <c r="K352" i="1"/>
  <c r="E353" i="1"/>
  <c r="G353" i="1"/>
  <c r="H353" i="1"/>
  <c r="K353" i="1"/>
  <c r="E354" i="1"/>
  <c r="G354" i="1"/>
  <c r="H354" i="1"/>
  <c r="K354" i="1"/>
  <c r="E355" i="1"/>
  <c r="G355" i="1"/>
  <c r="H355" i="1"/>
  <c r="K355" i="1"/>
  <c r="E356" i="1"/>
  <c r="G356" i="1"/>
  <c r="H356" i="1"/>
  <c r="K356" i="1"/>
  <c r="E357" i="1"/>
  <c r="G357" i="1"/>
  <c r="H357" i="1"/>
  <c r="K357" i="1"/>
  <c r="E358" i="1"/>
  <c r="G358" i="1"/>
  <c r="H358" i="1"/>
  <c r="K358" i="1"/>
  <c r="E359" i="1"/>
  <c r="G359" i="1"/>
  <c r="H359" i="1"/>
  <c r="K359" i="1"/>
  <c r="E360" i="1"/>
  <c r="G360" i="1"/>
  <c r="H360" i="1"/>
  <c r="K360" i="1"/>
  <c r="E361" i="1"/>
  <c r="G361" i="1"/>
  <c r="H361" i="1"/>
  <c r="K361" i="1"/>
  <c r="E362" i="1"/>
  <c r="G362" i="1"/>
  <c r="H362" i="1"/>
  <c r="K362" i="1"/>
  <c r="E363" i="1"/>
  <c r="G363" i="1"/>
  <c r="H363" i="1"/>
  <c r="K363" i="1"/>
  <c r="E364" i="1"/>
  <c r="G364" i="1"/>
  <c r="H364" i="1"/>
  <c r="K364" i="1"/>
  <c r="E365" i="1"/>
  <c r="G365" i="1"/>
  <c r="H365" i="1"/>
  <c r="K365" i="1"/>
  <c r="E366" i="1"/>
  <c r="G366" i="1"/>
  <c r="H366" i="1"/>
  <c r="K366" i="1"/>
  <c r="E367" i="1"/>
  <c r="G367" i="1"/>
  <c r="H367" i="1"/>
  <c r="K367" i="1"/>
  <c r="E368" i="1"/>
  <c r="G368" i="1"/>
  <c r="H368" i="1"/>
  <c r="K368" i="1"/>
  <c r="E369" i="1"/>
  <c r="G369" i="1"/>
  <c r="H369" i="1"/>
  <c r="K369" i="1"/>
  <c r="E370" i="1"/>
  <c r="G370" i="1"/>
  <c r="H370" i="1"/>
  <c r="K370" i="1"/>
  <c r="E371" i="1"/>
  <c r="G371" i="1"/>
  <c r="H371" i="1"/>
  <c r="K371" i="1"/>
  <c r="E372" i="1"/>
  <c r="G372" i="1"/>
  <c r="H372" i="1"/>
  <c r="K372" i="1"/>
  <c r="E373" i="1"/>
  <c r="G373" i="1"/>
  <c r="H373" i="1"/>
  <c r="K373" i="1"/>
  <c r="E374" i="1"/>
  <c r="G374" i="1"/>
  <c r="H374" i="1"/>
  <c r="K374" i="1"/>
  <c r="E375" i="1"/>
  <c r="G375" i="1"/>
  <c r="H375" i="1"/>
  <c r="K375" i="1"/>
  <c r="E376" i="1"/>
  <c r="G376" i="1"/>
  <c r="H376" i="1"/>
  <c r="K376" i="1"/>
  <c r="E377" i="1"/>
  <c r="G377" i="1"/>
  <c r="H377" i="1"/>
  <c r="K377" i="1"/>
  <c r="E378" i="1"/>
  <c r="G378" i="1"/>
  <c r="H378" i="1"/>
  <c r="K378" i="1"/>
  <c r="E379" i="1"/>
  <c r="G379" i="1"/>
  <c r="H379" i="1"/>
  <c r="K379" i="1"/>
  <c r="E380" i="1"/>
  <c r="G380" i="1"/>
  <c r="H380" i="1"/>
  <c r="K380" i="1"/>
  <c r="E381" i="1"/>
  <c r="G381" i="1"/>
  <c r="H381" i="1"/>
  <c r="K381" i="1"/>
  <c r="E382" i="1"/>
  <c r="G382" i="1"/>
  <c r="H382" i="1"/>
  <c r="K382" i="1"/>
  <c r="E383" i="1"/>
  <c r="G383" i="1"/>
  <c r="H383" i="1"/>
  <c r="K383" i="1"/>
  <c r="E384" i="1"/>
  <c r="G384" i="1"/>
  <c r="H384" i="1"/>
  <c r="K384" i="1"/>
  <c r="E385" i="1"/>
  <c r="G385" i="1"/>
  <c r="H385" i="1"/>
  <c r="K385" i="1"/>
  <c r="E386" i="1"/>
  <c r="G386" i="1"/>
  <c r="H386" i="1"/>
  <c r="K386" i="1"/>
  <c r="E387" i="1"/>
  <c r="G387" i="1"/>
  <c r="H387" i="1"/>
  <c r="K387" i="1"/>
  <c r="E388" i="1"/>
  <c r="G388" i="1"/>
  <c r="H388" i="1"/>
  <c r="K388" i="1"/>
  <c r="E389" i="1"/>
  <c r="G389" i="1"/>
  <c r="H389" i="1"/>
  <c r="K389" i="1"/>
  <c r="E390" i="1"/>
  <c r="G390" i="1"/>
  <c r="H390" i="1"/>
  <c r="K390" i="1"/>
  <c r="E391" i="1"/>
  <c r="G391" i="1"/>
  <c r="H391" i="1"/>
  <c r="K391" i="1"/>
  <c r="E392" i="1"/>
  <c r="G392" i="1"/>
  <c r="H392" i="1"/>
  <c r="K392" i="1"/>
  <c r="E393" i="1"/>
  <c r="G393" i="1"/>
  <c r="H393" i="1"/>
  <c r="K393" i="1"/>
  <c r="E394" i="1"/>
  <c r="G394" i="1"/>
  <c r="H394" i="1"/>
  <c r="K394" i="1"/>
  <c r="E395" i="1"/>
  <c r="G395" i="1"/>
  <c r="H395" i="1"/>
  <c r="K395" i="1"/>
  <c r="E396" i="1"/>
  <c r="G396" i="1"/>
  <c r="H396" i="1"/>
  <c r="K396" i="1"/>
  <c r="E397" i="1"/>
  <c r="G397" i="1"/>
  <c r="H397" i="1"/>
  <c r="K397" i="1"/>
  <c r="E398" i="1"/>
  <c r="G398" i="1"/>
  <c r="H398" i="1"/>
  <c r="K398" i="1"/>
  <c r="E399" i="1"/>
  <c r="G399" i="1"/>
  <c r="H399" i="1"/>
  <c r="K399" i="1"/>
  <c r="E400" i="1"/>
  <c r="G400" i="1"/>
  <c r="H400" i="1"/>
  <c r="K400" i="1"/>
  <c r="E401" i="1"/>
  <c r="G401" i="1"/>
  <c r="H401" i="1"/>
  <c r="K401" i="1"/>
  <c r="E402" i="1"/>
  <c r="G402" i="1"/>
  <c r="H402" i="1"/>
  <c r="K402" i="1"/>
  <c r="E403" i="1"/>
  <c r="G403" i="1"/>
  <c r="H403" i="1"/>
  <c r="K403" i="1"/>
  <c r="E404" i="1"/>
  <c r="G404" i="1"/>
  <c r="H404" i="1"/>
  <c r="K404" i="1"/>
  <c r="E405" i="1"/>
  <c r="G405" i="1"/>
  <c r="H405" i="1"/>
  <c r="K405" i="1"/>
  <c r="E406" i="1"/>
  <c r="G406" i="1"/>
  <c r="H406" i="1"/>
  <c r="K406" i="1"/>
  <c r="E407" i="1"/>
  <c r="G407" i="1"/>
  <c r="H407" i="1"/>
  <c r="K407" i="1"/>
  <c r="E408" i="1"/>
  <c r="G408" i="1"/>
  <c r="H408" i="1"/>
  <c r="K408" i="1"/>
  <c r="E409" i="1"/>
  <c r="G409" i="1"/>
  <c r="H409" i="1"/>
  <c r="K409" i="1"/>
  <c r="E410" i="1"/>
  <c r="G410" i="1"/>
  <c r="H410" i="1"/>
  <c r="K410" i="1"/>
  <c r="E411" i="1"/>
  <c r="G411" i="1"/>
  <c r="H411" i="1"/>
  <c r="K411" i="1"/>
  <c r="E412" i="1"/>
  <c r="G412" i="1"/>
  <c r="H412" i="1"/>
  <c r="K412" i="1"/>
  <c r="E413" i="1"/>
  <c r="G413" i="1"/>
  <c r="H413" i="1"/>
  <c r="K413" i="1"/>
  <c r="E414" i="1"/>
  <c r="G414" i="1"/>
  <c r="H414" i="1"/>
  <c r="K414" i="1"/>
  <c r="E415" i="1"/>
  <c r="G415" i="1"/>
  <c r="H415" i="1"/>
  <c r="K415" i="1"/>
  <c r="E416" i="1"/>
  <c r="G416" i="1"/>
  <c r="H416" i="1"/>
  <c r="K416" i="1"/>
  <c r="E417" i="1"/>
  <c r="G417" i="1"/>
  <c r="H417" i="1"/>
  <c r="K417" i="1"/>
  <c r="E418" i="1"/>
  <c r="G418" i="1"/>
  <c r="H418" i="1"/>
  <c r="K418" i="1"/>
  <c r="E419" i="1"/>
  <c r="G419" i="1"/>
  <c r="H419" i="1"/>
  <c r="K419" i="1"/>
  <c r="E420" i="1"/>
  <c r="G420" i="1"/>
  <c r="H420" i="1"/>
  <c r="K420" i="1"/>
  <c r="E421" i="1"/>
  <c r="G421" i="1"/>
  <c r="H421" i="1"/>
  <c r="K421" i="1"/>
  <c r="E422" i="1"/>
  <c r="G422" i="1"/>
  <c r="H422" i="1"/>
  <c r="K422" i="1"/>
  <c r="E423" i="1"/>
  <c r="G423" i="1"/>
  <c r="H423" i="1"/>
  <c r="K423" i="1"/>
  <c r="E424" i="1"/>
  <c r="G424" i="1"/>
  <c r="H424" i="1"/>
  <c r="K424" i="1"/>
  <c r="E425" i="1"/>
  <c r="G425" i="1"/>
  <c r="H425" i="1"/>
  <c r="K425" i="1"/>
  <c r="E426" i="1"/>
  <c r="G426" i="1"/>
  <c r="H426" i="1"/>
  <c r="K426" i="1"/>
  <c r="E427" i="1"/>
  <c r="G427" i="1"/>
  <c r="H427" i="1"/>
  <c r="K427" i="1"/>
  <c r="E428" i="1"/>
  <c r="G428" i="1"/>
  <c r="H428" i="1"/>
  <c r="K428" i="1"/>
  <c r="E429" i="1"/>
  <c r="G429" i="1"/>
  <c r="H429" i="1"/>
  <c r="K429" i="1"/>
  <c r="E430" i="1"/>
  <c r="G430" i="1"/>
  <c r="H430" i="1"/>
  <c r="K430" i="1"/>
  <c r="E431" i="1"/>
  <c r="G431" i="1"/>
  <c r="H431" i="1"/>
  <c r="K431" i="1"/>
  <c r="E432" i="1"/>
  <c r="G432" i="1"/>
  <c r="H432" i="1"/>
  <c r="K432" i="1"/>
  <c r="E433" i="1"/>
  <c r="G433" i="1"/>
  <c r="H433" i="1"/>
  <c r="K433" i="1"/>
  <c r="E434" i="1"/>
  <c r="G434" i="1"/>
  <c r="H434" i="1"/>
  <c r="K434" i="1"/>
  <c r="E435" i="1"/>
  <c r="G435" i="1"/>
  <c r="H435" i="1"/>
  <c r="K435" i="1"/>
  <c r="E436" i="1"/>
  <c r="G436" i="1"/>
  <c r="H436" i="1"/>
  <c r="K436" i="1"/>
  <c r="E437" i="1"/>
  <c r="G437" i="1"/>
  <c r="H437" i="1"/>
  <c r="K437" i="1"/>
  <c r="E438" i="1"/>
  <c r="G438" i="1"/>
  <c r="H438" i="1"/>
  <c r="K438" i="1"/>
  <c r="E439" i="1"/>
  <c r="G439" i="1"/>
  <c r="H439" i="1"/>
  <c r="K439" i="1"/>
  <c r="E440" i="1"/>
  <c r="G440" i="1"/>
  <c r="H440" i="1"/>
  <c r="K440" i="1"/>
  <c r="E441" i="1"/>
  <c r="G441" i="1"/>
  <c r="H441" i="1"/>
  <c r="K441" i="1"/>
  <c r="E442" i="1"/>
  <c r="G442" i="1"/>
  <c r="H442" i="1"/>
  <c r="K442" i="1"/>
  <c r="E443" i="1"/>
  <c r="G443" i="1"/>
  <c r="H443" i="1"/>
  <c r="K443" i="1"/>
  <c r="E444" i="1"/>
  <c r="G444" i="1"/>
  <c r="H444" i="1"/>
  <c r="K444" i="1"/>
  <c r="E445" i="1"/>
  <c r="G445" i="1"/>
  <c r="H445" i="1"/>
  <c r="K445" i="1"/>
  <c r="E446" i="1"/>
  <c r="G446" i="1"/>
  <c r="H446" i="1"/>
  <c r="K446" i="1"/>
  <c r="E447" i="1"/>
  <c r="G447" i="1"/>
  <c r="H447" i="1"/>
  <c r="K447" i="1"/>
  <c r="E448" i="1"/>
  <c r="G448" i="1"/>
  <c r="H448" i="1"/>
  <c r="K448" i="1"/>
  <c r="E449" i="1"/>
  <c r="G449" i="1"/>
  <c r="H449" i="1"/>
  <c r="K449" i="1"/>
  <c r="E450" i="1"/>
  <c r="G450" i="1"/>
  <c r="H450" i="1"/>
  <c r="K450" i="1"/>
  <c r="E451" i="1"/>
  <c r="G451" i="1"/>
  <c r="H451" i="1"/>
  <c r="K451" i="1"/>
  <c r="E452" i="1"/>
  <c r="G452" i="1"/>
  <c r="H452" i="1"/>
  <c r="K452" i="1"/>
  <c r="E453" i="1"/>
  <c r="G453" i="1"/>
  <c r="H453" i="1"/>
  <c r="K453" i="1"/>
  <c r="E454" i="1"/>
  <c r="G454" i="1"/>
  <c r="H454" i="1"/>
  <c r="K454" i="1"/>
  <c r="E455" i="1"/>
  <c r="G455" i="1"/>
  <c r="H455" i="1"/>
  <c r="K455" i="1"/>
  <c r="E456" i="1"/>
  <c r="G456" i="1"/>
  <c r="H456" i="1"/>
  <c r="K456" i="1"/>
  <c r="E457" i="1"/>
  <c r="G457" i="1"/>
  <c r="H457" i="1"/>
  <c r="K457" i="1"/>
  <c r="E458" i="1"/>
  <c r="G458" i="1"/>
  <c r="H458" i="1"/>
  <c r="K458" i="1"/>
  <c r="E459" i="1"/>
  <c r="G459" i="1"/>
  <c r="H459" i="1"/>
  <c r="K459" i="1"/>
  <c r="E460" i="1"/>
  <c r="G460" i="1"/>
  <c r="H460" i="1"/>
  <c r="K460" i="1"/>
  <c r="E461" i="1"/>
  <c r="G461" i="1"/>
  <c r="H461" i="1"/>
  <c r="K461" i="1"/>
  <c r="E462" i="1"/>
  <c r="G462" i="1"/>
  <c r="H462" i="1"/>
  <c r="K462" i="1"/>
  <c r="E463" i="1"/>
  <c r="G463" i="1"/>
  <c r="H463" i="1"/>
  <c r="K463" i="1"/>
  <c r="E464" i="1"/>
  <c r="G464" i="1"/>
  <c r="H464" i="1"/>
  <c r="K464" i="1"/>
  <c r="E465" i="1"/>
  <c r="G465" i="1"/>
  <c r="H465" i="1"/>
  <c r="K465" i="1"/>
  <c r="E466" i="1"/>
  <c r="G466" i="1"/>
  <c r="H466" i="1"/>
  <c r="K466" i="1"/>
  <c r="E467" i="1"/>
  <c r="G467" i="1"/>
  <c r="H467" i="1"/>
  <c r="K467" i="1"/>
  <c r="E468" i="1"/>
  <c r="G468" i="1"/>
  <c r="H468" i="1"/>
  <c r="K468" i="1"/>
  <c r="E469" i="1"/>
  <c r="G469" i="1"/>
  <c r="H469" i="1"/>
  <c r="K469" i="1"/>
  <c r="E470" i="1"/>
  <c r="G470" i="1"/>
  <c r="H470" i="1"/>
  <c r="K470" i="1"/>
  <c r="E471" i="1"/>
  <c r="G471" i="1"/>
  <c r="H471" i="1"/>
  <c r="K471" i="1"/>
  <c r="E472" i="1"/>
  <c r="G472" i="1"/>
  <c r="H472" i="1"/>
  <c r="K472" i="1"/>
  <c r="E473" i="1"/>
  <c r="G473" i="1"/>
  <c r="H473" i="1"/>
  <c r="K473" i="1"/>
  <c r="E474" i="1"/>
  <c r="G474" i="1"/>
  <c r="H474" i="1"/>
  <c r="K474" i="1"/>
  <c r="E475" i="1"/>
  <c r="G475" i="1"/>
  <c r="H475" i="1"/>
  <c r="K475" i="1"/>
  <c r="E476" i="1"/>
  <c r="G476" i="1"/>
  <c r="H476" i="1"/>
  <c r="K476" i="1"/>
  <c r="E477" i="1"/>
  <c r="G477" i="1"/>
  <c r="H477" i="1"/>
  <c r="K477" i="1"/>
  <c r="E478" i="1"/>
  <c r="G478" i="1"/>
  <c r="H478" i="1"/>
  <c r="K478" i="1"/>
  <c r="E479" i="1"/>
  <c r="G479" i="1"/>
  <c r="H479" i="1"/>
  <c r="K479" i="1"/>
  <c r="E480" i="1"/>
  <c r="G480" i="1"/>
  <c r="H480" i="1"/>
  <c r="K480" i="1"/>
  <c r="E481" i="1"/>
  <c r="G481" i="1"/>
  <c r="H481" i="1"/>
  <c r="K481" i="1"/>
  <c r="E482" i="1"/>
  <c r="G482" i="1"/>
  <c r="H482" i="1"/>
  <c r="K482" i="1"/>
  <c r="E483" i="1"/>
  <c r="G483" i="1"/>
  <c r="H483" i="1"/>
  <c r="K483" i="1"/>
  <c r="E484" i="1"/>
  <c r="G484" i="1"/>
  <c r="H484" i="1"/>
  <c r="K484" i="1"/>
  <c r="E485" i="1"/>
  <c r="G485" i="1"/>
  <c r="H485" i="1"/>
  <c r="K485" i="1"/>
  <c r="E486" i="1"/>
  <c r="G486" i="1"/>
  <c r="H486" i="1"/>
  <c r="K486" i="1"/>
  <c r="E487" i="1"/>
  <c r="G487" i="1"/>
  <c r="H487" i="1"/>
  <c r="K487" i="1"/>
  <c r="E488" i="1"/>
  <c r="G488" i="1"/>
  <c r="H488" i="1"/>
  <c r="K488" i="1"/>
  <c r="E489" i="1"/>
  <c r="G489" i="1"/>
  <c r="H489" i="1"/>
  <c r="K489" i="1"/>
  <c r="E490" i="1"/>
  <c r="G490" i="1"/>
  <c r="H490" i="1"/>
  <c r="K490" i="1"/>
  <c r="E491" i="1"/>
  <c r="G491" i="1"/>
  <c r="H491" i="1"/>
  <c r="K491" i="1"/>
  <c r="E492" i="1"/>
  <c r="G492" i="1"/>
  <c r="H492" i="1"/>
  <c r="K492" i="1"/>
  <c r="E493" i="1"/>
  <c r="G493" i="1"/>
  <c r="H493" i="1"/>
  <c r="K493" i="1"/>
  <c r="E494" i="1"/>
  <c r="G494" i="1"/>
  <c r="H494" i="1"/>
  <c r="K494" i="1"/>
  <c r="E495" i="1"/>
  <c r="G495" i="1"/>
  <c r="H495" i="1"/>
  <c r="K495" i="1"/>
  <c r="E496" i="1"/>
  <c r="G496" i="1"/>
  <c r="H496" i="1"/>
  <c r="K496" i="1"/>
  <c r="E497" i="1"/>
  <c r="G497" i="1"/>
  <c r="H497" i="1"/>
  <c r="K497" i="1"/>
  <c r="E498" i="1"/>
  <c r="G498" i="1"/>
  <c r="H498" i="1"/>
  <c r="K498" i="1"/>
  <c r="E499" i="1"/>
  <c r="G499" i="1"/>
  <c r="H499" i="1"/>
  <c r="K499" i="1"/>
  <c r="E500" i="1"/>
  <c r="G500" i="1"/>
  <c r="H500" i="1"/>
  <c r="K500" i="1"/>
  <c r="E501" i="1"/>
  <c r="G501" i="1"/>
  <c r="H501" i="1"/>
  <c r="K501" i="1"/>
  <c r="E502" i="1"/>
  <c r="G502" i="1"/>
  <c r="H502" i="1"/>
  <c r="K502" i="1"/>
  <c r="E503" i="1"/>
  <c r="G503" i="1"/>
  <c r="H503" i="1"/>
  <c r="K503" i="1"/>
  <c r="E504" i="1"/>
  <c r="G504" i="1"/>
  <c r="H504" i="1"/>
  <c r="K504" i="1"/>
  <c r="E505" i="1"/>
  <c r="G505" i="1"/>
  <c r="H505" i="1"/>
  <c r="K505" i="1"/>
  <c r="E506" i="1"/>
  <c r="G506" i="1"/>
  <c r="H506" i="1"/>
  <c r="K506" i="1"/>
  <c r="E507" i="1"/>
  <c r="G507" i="1"/>
  <c r="H507" i="1"/>
  <c r="K507" i="1"/>
  <c r="E508" i="1"/>
  <c r="G508" i="1"/>
  <c r="H508" i="1"/>
  <c r="K508" i="1"/>
  <c r="E509" i="1"/>
  <c r="G509" i="1"/>
  <c r="H509" i="1"/>
  <c r="K509" i="1"/>
  <c r="E510" i="1"/>
  <c r="G510" i="1"/>
  <c r="H510" i="1"/>
  <c r="K510" i="1"/>
  <c r="E511" i="1"/>
  <c r="G511" i="1"/>
  <c r="H511" i="1"/>
  <c r="K511" i="1"/>
  <c r="E512" i="1"/>
  <c r="G512" i="1"/>
  <c r="H512" i="1"/>
  <c r="K512" i="1"/>
  <c r="E513" i="1"/>
  <c r="G513" i="1"/>
  <c r="H513" i="1"/>
  <c r="K513" i="1"/>
  <c r="E515" i="1"/>
  <c r="G515" i="1"/>
  <c r="H515" i="1"/>
  <c r="K515" i="1"/>
  <c r="E516" i="1"/>
  <c r="G516" i="1"/>
  <c r="H516" i="1"/>
  <c r="K516" i="1"/>
  <c r="E517" i="1"/>
  <c r="G517" i="1"/>
  <c r="H517" i="1"/>
  <c r="K517" i="1"/>
  <c r="E518" i="1"/>
  <c r="G518" i="1"/>
  <c r="H518" i="1"/>
  <c r="K518" i="1"/>
  <c r="E519" i="1"/>
  <c r="G519" i="1"/>
  <c r="H519" i="1"/>
  <c r="K519" i="1"/>
  <c r="E520" i="1"/>
  <c r="G520" i="1"/>
  <c r="H520" i="1"/>
  <c r="K520" i="1"/>
  <c r="E521" i="1"/>
  <c r="G521" i="1"/>
  <c r="H521" i="1"/>
  <c r="K521" i="1"/>
  <c r="E522" i="1"/>
  <c r="G522" i="1"/>
  <c r="H522" i="1"/>
  <c r="K522" i="1"/>
  <c r="E523" i="1"/>
  <c r="G523" i="1"/>
  <c r="H523" i="1"/>
  <c r="K523" i="1"/>
  <c r="E524" i="1"/>
  <c r="G524" i="1"/>
  <c r="H524" i="1"/>
  <c r="K524" i="1"/>
  <c r="E525" i="1"/>
  <c r="G525" i="1"/>
  <c r="H525" i="1"/>
  <c r="K525" i="1"/>
  <c r="E526" i="1"/>
  <c r="G526" i="1"/>
  <c r="H526" i="1"/>
  <c r="K526" i="1"/>
  <c r="E527" i="1"/>
  <c r="G527" i="1"/>
  <c r="H527" i="1"/>
  <c r="K527" i="1"/>
  <c r="E528" i="1"/>
  <c r="G528" i="1"/>
  <c r="H528" i="1"/>
  <c r="K528" i="1"/>
  <c r="E529" i="1"/>
  <c r="G529" i="1"/>
  <c r="H529" i="1"/>
  <c r="K529" i="1"/>
  <c r="E530" i="1"/>
  <c r="G530" i="1"/>
  <c r="H530" i="1"/>
  <c r="K530" i="1"/>
  <c r="E531" i="1"/>
  <c r="G531" i="1"/>
  <c r="H531" i="1"/>
  <c r="K531" i="1"/>
  <c r="E532" i="1"/>
  <c r="G532" i="1"/>
  <c r="H532" i="1"/>
  <c r="K532" i="1"/>
  <c r="E533" i="1"/>
  <c r="G533" i="1"/>
  <c r="H533" i="1"/>
  <c r="K533" i="1"/>
  <c r="E534" i="1"/>
  <c r="G534" i="1"/>
  <c r="H534" i="1"/>
  <c r="K534" i="1"/>
  <c r="E535" i="1"/>
  <c r="G535" i="1"/>
  <c r="H535" i="1"/>
  <c r="K535" i="1"/>
  <c r="E536" i="1"/>
  <c r="G536" i="1"/>
  <c r="H536" i="1"/>
  <c r="K536" i="1"/>
  <c r="E537" i="1"/>
  <c r="G537" i="1"/>
  <c r="H537" i="1"/>
  <c r="K537" i="1"/>
  <c r="E538" i="1"/>
  <c r="G538" i="1"/>
  <c r="H538" i="1"/>
  <c r="K538" i="1"/>
  <c r="E539" i="1"/>
  <c r="G539" i="1"/>
  <c r="H539" i="1"/>
  <c r="K539" i="1"/>
  <c r="E540" i="1"/>
  <c r="G540" i="1"/>
  <c r="H540" i="1"/>
  <c r="K540" i="1"/>
  <c r="E541" i="1"/>
  <c r="G541" i="1"/>
  <c r="H541" i="1"/>
  <c r="K541" i="1"/>
  <c r="E542" i="1"/>
  <c r="G542" i="1"/>
  <c r="H542" i="1"/>
  <c r="K542" i="1"/>
  <c r="E543" i="1"/>
  <c r="G543" i="1"/>
  <c r="H543" i="1"/>
  <c r="K543" i="1"/>
  <c r="E544" i="1"/>
  <c r="G544" i="1"/>
  <c r="H544" i="1"/>
  <c r="K544" i="1"/>
  <c r="E545" i="1"/>
  <c r="G545" i="1"/>
  <c r="H545" i="1"/>
  <c r="K545" i="1"/>
  <c r="E546" i="1"/>
  <c r="G546" i="1"/>
  <c r="H546" i="1"/>
  <c r="K546" i="1"/>
  <c r="E547" i="1"/>
  <c r="G547" i="1"/>
  <c r="H547" i="1"/>
  <c r="K547" i="1"/>
  <c r="E548" i="1"/>
  <c r="G548" i="1"/>
  <c r="H548" i="1"/>
  <c r="K548" i="1"/>
  <c r="E549" i="1"/>
  <c r="G549" i="1"/>
  <c r="H549" i="1"/>
  <c r="K549" i="1"/>
  <c r="E550" i="1"/>
  <c r="G550" i="1"/>
  <c r="H550" i="1"/>
  <c r="K550" i="1"/>
  <c r="E551" i="1"/>
  <c r="G551" i="1"/>
  <c r="H551" i="1"/>
  <c r="K551" i="1"/>
  <c r="E552" i="1"/>
  <c r="G552" i="1"/>
  <c r="H552" i="1"/>
  <c r="K552" i="1"/>
  <c r="E553" i="1"/>
  <c r="G553" i="1"/>
  <c r="H553" i="1"/>
  <c r="K553" i="1"/>
  <c r="E554" i="1"/>
  <c r="G554" i="1"/>
  <c r="H554" i="1"/>
  <c r="K554" i="1"/>
  <c r="E555" i="1"/>
  <c r="G555" i="1"/>
  <c r="H555" i="1"/>
  <c r="K555" i="1"/>
  <c r="E556" i="1"/>
  <c r="G556" i="1"/>
  <c r="H556" i="1"/>
  <c r="K556" i="1"/>
  <c r="E557" i="1"/>
  <c r="G557" i="1"/>
  <c r="H557" i="1"/>
  <c r="K557" i="1"/>
  <c r="E558" i="1"/>
  <c r="G558" i="1"/>
  <c r="H558" i="1"/>
  <c r="K558" i="1"/>
  <c r="E559" i="1"/>
  <c r="G559" i="1"/>
  <c r="H559" i="1"/>
  <c r="K559" i="1"/>
  <c r="E560" i="1"/>
  <c r="G560" i="1"/>
  <c r="H560" i="1"/>
  <c r="K560" i="1"/>
  <c r="E561" i="1"/>
  <c r="G561" i="1"/>
  <c r="H561" i="1"/>
  <c r="K561" i="1"/>
  <c r="E562" i="1"/>
  <c r="G562" i="1"/>
  <c r="H562" i="1"/>
  <c r="K562" i="1"/>
  <c r="E563" i="1"/>
  <c r="G563" i="1"/>
  <c r="H563" i="1"/>
  <c r="K563" i="1"/>
  <c r="E564" i="1"/>
  <c r="G564" i="1"/>
  <c r="H564" i="1"/>
  <c r="K564" i="1"/>
  <c r="E565" i="1"/>
  <c r="G565" i="1"/>
  <c r="H565" i="1"/>
  <c r="K565" i="1"/>
  <c r="E566" i="1"/>
  <c r="G566" i="1"/>
  <c r="H566" i="1"/>
  <c r="K566" i="1"/>
  <c r="E567" i="1"/>
  <c r="G567" i="1"/>
  <c r="H567" i="1"/>
  <c r="K567" i="1"/>
  <c r="E568" i="1"/>
  <c r="G568" i="1"/>
  <c r="H568" i="1"/>
  <c r="K568" i="1"/>
  <c r="E569" i="1"/>
  <c r="G569" i="1"/>
  <c r="H569" i="1"/>
  <c r="K569" i="1"/>
  <c r="E570" i="1"/>
  <c r="G570" i="1"/>
  <c r="H570" i="1"/>
  <c r="K570" i="1"/>
  <c r="E571" i="1"/>
  <c r="G571" i="1"/>
  <c r="H571" i="1"/>
  <c r="K571" i="1"/>
  <c r="E572" i="1"/>
  <c r="G572" i="1"/>
  <c r="H572" i="1"/>
  <c r="K572" i="1"/>
  <c r="E573" i="1"/>
  <c r="G573" i="1"/>
  <c r="H573" i="1"/>
  <c r="K573" i="1"/>
  <c r="E574" i="1"/>
  <c r="G574" i="1"/>
  <c r="H574" i="1"/>
  <c r="K574" i="1"/>
  <c r="E575" i="1"/>
  <c r="G575" i="1"/>
  <c r="H575" i="1"/>
  <c r="K575" i="1"/>
  <c r="E576" i="1"/>
  <c r="G576" i="1"/>
  <c r="H576" i="1"/>
  <c r="K576" i="1"/>
  <c r="E577" i="1"/>
  <c r="G577" i="1"/>
  <c r="H577" i="1"/>
  <c r="K577" i="1"/>
  <c r="E578" i="1"/>
  <c r="G578" i="1"/>
  <c r="H578" i="1"/>
  <c r="K578" i="1"/>
  <c r="E579" i="1"/>
  <c r="G579" i="1"/>
  <c r="H579" i="1"/>
  <c r="K579" i="1"/>
  <c r="E580" i="1"/>
  <c r="G580" i="1"/>
  <c r="H580" i="1"/>
  <c r="K580" i="1"/>
  <c r="E581" i="1"/>
  <c r="G581" i="1"/>
  <c r="H581" i="1"/>
  <c r="K581" i="1"/>
  <c r="E582" i="1"/>
  <c r="G582" i="1"/>
  <c r="H582" i="1"/>
  <c r="K582" i="1"/>
  <c r="E583" i="1"/>
  <c r="G583" i="1"/>
  <c r="H583" i="1"/>
  <c r="K583" i="1"/>
  <c r="E584" i="1"/>
  <c r="G584" i="1"/>
  <c r="H584" i="1"/>
  <c r="K584" i="1"/>
  <c r="E585" i="1"/>
  <c r="G585" i="1"/>
  <c r="H585" i="1"/>
  <c r="K585" i="1"/>
  <c r="E586" i="1"/>
  <c r="G586" i="1"/>
  <c r="H586" i="1"/>
  <c r="K586" i="1"/>
  <c r="E587" i="1"/>
  <c r="G587" i="1"/>
  <c r="H587" i="1"/>
  <c r="K587" i="1"/>
  <c r="E588" i="1"/>
  <c r="G588" i="1"/>
  <c r="H588" i="1"/>
  <c r="K588" i="1"/>
  <c r="E589" i="1"/>
  <c r="G589" i="1"/>
  <c r="H589" i="1"/>
  <c r="K589" i="1"/>
  <c r="E590" i="1"/>
  <c r="G590" i="1"/>
  <c r="H590" i="1"/>
  <c r="K590" i="1"/>
  <c r="E591" i="1"/>
  <c r="G591" i="1"/>
  <c r="H591" i="1"/>
  <c r="K591" i="1"/>
  <c r="E592" i="1"/>
  <c r="G592" i="1"/>
  <c r="H592" i="1"/>
  <c r="K592" i="1"/>
  <c r="E593" i="1"/>
  <c r="G593" i="1"/>
  <c r="H593" i="1"/>
  <c r="K593" i="1"/>
  <c r="E594" i="1"/>
  <c r="G594" i="1"/>
  <c r="H594" i="1"/>
  <c r="K594" i="1"/>
  <c r="E595" i="1"/>
  <c r="G595" i="1"/>
  <c r="H595" i="1"/>
  <c r="K595" i="1"/>
  <c r="E596" i="1"/>
  <c r="G596" i="1"/>
  <c r="H596" i="1"/>
  <c r="K596" i="1"/>
  <c r="E597" i="1"/>
  <c r="G597" i="1"/>
  <c r="H597" i="1"/>
  <c r="K597" i="1"/>
  <c r="E598" i="1"/>
  <c r="G598" i="1"/>
  <c r="H598" i="1"/>
  <c r="K598" i="1"/>
  <c r="E599" i="1"/>
  <c r="G599" i="1"/>
  <c r="H599" i="1"/>
  <c r="K599" i="1"/>
  <c r="E600" i="1"/>
  <c r="G600" i="1"/>
  <c r="H600" i="1"/>
  <c r="K600" i="1"/>
  <c r="E601" i="1"/>
  <c r="G601" i="1"/>
  <c r="H601" i="1"/>
  <c r="K601" i="1"/>
  <c r="E602" i="1"/>
  <c r="G602" i="1"/>
  <c r="H602" i="1"/>
  <c r="K602" i="1"/>
  <c r="E603" i="1"/>
  <c r="G603" i="1"/>
  <c r="H603" i="1"/>
  <c r="K603" i="1"/>
  <c r="E604" i="1"/>
  <c r="G604" i="1"/>
  <c r="H604" i="1"/>
  <c r="K604" i="1"/>
  <c r="E605" i="1"/>
  <c r="G605" i="1"/>
  <c r="H605" i="1"/>
  <c r="K605" i="1"/>
  <c r="E606" i="1"/>
  <c r="G606" i="1"/>
  <c r="H606" i="1"/>
  <c r="K606" i="1"/>
  <c r="E607" i="1"/>
  <c r="G607" i="1"/>
  <c r="H607" i="1"/>
  <c r="K607" i="1"/>
  <c r="E608" i="1"/>
  <c r="G608" i="1"/>
  <c r="H608" i="1"/>
  <c r="K608" i="1"/>
  <c r="E609" i="1"/>
  <c r="G609" i="1"/>
  <c r="H609" i="1"/>
  <c r="K609" i="1"/>
  <c r="E610" i="1"/>
  <c r="G610" i="1"/>
  <c r="H610" i="1"/>
  <c r="K610" i="1"/>
  <c r="E611" i="1"/>
  <c r="G611" i="1"/>
  <c r="H611" i="1"/>
  <c r="K611" i="1"/>
  <c r="E612" i="1"/>
  <c r="G612" i="1"/>
  <c r="H612" i="1"/>
  <c r="K612" i="1"/>
  <c r="E613" i="1"/>
  <c r="G613" i="1"/>
  <c r="H613" i="1"/>
  <c r="K613" i="1"/>
  <c r="E614" i="1"/>
  <c r="G614" i="1"/>
  <c r="H614" i="1"/>
  <c r="K614" i="1"/>
  <c r="E615" i="1"/>
  <c r="G615" i="1"/>
  <c r="H615" i="1"/>
  <c r="K615" i="1"/>
  <c r="E616" i="1"/>
  <c r="G616" i="1"/>
  <c r="H616" i="1"/>
  <c r="K616" i="1"/>
  <c r="E617" i="1"/>
  <c r="G617" i="1"/>
  <c r="H617" i="1"/>
  <c r="K617" i="1"/>
  <c r="E618" i="1"/>
  <c r="G618" i="1"/>
  <c r="H618" i="1"/>
  <c r="K618" i="1"/>
  <c r="E619" i="1"/>
  <c r="G619" i="1"/>
  <c r="H619" i="1"/>
  <c r="K619" i="1"/>
  <c r="E620" i="1"/>
  <c r="G620" i="1"/>
  <c r="H620" i="1"/>
  <c r="K620" i="1"/>
  <c r="E621" i="1"/>
  <c r="G621" i="1"/>
  <c r="H621" i="1"/>
  <c r="K621" i="1"/>
  <c r="E622" i="1"/>
  <c r="G622" i="1"/>
  <c r="H622" i="1"/>
  <c r="K622" i="1"/>
  <c r="E623" i="1"/>
  <c r="G623" i="1"/>
  <c r="H623" i="1"/>
  <c r="K623" i="1"/>
  <c r="E624" i="1"/>
  <c r="G624" i="1"/>
  <c r="H624" i="1"/>
  <c r="K624" i="1"/>
  <c r="E625" i="1"/>
  <c r="G625" i="1"/>
  <c r="H625" i="1"/>
  <c r="K625" i="1"/>
  <c r="E626" i="1"/>
  <c r="G626" i="1"/>
  <c r="H626" i="1"/>
  <c r="K626" i="1"/>
  <c r="E627" i="1"/>
  <c r="G627" i="1"/>
  <c r="H627" i="1"/>
  <c r="K627" i="1"/>
  <c r="E628" i="1"/>
  <c r="G628" i="1"/>
  <c r="H628" i="1"/>
  <c r="K628" i="1"/>
  <c r="E629" i="1"/>
  <c r="G629" i="1"/>
  <c r="H629" i="1"/>
  <c r="K629" i="1"/>
  <c r="E630" i="1"/>
  <c r="G630" i="1"/>
  <c r="H630" i="1"/>
  <c r="K630" i="1"/>
  <c r="E631" i="1"/>
  <c r="G631" i="1"/>
  <c r="H631" i="1"/>
  <c r="K631" i="1"/>
  <c r="E632" i="1"/>
  <c r="G632" i="1"/>
  <c r="H632" i="1"/>
  <c r="K632" i="1"/>
  <c r="E633" i="1"/>
  <c r="G633" i="1"/>
  <c r="H633" i="1"/>
  <c r="K633" i="1"/>
  <c r="E634" i="1"/>
  <c r="G634" i="1"/>
  <c r="H634" i="1"/>
  <c r="K634" i="1"/>
  <c r="E635" i="1"/>
  <c r="G635" i="1"/>
  <c r="H635" i="1"/>
  <c r="K635" i="1"/>
  <c r="E636" i="1"/>
  <c r="G636" i="1"/>
  <c r="H636" i="1"/>
  <c r="K636" i="1"/>
  <c r="E637" i="1"/>
  <c r="G637" i="1"/>
  <c r="H637" i="1"/>
  <c r="K637" i="1"/>
  <c r="E638" i="1"/>
  <c r="G638" i="1"/>
  <c r="H638" i="1"/>
  <c r="K638" i="1"/>
  <c r="E639" i="1"/>
  <c r="G639" i="1"/>
  <c r="H639" i="1"/>
  <c r="K639" i="1"/>
  <c r="E640" i="1"/>
  <c r="G640" i="1"/>
  <c r="H640" i="1"/>
  <c r="K640" i="1"/>
  <c r="E641" i="1"/>
  <c r="G641" i="1"/>
  <c r="H641" i="1"/>
  <c r="K641" i="1"/>
  <c r="E642" i="1"/>
  <c r="G642" i="1"/>
  <c r="H642" i="1"/>
  <c r="K642" i="1"/>
  <c r="E643" i="1"/>
  <c r="G643" i="1"/>
  <c r="H643" i="1"/>
  <c r="K643" i="1"/>
  <c r="E644" i="1"/>
  <c r="G644" i="1"/>
  <c r="H644" i="1"/>
  <c r="K644" i="1"/>
  <c r="E645" i="1"/>
  <c r="G645" i="1"/>
  <c r="H645" i="1"/>
  <c r="K645" i="1"/>
  <c r="E646" i="1"/>
  <c r="G646" i="1"/>
  <c r="H646" i="1"/>
  <c r="K646" i="1"/>
  <c r="E647" i="1"/>
  <c r="G647" i="1"/>
  <c r="H647" i="1"/>
  <c r="K647" i="1"/>
  <c r="E648" i="1"/>
  <c r="G648" i="1"/>
  <c r="H648" i="1"/>
  <c r="K648" i="1"/>
  <c r="E649" i="1"/>
  <c r="G649" i="1"/>
  <c r="H649" i="1"/>
  <c r="K649" i="1"/>
  <c r="E650" i="1"/>
  <c r="G650" i="1"/>
  <c r="H650" i="1"/>
  <c r="K650" i="1"/>
  <c r="E651" i="1"/>
  <c r="G651" i="1"/>
  <c r="H651" i="1"/>
  <c r="K651" i="1"/>
  <c r="E652" i="1"/>
  <c r="G652" i="1"/>
  <c r="H652" i="1"/>
  <c r="K652" i="1"/>
  <c r="E653" i="1"/>
  <c r="G653" i="1"/>
  <c r="H653" i="1"/>
  <c r="K653" i="1"/>
  <c r="E654" i="1"/>
  <c r="G654" i="1"/>
  <c r="H654" i="1"/>
  <c r="K654" i="1"/>
  <c r="E655" i="1"/>
  <c r="G655" i="1"/>
  <c r="H655" i="1"/>
  <c r="K655" i="1"/>
  <c r="E656" i="1"/>
  <c r="G656" i="1"/>
  <c r="H656" i="1"/>
  <c r="K656" i="1"/>
  <c r="E657" i="1"/>
  <c r="G657" i="1"/>
  <c r="H657" i="1"/>
  <c r="K657" i="1"/>
  <c r="E658" i="1"/>
  <c r="G658" i="1"/>
  <c r="H658" i="1"/>
  <c r="K658" i="1"/>
  <c r="E659" i="1"/>
  <c r="G659" i="1"/>
  <c r="H659" i="1"/>
  <c r="K659" i="1"/>
  <c r="E660" i="1"/>
  <c r="G660" i="1"/>
  <c r="H660" i="1"/>
  <c r="K660" i="1"/>
  <c r="E661" i="1"/>
  <c r="G661" i="1"/>
  <c r="H661" i="1"/>
  <c r="K661" i="1"/>
  <c r="E662" i="1"/>
  <c r="G662" i="1"/>
  <c r="H662" i="1"/>
  <c r="K662" i="1"/>
  <c r="E663" i="1"/>
  <c r="G663" i="1"/>
  <c r="H663" i="1"/>
  <c r="K663" i="1"/>
  <c r="E664" i="1"/>
  <c r="G664" i="1"/>
  <c r="H664" i="1"/>
  <c r="K664" i="1"/>
  <c r="E665" i="1"/>
  <c r="G665" i="1"/>
  <c r="H665" i="1"/>
  <c r="K665" i="1"/>
  <c r="E666" i="1"/>
  <c r="G666" i="1"/>
  <c r="H666" i="1"/>
  <c r="K666" i="1"/>
  <c r="E667" i="1"/>
  <c r="G667" i="1"/>
  <c r="H667" i="1"/>
  <c r="K667" i="1"/>
  <c r="E668" i="1"/>
  <c r="G668" i="1"/>
  <c r="H668" i="1"/>
  <c r="K668" i="1"/>
  <c r="E669" i="1"/>
  <c r="G669" i="1"/>
  <c r="H669" i="1"/>
  <c r="K669" i="1"/>
  <c r="E670" i="1"/>
  <c r="G670" i="1"/>
  <c r="H670" i="1"/>
  <c r="K670" i="1"/>
  <c r="E671" i="1"/>
  <c r="G671" i="1"/>
  <c r="H671" i="1"/>
  <c r="K671" i="1"/>
  <c r="E672" i="1"/>
  <c r="G672" i="1"/>
  <c r="H672" i="1"/>
  <c r="K672" i="1"/>
  <c r="E673" i="1"/>
  <c r="G673" i="1"/>
  <c r="H673" i="1"/>
  <c r="K673" i="1"/>
  <c r="E674" i="1"/>
  <c r="G674" i="1"/>
  <c r="H674" i="1"/>
  <c r="K674" i="1"/>
  <c r="E675" i="1"/>
  <c r="G675" i="1"/>
  <c r="H675" i="1"/>
  <c r="K675" i="1"/>
  <c r="E676" i="1"/>
  <c r="G676" i="1"/>
  <c r="H676" i="1"/>
  <c r="K676" i="1"/>
  <c r="E677" i="1"/>
  <c r="G677" i="1"/>
  <c r="H677" i="1"/>
  <c r="K677" i="1"/>
  <c r="E678" i="1"/>
  <c r="G678" i="1"/>
  <c r="H678" i="1"/>
  <c r="K678" i="1"/>
  <c r="E679" i="1"/>
  <c r="G679" i="1"/>
  <c r="H679" i="1"/>
  <c r="K679" i="1"/>
  <c r="E680" i="1"/>
  <c r="G680" i="1"/>
  <c r="H680" i="1"/>
  <c r="K680" i="1"/>
  <c r="E681" i="1"/>
  <c r="G681" i="1"/>
  <c r="H681" i="1"/>
  <c r="K681" i="1"/>
  <c r="E682" i="1"/>
  <c r="G682" i="1"/>
  <c r="H682" i="1"/>
  <c r="K682" i="1"/>
  <c r="E683" i="1"/>
  <c r="G683" i="1"/>
  <c r="H683" i="1"/>
  <c r="K683" i="1"/>
  <c r="E684" i="1"/>
  <c r="G684" i="1"/>
  <c r="H684" i="1"/>
  <c r="K684" i="1"/>
  <c r="E685" i="1"/>
  <c r="G685" i="1"/>
  <c r="H685" i="1"/>
  <c r="K685" i="1"/>
  <c r="E686" i="1"/>
  <c r="G686" i="1"/>
  <c r="H686" i="1"/>
  <c r="K686" i="1"/>
  <c r="E687" i="1"/>
  <c r="G687" i="1"/>
  <c r="H687" i="1"/>
  <c r="K687" i="1"/>
  <c r="E688" i="1"/>
  <c r="G688" i="1"/>
  <c r="H688" i="1"/>
  <c r="K688" i="1"/>
  <c r="E689" i="1"/>
  <c r="G689" i="1"/>
  <c r="H689" i="1"/>
  <c r="K689" i="1"/>
  <c r="E690" i="1"/>
  <c r="G690" i="1"/>
  <c r="H690" i="1"/>
  <c r="K690" i="1"/>
  <c r="E691" i="1"/>
  <c r="G691" i="1"/>
  <c r="H691" i="1"/>
  <c r="K691" i="1"/>
  <c r="E692" i="1"/>
  <c r="G692" i="1"/>
  <c r="H692" i="1"/>
  <c r="K692" i="1"/>
  <c r="E693" i="1"/>
  <c r="G693" i="1"/>
  <c r="H693" i="1"/>
  <c r="K693" i="1"/>
  <c r="E694" i="1"/>
  <c r="G694" i="1"/>
  <c r="H694" i="1"/>
  <c r="K694" i="1"/>
  <c r="E695" i="1"/>
  <c r="G695" i="1"/>
  <c r="H695" i="1"/>
  <c r="K695" i="1"/>
  <c r="E696" i="1"/>
  <c r="G696" i="1"/>
  <c r="H696" i="1"/>
  <c r="K696" i="1"/>
  <c r="E697" i="1"/>
  <c r="G697" i="1"/>
  <c r="H697" i="1"/>
  <c r="K697" i="1"/>
  <c r="E698" i="1"/>
  <c r="G698" i="1"/>
  <c r="H698" i="1"/>
  <c r="K698" i="1"/>
  <c r="E699" i="1"/>
  <c r="G699" i="1"/>
  <c r="H699" i="1"/>
  <c r="K699" i="1"/>
  <c r="E700" i="1"/>
  <c r="G700" i="1"/>
  <c r="H700" i="1"/>
  <c r="K700" i="1"/>
  <c r="E701" i="1"/>
  <c r="G701" i="1"/>
  <c r="H701" i="1"/>
  <c r="K701" i="1"/>
  <c r="E702" i="1"/>
  <c r="G702" i="1"/>
  <c r="H702" i="1"/>
  <c r="K702" i="1"/>
  <c r="E703" i="1"/>
  <c r="G703" i="1"/>
  <c r="H703" i="1"/>
  <c r="K703" i="1"/>
  <c r="E704" i="1"/>
  <c r="G704" i="1"/>
  <c r="H704" i="1"/>
  <c r="K704" i="1"/>
  <c r="E705" i="1"/>
  <c r="G705" i="1"/>
  <c r="H705" i="1"/>
  <c r="K705" i="1"/>
  <c r="E706" i="1"/>
  <c r="G706" i="1"/>
  <c r="H706" i="1"/>
  <c r="K706" i="1"/>
  <c r="E707" i="1"/>
  <c r="G707" i="1"/>
  <c r="H707" i="1"/>
  <c r="K707" i="1"/>
  <c r="E708" i="1"/>
  <c r="G708" i="1"/>
  <c r="H708" i="1"/>
  <c r="K708" i="1"/>
  <c r="E709" i="1"/>
  <c r="G709" i="1"/>
  <c r="H709" i="1"/>
  <c r="K709" i="1"/>
  <c r="E710" i="1"/>
  <c r="G710" i="1"/>
  <c r="H710" i="1"/>
  <c r="K710" i="1"/>
  <c r="E711" i="1"/>
  <c r="G711" i="1"/>
  <c r="H711" i="1"/>
  <c r="K711" i="1"/>
  <c r="E712" i="1"/>
  <c r="G712" i="1"/>
  <c r="H712" i="1"/>
  <c r="K712" i="1"/>
  <c r="E713" i="1"/>
  <c r="G713" i="1"/>
  <c r="H713" i="1"/>
  <c r="K713" i="1"/>
  <c r="E714" i="1"/>
  <c r="G714" i="1"/>
  <c r="H714" i="1"/>
  <c r="K714" i="1"/>
  <c r="E715" i="1"/>
  <c r="G715" i="1"/>
  <c r="H715" i="1"/>
  <c r="K715" i="1"/>
  <c r="E716" i="1"/>
  <c r="G716" i="1"/>
  <c r="H716" i="1"/>
  <c r="K716" i="1"/>
  <c r="E717" i="1"/>
  <c r="G717" i="1"/>
  <c r="H717" i="1"/>
  <c r="K717" i="1"/>
  <c r="E718" i="1"/>
  <c r="G718" i="1"/>
  <c r="H718" i="1"/>
  <c r="K718" i="1"/>
  <c r="E719" i="1"/>
  <c r="G719" i="1"/>
  <c r="H719" i="1"/>
  <c r="K719" i="1"/>
  <c r="E720" i="1"/>
  <c r="G720" i="1"/>
  <c r="H720" i="1"/>
  <c r="K720" i="1"/>
  <c r="E721" i="1"/>
  <c r="G721" i="1"/>
  <c r="H721" i="1"/>
  <c r="K721" i="1"/>
  <c r="E722" i="1"/>
  <c r="G722" i="1"/>
  <c r="H722" i="1"/>
  <c r="K722" i="1"/>
  <c r="E723" i="1"/>
  <c r="G723" i="1"/>
  <c r="H723" i="1"/>
  <c r="K723" i="1"/>
  <c r="E724" i="1"/>
  <c r="G724" i="1"/>
  <c r="H724" i="1"/>
  <c r="K724" i="1"/>
  <c r="E725" i="1"/>
  <c r="G725" i="1"/>
  <c r="H725" i="1"/>
  <c r="K725" i="1"/>
  <c r="E726" i="1"/>
  <c r="G726" i="1"/>
  <c r="H726" i="1"/>
  <c r="K726" i="1"/>
  <c r="E727" i="1"/>
  <c r="G727" i="1"/>
  <c r="H727" i="1"/>
  <c r="K727" i="1"/>
  <c r="E728" i="1"/>
  <c r="G728" i="1"/>
  <c r="H728" i="1"/>
  <c r="K728" i="1"/>
  <c r="E729" i="1"/>
  <c r="G729" i="1"/>
  <c r="H729" i="1"/>
  <c r="K729" i="1"/>
  <c r="E730" i="1"/>
  <c r="G730" i="1"/>
  <c r="H730" i="1"/>
  <c r="K730" i="1"/>
  <c r="E731" i="1"/>
  <c r="G731" i="1"/>
  <c r="H731" i="1"/>
  <c r="K731" i="1"/>
  <c r="E732" i="1"/>
  <c r="G732" i="1"/>
  <c r="H732" i="1"/>
  <c r="K732" i="1"/>
  <c r="E733" i="1"/>
  <c r="G733" i="1"/>
  <c r="H733" i="1"/>
  <c r="K733" i="1"/>
  <c r="E734" i="1"/>
  <c r="G734" i="1"/>
  <c r="H734" i="1"/>
  <c r="K734" i="1"/>
  <c r="E735" i="1"/>
  <c r="G735" i="1"/>
  <c r="H735" i="1"/>
  <c r="K735" i="1"/>
  <c r="E736" i="1"/>
  <c r="G736" i="1"/>
  <c r="H736" i="1"/>
  <c r="K736" i="1"/>
  <c r="E737" i="1"/>
  <c r="G737" i="1"/>
  <c r="H737" i="1"/>
  <c r="K737" i="1"/>
  <c r="E738" i="1"/>
  <c r="G738" i="1"/>
  <c r="H738" i="1"/>
  <c r="K738" i="1"/>
  <c r="E739" i="1"/>
  <c r="G739" i="1"/>
  <c r="H739" i="1"/>
  <c r="K739" i="1"/>
  <c r="E740" i="1"/>
  <c r="G740" i="1"/>
  <c r="H740" i="1"/>
  <c r="K740" i="1"/>
  <c r="E741" i="1"/>
  <c r="G741" i="1"/>
  <c r="H741" i="1"/>
  <c r="K741" i="1"/>
  <c r="E742" i="1"/>
  <c r="G742" i="1"/>
  <c r="H742" i="1"/>
  <c r="K742" i="1"/>
  <c r="E743" i="1"/>
  <c r="G743" i="1"/>
  <c r="H743" i="1"/>
  <c r="K743" i="1"/>
  <c r="E744" i="1"/>
  <c r="G744" i="1"/>
  <c r="H744" i="1"/>
  <c r="K744" i="1"/>
  <c r="E745" i="1"/>
  <c r="G745" i="1"/>
  <c r="H745" i="1"/>
  <c r="K745" i="1"/>
  <c r="E746" i="1"/>
  <c r="G746" i="1"/>
  <c r="H746" i="1"/>
  <c r="K746" i="1"/>
  <c r="E747" i="1"/>
  <c r="G747" i="1"/>
  <c r="H747" i="1"/>
  <c r="K747" i="1"/>
  <c r="E748" i="1"/>
  <c r="G748" i="1"/>
  <c r="H748" i="1"/>
  <c r="K748" i="1"/>
  <c r="E749" i="1"/>
  <c r="G749" i="1"/>
  <c r="H749" i="1"/>
  <c r="K749" i="1"/>
  <c r="E750" i="1"/>
  <c r="G750" i="1"/>
  <c r="H750" i="1"/>
  <c r="K750" i="1"/>
  <c r="E751" i="1"/>
  <c r="G751" i="1"/>
  <c r="H751" i="1"/>
  <c r="K751" i="1"/>
  <c r="E752" i="1"/>
  <c r="G752" i="1"/>
  <c r="H752" i="1"/>
  <c r="K752" i="1"/>
  <c r="E753" i="1"/>
  <c r="G753" i="1"/>
  <c r="H753" i="1"/>
  <c r="K753" i="1"/>
  <c r="E754" i="1"/>
  <c r="G754" i="1"/>
  <c r="H754" i="1"/>
  <c r="K754" i="1"/>
  <c r="E755" i="1"/>
  <c r="G755" i="1"/>
  <c r="H755" i="1"/>
  <c r="K755" i="1"/>
  <c r="E756" i="1"/>
  <c r="G756" i="1"/>
  <c r="H756" i="1"/>
  <c r="K756" i="1"/>
  <c r="E757" i="1"/>
  <c r="G757" i="1"/>
  <c r="H757" i="1"/>
  <c r="K757" i="1"/>
  <c r="E758" i="1"/>
  <c r="G758" i="1"/>
  <c r="H758" i="1"/>
  <c r="K758" i="1"/>
  <c r="E759" i="1"/>
  <c r="G759" i="1"/>
  <c r="H759" i="1"/>
  <c r="K759" i="1"/>
  <c r="E760" i="1"/>
  <c r="G760" i="1"/>
  <c r="H760" i="1"/>
  <c r="K760" i="1"/>
  <c r="E761" i="1"/>
  <c r="G761" i="1"/>
  <c r="H761" i="1"/>
  <c r="K761" i="1"/>
  <c r="E762" i="1"/>
  <c r="G762" i="1"/>
  <c r="H762" i="1"/>
  <c r="K762" i="1"/>
  <c r="E763" i="1"/>
  <c r="G763" i="1"/>
  <c r="H763" i="1"/>
  <c r="K763" i="1"/>
  <c r="E764" i="1"/>
  <c r="G764" i="1"/>
  <c r="H764" i="1"/>
  <c r="K764" i="1"/>
  <c r="E765" i="1"/>
  <c r="G765" i="1"/>
  <c r="H765" i="1"/>
  <c r="K765" i="1"/>
  <c r="E766" i="1"/>
  <c r="G766" i="1"/>
  <c r="H766" i="1"/>
  <c r="K766" i="1"/>
  <c r="E767" i="1"/>
  <c r="G767" i="1"/>
  <c r="H767" i="1"/>
  <c r="K767" i="1"/>
  <c r="E768" i="1"/>
  <c r="G768" i="1"/>
  <c r="H768" i="1"/>
  <c r="K768" i="1"/>
  <c r="E769" i="1"/>
  <c r="G769" i="1"/>
  <c r="H769" i="1"/>
  <c r="K769" i="1"/>
  <c r="E770" i="1"/>
  <c r="G770" i="1"/>
  <c r="H770" i="1"/>
  <c r="K770" i="1"/>
  <c r="E771" i="1"/>
  <c r="G771" i="1"/>
  <c r="H771" i="1"/>
  <c r="K771" i="1"/>
  <c r="E772" i="1"/>
  <c r="G772" i="1"/>
  <c r="H772" i="1"/>
  <c r="K772" i="1"/>
  <c r="E773" i="1"/>
  <c r="G773" i="1"/>
  <c r="H773" i="1"/>
  <c r="K773" i="1"/>
  <c r="E774" i="1"/>
  <c r="G774" i="1"/>
  <c r="H774" i="1"/>
  <c r="K774" i="1"/>
  <c r="E775" i="1"/>
  <c r="G775" i="1"/>
  <c r="H775" i="1"/>
  <c r="K775" i="1"/>
  <c r="E776" i="1"/>
  <c r="G776" i="1"/>
  <c r="H776" i="1"/>
  <c r="K776" i="1"/>
  <c r="E777" i="1"/>
  <c r="G777" i="1"/>
  <c r="H777" i="1"/>
  <c r="K777" i="1"/>
  <c r="E778" i="1"/>
  <c r="G778" i="1"/>
  <c r="H778" i="1"/>
  <c r="K778" i="1"/>
  <c r="E779" i="1"/>
  <c r="G779" i="1"/>
  <c r="H779" i="1"/>
  <c r="K779" i="1"/>
  <c r="E780" i="1"/>
  <c r="G780" i="1"/>
  <c r="H780" i="1"/>
  <c r="K780" i="1"/>
  <c r="E781" i="1"/>
  <c r="G781" i="1"/>
  <c r="H781" i="1"/>
  <c r="K781" i="1"/>
  <c r="E782" i="1"/>
  <c r="G782" i="1"/>
  <c r="H782" i="1"/>
  <c r="K782" i="1"/>
  <c r="E783" i="1"/>
  <c r="G783" i="1"/>
  <c r="H783" i="1"/>
  <c r="K783" i="1"/>
  <c r="E784" i="1"/>
  <c r="G784" i="1"/>
  <c r="H784" i="1"/>
  <c r="K784" i="1"/>
  <c r="E785" i="1"/>
  <c r="G785" i="1"/>
  <c r="H785" i="1"/>
  <c r="K785" i="1"/>
  <c r="E786" i="1"/>
  <c r="G786" i="1"/>
  <c r="H786" i="1"/>
  <c r="K786" i="1"/>
  <c r="E787" i="1"/>
  <c r="G787" i="1"/>
  <c r="H787" i="1"/>
  <c r="K787" i="1"/>
  <c r="E788" i="1"/>
  <c r="G788" i="1"/>
  <c r="H788" i="1"/>
  <c r="K788" i="1"/>
  <c r="E789" i="1"/>
  <c r="G789" i="1"/>
  <c r="H789" i="1"/>
  <c r="K789" i="1"/>
  <c r="E790" i="1"/>
  <c r="G790" i="1"/>
  <c r="H790" i="1"/>
  <c r="K790" i="1"/>
  <c r="E791" i="1"/>
  <c r="G791" i="1"/>
  <c r="H791" i="1"/>
  <c r="K791" i="1"/>
  <c r="E792" i="1"/>
  <c r="G792" i="1"/>
  <c r="H792" i="1"/>
  <c r="K792" i="1"/>
  <c r="E793" i="1"/>
  <c r="G793" i="1"/>
  <c r="H793" i="1"/>
  <c r="K793" i="1"/>
  <c r="E794" i="1"/>
  <c r="G794" i="1"/>
  <c r="H794" i="1"/>
  <c r="K794" i="1"/>
  <c r="E795" i="1"/>
  <c r="G795" i="1"/>
  <c r="H795" i="1"/>
  <c r="K795" i="1"/>
  <c r="E796" i="1"/>
  <c r="G796" i="1"/>
  <c r="H796" i="1"/>
  <c r="K796" i="1"/>
  <c r="E797" i="1"/>
  <c r="G797" i="1"/>
  <c r="H797" i="1"/>
  <c r="K797" i="1"/>
  <c r="E798" i="1"/>
  <c r="G798" i="1"/>
  <c r="H798" i="1"/>
  <c r="K798" i="1"/>
  <c r="E799" i="1"/>
  <c r="G799" i="1"/>
  <c r="H799" i="1"/>
  <c r="K799" i="1"/>
  <c r="E800" i="1"/>
  <c r="G800" i="1"/>
  <c r="H800" i="1"/>
  <c r="K800" i="1"/>
  <c r="E801" i="1"/>
  <c r="G801" i="1"/>
  <c r="H801" i="1"/>
  <c r="K801" i="1"/>
  <c r="E802" i="1"/>
  <c r="G802" i="1"/>
  <c r="H802" i="1"/>
  <c r="K802" i="1"/>
  <c r="E803" i="1"/>
  <c r="G803" i="1"/>
  <c r="H803" i="1"/>
  <c r="K803" i="1"/>
  <c r="E804" i="1"/>
  <c r="G804" i="1"/>
  <c r="H804" i="1"/>
  <c r="K804" i="1"/>
  <c r="E805" i="1"/>
  <c r="G805" i="1"/>
  <c r="H805" i="1"/>
  <c r="K805" i="1"/>
  <c r="E806" i="1"/>
  <c r="G806" i="1"/>
  <c r="H806" i="1"/>
  <c r="K806" i="1"/>
  <c r="E807" i="1"/>
  <c r="G807" i="1"/>
  <c r="H807" i="1"/>
  <c r="K807" i="1"/>
  <c r="E808" i="1"/>
  <c r="G808" i="1"/>
  <c r="H808" i="1"/>
  <c r="K808" i="1"/>
  <c r="E809" i="1"/>
  <c r="G809" i="1"/>
  <c r="H809" i="1"/>
  <c r="K809" i="1"/>
  <c r="E810" i="1"/>
  <c r="G810" i="1"/>
  <c r="H810" i="1"/>
  <c r="K810" i="1"/>
  <c r="E811" i="1"/>
  <c r="G811" i="1"/>
  <c r="H811" i="1"/>
  <c r="K811" i="1"/>
  <c r="E812" i="1"/>
  <c r="G812" i="1"/>
  <c r="H812" i="1"/>
  <c r="K812" i="1"/>
  <c r="E813" i="1"/>
  <c r="G813" i="1"/>
  <c r="H813" i="1"/>
  <c r="K813" i="1"/>
  <c r="E814" i="1"/>
  <c r="G814" i="1"/>
  <c r="H814" i="1"/>
  <c r="K814" i="1"/>
  <c r="E815" i="1"/>
  <c r="G815" i="1"/>
  <c r="H815" i="1"/>
  <c r="K815" i="1"/>
  <c r="E816" i="1"/>
  <c r="G816" i="1"/>
  <c r="H816" i="1"/>
  <c r="K816" i="1"/>
  <c r="E817" i="1"/>
  <c r="G817" i="1"/>
  <c r="H817" i="1"/>
  <c r="K817" i="1"/>
  <c r="E818" i="1"/>
  <c r="G818" i="1"/>
  <c r="H818" i="1"/>
  <c r="K818" i="1"/>
  <c r="E819" i="1"/>
  <c r="G819" i="1"/>
  <c r="H819" i="1"/>
  <c r="K819" i="1"/>
  <c r="E820" i="1"/>
  <c r="G820" i="1"/>
  <c r="H820" i="1"/>
  <c r="K820" i="1"/>
  <c r="E821" i="1"/>
  <c r="G821" i="1"/>
  <c r="H821" i="1"/>
  <c r="K821" i="1"/>
  <c r="E822" i="1"/>
  <c r="G822" i="1"/>
  <c r="H822" i="1"/>
  <c r="K822" i="1"/>
  <c r="E823" i="1"/>
  <c r="G823" i="1"/>
  <c r="H823" i="1"/>
  <c r="K823" i="1"/>
  <c r="E824" i="1"/>
  <c r="G824" i="1"/>
  <c r="H824" i="1"/>
  <c r="K824" i="1"/>
  <c r="E825" i="1"/>
  <c r="G825" i="1"/>
  <c r="H825" i="1"/>
  <c r="K825" i="1"/>
  <c r="E826" i="1"/>
  <c r="G826" i="1"/>
  <c r="H826" i="1"/>
  <c r="K826" i="1"/>
  <c r="E827" i="1"/>
  <c r="G827" i="1"/>
  <c r="H827" i="1"/>
  <c r="K827" i="1"/>
  <c r="E828" i="1"/>
  <c r="G828" i="1"/>
  <c r="H828" i="1"/>
  <c r="K828" i="1"/>
  <c r="E829" i="1"/>
  <c r="G829" i="1"/>
  <c r="H829" i="1"/>
  <c r="K829" i="1"/>
  <c r="E830" i="1"/>
  <c r="G830" i="1"/>
  <c r="H830" i="1"/>
  <c r="K830" i="1"/>
  <c r="E831" i="1"/>
  <c r="G831" i="1"/>
  <c r="H831" i="1"/>
  <c r="K831" i="1"/>
  <c r="E832" i="1"/>
  <c r="G832" i="1"/>
  <c r="H832" i="1"/>
  <c r="K832" i="1"/>
  <c r="E833" i="1"/>
  <c r="G833" i="1"/>
  <c r="H833" i="1"/>
  <c r="K833" i="1"/>
  <c r="E834" i="1"/>
  <c r="G834" i="1"/>
  <c r="H834" i="1"/>
  <c r="K834" i="1"/>
  <c r="E835" i="1"/>
  <c r="G835" i="1"/>
  <c r="H835" i="1"/>
  <c r="K835" i="1"/>
  <c r="E836" i="1"/>
  <c r="G836" i="1"/>
  <c r="H836" i="1"/>
  <c r="K836" i="1"/>
  <c r="E837" i="1"/>
  <c r="G837" i="1"/>
  <c r="H837" i="1"/>
  <c r="K837" i="1"/>
  <c r="E838" i="1"/>
  <c r="G838" i="1"/>
  <c r="H838" i="1"/>
  <c r="K838" i="1"/>
  <c r="E839" i="1"/>
  <c r="G839" i="1"/>
  <c r="H839" i="1"/>
  <c r="K839" i="1"/>
  <c r="E840" i="1"/>
  <c r="G840" i="1"/>
  <c r="H840" i="1"/>
  <c r="K840" i="1"/>
  <c r="E841" i="1"/>
  <c r="G841" i="1"/>
  <c r="H841" i="1"/>
  <c r="K841" i="1"/>
  <c r="E842" i="1"/>
  <c r="G842" i="1"/>
  <c r="H842" i="1"/>
  <c r="K842" i="1"/>
  <c r="E843" i="1"/>
  <c r="G843" i="1"/>
  <c r="H843" i="1"/>
  <c r="K843" i="1"/>
  <c r="E844" i="1"/>
  <c r="G844" i="1"/>
  <c r="H844" i="1"/>
  <c r="K844" i="1"/>
  <c r="E845" i="1"/>
  <c r="G845" i="1"/>
  <c r="H845" i="1"/>
  <c r="K845" i="1"/>
  <c r="E846" i="1"/>
  <c r="G846" i="1"/>
  <c r="H846" i="1"/>
  <c r="K846" i="1"/>
  <c r="E847" i="1"/>
  <c r="G847" i="1"/>
  <c r="H847" i="1"/>
  <c r="K847" i="1"/>
  <c r="E848" i="1"/>
  <c r="G848" i="1"/>
  <c r="H848" i="1"/>
  <c r="K848" i="1"/>
  <c r="E849" i="1"/>
  <c r="G849" i="1"/>
  <c r="H849" i="1"/>
  <c r="K849" i="1"/>
  <c r="E850" i="1"/>
  <c r="G850" i="1"/>
  <c r="H850" i="1"/>
  <c r="K850" i="1"/>
  <c r="E851" i="1"/>
  <c r="G851" i="1"/>
  <c r="H851" i="1"/>
  <c r="K851" i="1"/>
  <c r="E852" i="1"/>
  <c r="G852" i="1"/>
  <c r="H852" i="1"/>
  <c r="K852" i="1"/>
  <c r="E853" i="1"/>
  <c r="G853" i="1"/>
  <c r="H853" i="1"/>
  <c r="K853" i="1"/>
  <c r="E854" i="1"/>
  <c r="G854" i="1"/>
  <c r="H854" i="1"/>
  <c r="K854" i="1"/>
  <c r="E855" i="1"/>
  <c r="G855" i="1"/>
  <c r="H855" i="1"/>
  <c r="K855" i="1"/>
  <c r="E856" i="1"/>
  <c r="G856" i="1"/>
  <c r="H856" i="1"/>
  <c r="K856" i="1"/>
  <c r="E857" i="1"/>
  <c r="G857" i="1"/>
  <c r="H857" i="1"/>
  <c r="K857" i="1"/>
  <c r="E858" i="1"/>
  <c r="G858" i="1"/>
  <c r="H858" i="1"/>
  <c r="K858" i="1"/>
  <c r="E859" i="1"/>
  <c r="G859" i="1"/>
  <c r="H859" i="1"/>
  <c r="K859" i="1"/>
  <c r="E860" i="1"/>
  <c r="G860" i="1"/>
  <c r="H860" i="1"/>
  <c r="K860" i="1"/>
  <c r="E861" i="1"/>
  <c r="G861" i="1"/>
  <c r="H861" i="1"/>
  <c r="K861" i="1"/>
  <c r="E862" i="1"/>
  <c r="G862" i="1"/>
  <c r="H862" i="1"/>
  <c r="K862" i="1"/>
  <c r="E863" i="1"/>
  <c r="G863" i="1"/>
  <c r="H863" i="1"/>
  <c r="K863" i="1"/>
  <c r="E864" i="1"/>
  <c r="G864" i="1"/>
  <c r="H864" i="1"/>
  <c r="K864" i="1"/>
  <c r="E865" i="1"/>
  <c r="G865" i="1"/>
  <c r="H865" i="1"/>
  <c r="K865" i="1"/>
  <c r="E866" i="1"/>
  <c r="G866" i="1"/>
  <c r="H866" i="1"/>
  <c r="K866" i="1"/>
  <c r="E867" i="1"/>
  <c r="G867" i="1"/>
  <c r="H867" i="1"/>
  <c r="K867" i="1"/>
  <c r="E868" i="1"/>
  <c r="G868" i="1"/>
  <c r="H868" i="1"/>
  <c r="K868" i="1"/>
  <c r="E869" i="1"/>
  <c r="G869" i="1"/>
  <c r="H869" i="1"/>
  <c r="K869" i="1"/>
  <c r="E870" i="1"/>
  <c r="G870" i="1"/>
  <c r="H870" i="1"/>
  <c r="K870" i="1"/>
  <c r="E871" i="1"/>
  <c r="G871" i="1"/>
  <c r="H871" i="1"/>
  <c r="K871" i="1"/>
  <c r="E872" i="1"/>
  <c r="G872" i="1"/>
  <c r="H872" i="1"/>
  <c r="K872" i="1"/>
  <c r="E873" i="1"/>
  <c r="G873" i="1"/>
  <c r="H873" i="1"/>
  <c r="K873" i="1"/>
  <c r="E874" i="1"/>
  <c r="G874" i="1"/>
  <c r="H874" i="1"/>
  <c r="K874" i="1"/>
  <c r="E875" i="1"/>
  <c r="G875" i="1"/>
  <c r="H875" i="1"/>
  <c r="K875" i="1"/>
  <c r="E876" i="1"/>
  <c r="G876" i="1"/>
  <c r="H876" i="1"/>
  <c r="K876" i="1"/>
  <c r="E877" i="1"/>
  <c r="G877" i="1"/>
  <c r="H877" i="1"/>
  <c r="K877" i="1"/>
  <c r="E878" i="1"/>
  <c r="G878" i="1"/>
  <c r="H878" i="1"/>
  <c r="K878" i="1"/>
  <c r="E879" i="1"/>
  <c r="G879" i="1"/>
  <c r="H879" i="1"/>
  <c r="K879" i="1"/>
  <c r="E880" i="1"/>
  <c r="G880" i="1"/>
  <c r="H880" i="1"/>
  <c r="K880" i="1"/>
  <c r="E881" i="1"/>
  <c r="G881" i="1"/>
  <c r="H881" i="1"/>
  <c r="K881" i="1"/>
  <c r="E882" i="1"/>
  <c r="G882" i="1"/>
  <c r="H882" i="1"/>
  <c r="K882" i="1"/>
  <c r="E883" i="1"/>
  <c r="G883" i="1"/>
  <c r="H883" i="1"/>
  <c r="K883" i="1"/>
  <c r="E884" i="1"/>
  <c r="G884" i="1"/>
  <c r="H884" i="1"/>
  <c r="K884" i="1"/>
  <c r="E885" i="1"/>
  <c r="G885" i="1"/>
  <c r="H885" i="1"/>
  <c r="K885" i="1"/>
  <c r="E886" i="1"/>
  <c r="G886" i="1"/>
  <c r="H886" i="1"/>
  <c r="K886" i="1"/>
  <c r="E887" i="1"/>
  <c r="G887" i="1"/>
  <c r="H887" i="1"/>
  <c r="K887" i="1"/>
  <c r="E888" i="1"/>
  <c r="G888" i="1"/>
  <c r="H888" i="1"/>
  <c r="K888" i="1"/>
  <c r="E889" i="1"/>
  <c r="G889" i="1"/>
  <c r="H889" i="1"/>
  <c r="K889" i="1"/>
  <c r="E890" i="1"/>
  <c r="G890" i="1"/>
  <c r="H890" i="1"/>
  <c r="K890" i="1"/>
  <c r="E891" i="1"/>
  <c r="G891" i="1"/>
  <c r="H891" i="1"/>
  <c r="K891" i="1"/>
  <c r="E892" i="1"/>
  <c r="G892" i="1"/>
  <c r="H892" i="1"/>
  <c r="K892" i="1"/>
  <c r="E893" i="1"/>
  <c r="G893" i="1"/>
  <c r="H893" i="1"/>
  <c r="K893" i="1"/>
  <c r="E894" i="1"/>
  <c r="G894" i="1"/>
  <c r="H894" i="1"/>
  <c r="K894" i="1"/>
  <c r="E895" i="1"/>
  <c r="G895" i="1"/>
  <c r="H895" i="1"/>
  <c r="K895" i="1"/>
  <c r="E896" i="1"/>
  <c r="G896" i="1"/>
  <c r="H896" i="1"/>
  <c r="K896" i="1"/>
  <c r="E897" i="1"/>
  <c r="G897" i="1"/>
  <c r="H897" i="1"/>
  <c r="K897" i="1"/>
  <c r="E898" i="1"/>
  <c r="G898" i="1"/>
  <c r="H898" i="1"/>
  <c r="K898" i="1"/>
  <c r="E899" i="1"/>
  <c r="G899" i="1"/>
  <c r="H899" i="1"/>
  <c r="K899" i="1"/>
  <c r="E900" i="1"/>
  <c r="G900" i="1"/>
  <c r="H900" i="1"/>
  <c r="K900" i="1"/>
  <c r="E901" i="1"/>
  <c r="G901" i="1"/>
  <c r="H901" i="1"/>
  <c r="K901" i="1"/>
  <c r="E902" i="1"/>
  <c r="G902" i="1"/>
  <c r="H902" i="1"/>
  <c r="K902" i="1"/>
  <c r="E903" i="1"/>
  <c r="G903" i="1"/>
  <c r="H903" i="1"/>
  <c r="K903" i="1"/>
  <c r="E904" i="1"/>
  <c r="G904" i="1"/>
  <c r="H904" i="1"/>
  <c r="K904" i="1"/>
  <c r="E905" i="1"/>
  <c r="G905" i="1"/>
  <c r="H905" i="1"/>
  <c r="K905" i="1"/>
  <c r="E906" i="1"/>
  <c r="G906" i="1"/>
  <c r="H906" i="1"/>
  <c r="K906" i="1"/>
  <c r="E907" i="1"/>
  <c r="G907" i="1"/>
  <c r="H907" i="1"/>
  <c r="K907" i="1"/>
  <c r="E908" i="1"/>
  <c r="G908" i="1"/>
  <c r="H908" i="1"/>
  <c r="K908" i="1"/>
  <c r="E909" i="1"/>
  <c r="G909" i="1"/>
  <c r="H909" i="1"/>
  <c r="K909" i="1"/>
  <c r="E910" i="1"/>
  <c r="G910" i="1"/>
  <c r="H910" i="1"/>
  <c r="K910" i="1"/>
  <c r="E911" i="1"/>
  <c r="G911" i="1"/>
  <c r="H911" i="1"/>
  <c r="K911" i="1"/>
  <c r="E912" i="1"/>
  <c r="G912" i="1"/>
  <c r="H912" i="1"/>
  <c r="K912" i="1"/>
  <c r="E913" i="1"/>
  <c r="G913" i="1"/>
  <c r="H913" i="1"/>
  <c r="K913" i="1"/>
  <c r="E914" i="1"/>
  <c r="G914" i="1"/>
  <c r="H914" i="1"/>
  <c r="K914" i="1"/>
  <c r="E915" i="1"/>
  <c r="G915" i="1"/>
  <c r="H915" i="1"/>
  <c r="K915" i="1"/>
  <c r="E916" i="1"/>
  <c r="G916" i="1"/>
  <c r="H916" i="1"/>
  <c r="K916" i="1"/>
  <c r="E917" i="1"/>
  <c r="G917" i="1"/>
  <c r="H917" i="1"/>
  <c r="K917" i="1"/>
  <c r="E918" i="1"/>
  <c r="G918" i="1"/>
  <c r="H918" i="1"/>
  <c r="K918" i="1"/>
  <c r="E919" i="1"/>
  <c r="G919" i="1"/>
  <c r="H919" i="1"/>
  <c r="K919" i="1"/>
  <c r="E920" i="1"/>
  <c r="G920" i="1"/>
  <c r="H920" i="1"/>
  <c r="K920" i="1"/>
  <c r="E921" i="1"/>
  <c r="G921" i="1"/>
  <c r="H921" i="1"/>
  <c r="K921" i="1"/>
  <c r="E922" i="1"/>
  <c r="G922" i="1"/>
  <c r="H922" i="1"/>
  <c r="K922" i="1"/>
  <c r="E923" i="1"/>
  <c r="G923" i="1"/>
  <c r="H923" i="1"/>
  <c r="K923" i="1"/>
  <c r="E924" i="1"/>
  <c r="G924" i="1"/>
  <c r="H924" i="1"/>
  <c r="K924" i="1"/>
  <c r="E925" i="1"/>
  <c r="G925" i="1"/>
  <c r="H925" i="1"/>
  <c r="K925" i="1"/>
  <c r="E926" i="1"/>
  <c r="G926" i="1"/>
  <c r="H926" i="1"/>
  <c r="K926" i="1"/>
  <c r="E927" i="1"/>
  <c r="G927" i="1"/>
  <c r="H927" i="1"/>
  <c r="K927" i="1"/>
  <c r="E928" i="1"/>
  <c r="G928" i="1"/>
  <c r="H928" i="1"/>
  <c r="K928" i="1"/>
  <c r="E929" i="1"/>
  <c r="G929" i="1"/>
  <c r="H929" i="1"/>
  <c r="K929" i="1"/>
  <c r="E930" i="1"/>
  <c r="G930" i="1"/>
  <c r="H930" i="1"/>
  <c r="K930" i="1"/>
  <c r="E931" i="1"/>
  <c r="G931" i="1"/>
  <c r="H931" i="1"/>
  <c r="K931" i="1"/>
  <c r="E932" i="1"/>
  <c r="G932" i="1"/>
  <c r="H932" i="1"/>
  <c r="K932" i="1"/>
  <c r="E933" i="1"/>
  <c r="G933" i="1"/>
  <c r="H933" i="1"/>
  <c r="K933" i="1"/>
  <c r="E934" i="1"/>
  <c r="G934" i="1"/>
  <c r="H934" i="1"/>
  <c r="K934" i="1"/>
  <c r="E935" i="1"/>
  <c r="G935" i="1"/>
  <c r="H935" i="1"/>
  <c r="K935" i="1"/>
  <c r="E936" i="1"/>
  <c r="G936" i="1"/>
  <c r="H936" i="1"/>
  <c r="K936" i="1"/>
  <c r="E937" i="1"/>
  <c r="G937" i="1"/>
  <c r="H937" i="1"/>
  <c r="K937" i="1"/>
  <c r="E938" i="1"/>
  <c r="G938" i="1"/>
  <c r="H938" i="1"/>
  <c r="K938" i="1"/>
  <c r="E939" i="1"/>
  <c r="G939" i="1"/>
  <c r="H939" i="1"/>
  <c r="K939" i="1"/>
  <c r="E940" i="1"/>
  <c r="G940" i="1"/>
  <c r="H940" i="1"/>
  <c r="K940" i="1"/>
  <c r="E941" i="1"/>
  <c r="G941" i="1"/>
  <c r="H941" i="1"/>
  <c r="K941" i="1"/>
  <c r="E942" i="1"/>
  <c r="G942" i="1"/>
  <c r="H942" i="1"/>
  <c r="K942" i="1"/>
  <c r="E943" i="1"/>
  <c r="G943" i="1"/>
  <c r="H943" i="1"/>
  <c r="K943" i="1"/>
  <c r="E944" i="1"/>
  <c r="G944" i="1"/>
  <c r="H944" i="1"/>
  <c r="K944" i="1"/>
  <c r="E945" i="1"/>
  <c r="G945" i="1"/>
  <c r="H945" i="1"/>
  <c r="K945" i="1"/>
  <c r="E946" i="1"/>
  <c r="G946" i="1"/>
  <c r="H946" i="1"/>
  <c r="K946" i="1"/>
  <c r="E947" i="1"/>
  <c r="G947" i="1"/>
  <c r="H947" i="1"/>
  <c r="K947" i="1"/>
  <c r="E948" i="1"/>
  <c r="G948" i="1"/>
  <c r="H948" i="1"/>
  <c r="K948" i="1"/>
  <c r="E949" i="1"/>
  <c r="G949" i="1"/>
  <c r="H949" i="1"/>
  <c r="K949" i="1"/>
  <c r="E950" i="1"/>
  <c r="G950" i="1"/>
  <c r="H950" i="1"/>
  <c r="K950" i="1"/>
  <c r="E951" i="1"/>
  <c r="G951" i="1"/>
  <c r="H951" i="1"/>
  <c r="K951" i="1"/>
  <c r="E952" i="1"/>
  <c r="G952" i="1"/>
  <c r="H952" i="1"/>
  <c r="K952" i="1"/>
  <c r="E953" i="1"/>
  <c r="G953" i="1"/>
  <c r="H953" i="1"/>
  <c r="K953" i="1"/>
  <c r="E954" i="1"/>
  <c r="G954" i="1"/>
  <c r="H954" i="1"/>
  <c r="K954" i="1"/>
  <c r="E955" i="1"/>
  <c r="G955" i="1"/>
  <c r="H955" i="1"/>
  <c r="K955" i="1"/>
  <c r="E956" i="1"/>
  <c r="G956" i="1"/>
  <c r="H956" i="1"/>
  <c r="K956" i="1"/>
  <c r="E957" i="1"/>
  <c r="G957" i="1"/>
  <c r="H957" i="1"/>
  <c r="K957" i="1"/>
  <c r="E958" i="1"/>
  <c r="G958" i="1"/>
  <c r="H958" i="1"/>
  <c r="K958" i="1"/>
  <c r="E959" i="1"/>
  <c r="G959" i="1"/>
  <c r="H959" i="1"/>
  <c r="K959" i="1"/>
  <c r="E960" i="1"/>
  <c r="G960" i="1"/>
  <c r="H960" i="1"/>
  <c r="K960" i="1"/>
  <c r="E961" i="1"/>
  <c r="G961" i="1"/>
  <c r="H961" i="1"/>
  <c r="K961" i="1"/>
  <c r="E962" i="1"/>
  <c r="G962" i="1"/>
  <c r="H962" i="1"/>
  <c r="K962" i="1"/>
  <c r="E963" i="1"/>
  <c r="G963" i="1"/>
  <c r="H963" i="1"/>
  <c r="K963" i="1"/>
  <c r="E964" i="1"/>
  <c r="G964" i="1"/>
  <c r="H964" i="1"/>
  <c r="K964" i="1"/>
  <c r="E965" i="1"/>
  <c r="G965" i="1"/>
  <c r="H965" i="1"/>
  <c r="K965" i="1"/>
  <c r="E966" i="1"/>
  <c r="G966" i="1"/>
  <c r="H966" i="1"/>
  <c r="K966" i="1"/>
  <c r="E967" i="1"/>
  <c r="G967" i="1"/>
  <c r="H967" i="1"/>
  <c r="K967" i="1"/>
  <c r="E968" i="1"/>
  <c r="G968" i="1"/>
  <c r="H968" i="1"/>
  <c r="K968" i="1"/>
  <c r="E969" i="1"/>
  <c r="G969" i="1"/>
  <c r="H969" i="1"/>
  <c r="K969" i="1"/>
  <c r="E970" i="1"/>
  <c r="G970" i="1"/>
  <c r="H970" i="1"/>
  <c r="K970" i="1"/>
  <c r="E971" i="1"/>
  <c r="G971" i="1"/>
  <c r="H971" i="1"/>
  <c r="K971" i="1"/>
  <c r="E972" i="1"/>
  <c r="G972" i="1"/>
  <c r="H972" i="1"/>
  <c r="K972" i="1"/>
  <c r="E973" i="1"/>
  <c r="G973" i="1"/>
  <c r="H973" i="1"/>
  <c r="K973" i="1"/>
  <c r="E974" i="1"/>
  <c r="G974" i="1"/>
  <c r="H974" i="1"/>
  <c r="K974" i="1"/>
  <c r="E975" i="1"/>
  <c r="G975" i="1"/>
  <c r="H975" i="1"/>
  <c r="K975" i="1"/>
  <c r="E976" i="1"/>
  <c r="G976" i="1"/>
  <c r="H976" i="1"/>
  <c r="K976" i="1"/>
  <c r="E977" i="1"/>
  <c r="G977" i="1"/>
  <c r="H977" i="1"/>
  <c r="K977" i="1"/>
  <c r="E978" i="1"/>
  <c r="G978" i="1"/>
  <c r="H978" i="1"/>
  <c r="K978" i="1"/>
  <c r="E979" i="1"/>
  <c r="G979" i="1"/>
  <c r="H979" i="1"/>
  <c r="K979" i="1"/>
  <c r="E980" i="1"/>
  <c r="G980" i="1"/>
  <c r="H980" i="1"/>
  <c r="K980" i="1"/>
  <c r="E981" i="1"/>
  <c r="G981" i="1"/>
  <c r="H981" i="1"/>
  <c r="K981" i="1"/>
  <c r="E982" i="1"/>
  <c r="G982" i="1"/>
  <c r="H982" i="1"/>
  <c r="K982" i="1"/>
  <c r="E983" i="1"/>
  <c r="G983" i="1"/>
  <c r="H983" i="1"/>
  <c r="K983" i="1"/>
  <c r="E984" i="1"/>
  <c r="G984" i="1"/>
  <c r="H984" i="1"/>
  <c r="K984" i="1"/>
  <c r="E985" i="1"/>
  <c r="G985" i="1"/>
  <c r="H985" i="1"/>
  <c r="K985" i="1"/>
  <c r="E986" i="1"/>
  <c r="G986" i="1"/>
  <c r="H986" i="1"/>
  <c r="K986" i="1"/>
  <c r="E987" i="1"/>
  <c r="G987" i="1"/>
  <c r="H987" i="1"/>
  <c r="K987" i="1"/>
  <c r="E988" i="1"/>
  <c r="G988" i="1"/>
  <c r="H988" i="1"/>
  <c r="K988" i="1"/>
  <c r="E989" i="1"/>
  <c r="G989" i="1"/>
  <c r="H989" i="1"/>
  <c r="K989" i="1"/>
  <c r="E990" i="1"/>
  <c r="G990" i="1"/>
  <c r="H990" i="1"/>
  <c r="K990" i="1"/>
  <c r="E991" i="1"/>
  <c r="G991" i="1"/>
  <c r="H991" i="1"/>
  <c r="K991" i="1"/>
  <c r="E992" i="1"/>
  <c r="G992" i="1"/>
  <c r="H992" i="1"/>
  <c r="K992" i="1"/>
  <c r="E993" i="1"/>
  <c r="G993" i="1"/>
  <c r="H993" i="1"/>
  <c r="K993" i="1"/>
  <c r="E994" i="1"/>
  <c r="G994" i="1"/>
  <c r="H994" i="1"/>
  <c r="K994" i="1"/>
  <c r="E995" i="1"/>
  <c r="G995" i="1"/>
  <c r="H995" i="1"/>
  <c r="K995" i="1"/>
  <c r="E996" i="1"/>
  <c r="G996" i="1"/>
  <c r="H996" i="1"/>
  <c r="K996" i="1"/>
  <c r="E997" i="1"/>
  <c r="G997" i="1"/>
  <c r="H997" i="1"/>
  <c r="K997" i="1"/>
  <c r="E998" i="1"/>
  <c r="G998" i="1"/>
  <c r="H998" i="1"/>
  <c r="K998" i="1"/>
  <c r="E999" i="1"/>
  <c r="G999" i="1"/>
  <c r="H999" i="1"/>
  <c r="K999" i="1"/>
  <c r="E1000" i="1"/>
  <c r="G1000" i="1"/>
  <c r="H1000" i="1"/>
  <c r="K1000" i="1"/>
  <c r="E1001" i="1"/>
  <c r="G1001" i="1"/>
  <c r="H1001" i="1"/>
  <c r="K1001" i="1"/>
  <c r="E1002" i="1"/>
  <c r="G1002" i="1"/>
  <c r="H1002" i="1"/>
  <c r="K1002" i="1"/>
  <c r="E1003" i="1"/>
  <c r="G1003" i="1"/>
  <c r="H1003" i="1"/>
  <c r="K1003" i="1"/>
  <c r="E1004" i="1"/>
  <c r="G1004" i="1"/>
  <c r="H1004" i="1"/>
  <c r="K1004" i="1"/>
  <c r="E1005" i="1"/>
  <c r="G1005" i="1"/>
  <c r="H1005" i="1"/>
  <c r="K1005" i="1"/>
  <c r="E1006" i="1"/>
  <c r="G1006" i="1"/>
  <c r="H1006" i="1"/>
  <c r="K1006" i="1"/>
  <c r="E1007" i="1"/>
  <c r="G1007" i="1"/>
  <c r="H1007" i="1"/>
  <c r="K1007" i="1"/>
  <c r="E1008" i="1"/>
  <c r="G1008" i="1"/>
  <c r="H1008" i="1"/>
  <c r="K1008" i="1"/>
  <c r="E1009" i="1"/>
  <c r="G1009" i="1"/>
  <c r="H1009" i="1"/>
  <c r="K1009" i="1"/>
  <c r="E1010" i="1"/>
  <c r="G1010" i="1"/>
  <c r="H1010" i="1"/>
  <c r="K1010" i="1"/>
  <c r="E1011" i="1"/>
  <c r="G1011" i="1"/>
  <c r="H1011" i="1"/>
  <c r="K1011" i="1"/>
  <c r="E1012" i="1"/>
  <c r="G1012" i="1"/>
  <c r="H1012" i="1"/>
  <c r="K1012" i="1"/>
  <c r="E1013" i="1"/>
  <c r="G1013" i="1"/>
  <c r="H1013" i="1"/>
  <c r="K1013" i="1"/>
  <c r="E1014" i="1"/>
  <c r="G1014" i="1"/>
  <c r="H1014" i="1"/>
  <c r="K1014" i="1"/>
  <c r="E1015" i="1"/>
  <c r="G1015" i="1"/>
  <c r="H1015" i="1"/>
  <c r="K1015" i="1"/>
  <c r="E1016" i="1"/>
  <c r="G1016" i="1"/>
  <c r="H1016" i="1"/>
  <c r="K1016" i="1"/>
  <c r="E1017" i="1"/>
  <c r="G1017" i="1"/>
  <c r="H1017" i="1"/>
  <c r="K1017" i="1"/>
  <c r="E1018" i="1"/>
  <c r="G1018" i="1"/>
  <c r="H1018" i="1"/>
  <c r="K1018" i="1"/>
  <c r="E1019" i="1"/>
  <c r="G1019" i="1"/>
  <c r="H1019" i="1"/>
  <c r="K1019" i="1"/>
  <c r="E1020" i="1"/>
  <c r="G1020" i="1"/>
  <c r="H1020" i="1"/>
  <c r="K1020" i="1"/>
  <c r="E1021" i="1"/>
  <c r="G1021" i="1"/>
  <c r="H1021" i="1"/>
  <c r="K1021" i="1"/>
  <c r="E1022" i="1"/>
  <c r="G1022" i="1"/>
  <c r="H1022" i="1"/>
  <c r="K1022" i="1"/>
  <c r="E1023" i="1"/>
  <c r="G1023" i="1"/>
  <c r="H1023" i="1"/>
  <c r="K1023" i="1"/>
  <c r="E1024" i="1"/>
  <c r="G1024" i="1"/>
  <c r="H1024" i="1"/>
  <c r="K1024" i="1"/>
  <c r="E1025" i="1"/>
  <c r="G1025" i="1"/>
  <c r="H1025" i="1"/>
  <c r="K1025" i="1"/>
  <c r="E1026" i="1"/>
  <c r="G1026" i="1"/>
  <c r="H1026" i="1"/>
  <c r="K1026" i="1"/>
  <c r="E1027" i="1"/>
  <c r="G1027" i="1"/>
  <c r="H1027" i="1"/>
  <c r="K1027" i="1"/>
  <c r="E1028" i="1"/>
  <c r="G1028" i="1"/>
  <c r="H1028" i="1"/>
  <c r="K1028" i="1"/>
  <c r="E1029" i="1"/>
  <c r="G1029" i="1"/>
  <c r="H1029" i="1"/>
  <c r="K1029" i="1"/>
  <c r="E1030" i="1"/>
  <c r="G1030" i="1"/>
  <c r="H1030" i="1"/>
  <c r="K1030" i="1"/>
  <c r="E1031" i="1"/>
  <c r="G1031" i="1"/>
  <c r="H1031" i="1"/>
  <c r="K1031" i="1"/>
  <c r="E1032" i="1"/>
  <c r="G1032" i="1"/>
  <c r="H1032" i="1"/>
  <c r="K1032" i="1"/>
  <c r="E1033" i="1"/>
  <c r="G1033" i="1"/>
  <c r="H1033" i="1"/>
  <c r="K1033" i="1"/>
  <c r="E1034" i="1"/>
  <c r="G1034" i="1"/>
  <c r="H1034" i="1"/>
  <c r="K1034" i="1"/>
  <c r="E1035" i="1"/>
  <c r="G1035" i="1"/>
  <c r="H1035" i="1"/>
  <c r="K1035" i="1"/>
  <c r="E1036" i="1"/>
  <c r="G1036" i="1"/>
  <c r="H1036" i="1"/>
  <c r="K1036" i="1"/>
  <c r="E1037" i="1"/>
  <c r="G1037" i="1"/>
  <c r="H1037" i="1"/>
  <c r="K1037" i="1"/>
  <c r="E1038" i="1"/>
  <c r="G1038" i="1"/>
  <c r="H1038" i="1"/>
  <c r="K1038" i="1"/>
  <c r="E1039" i="1"/>
  <c r="G1039" i="1"/>
  <c r="H1039" i="1"/>
  <c r="K1039" i="1"/>
  <c r="E1040" i="1"/>
  <c r="G1040" i="1"/>
  <c r="H1040" i="1"/>
  <c r="K1040" i="1"/>
  <c r="E1041" i="1"/>
  <c r="G1041" i="1"/>
  <c r="H1041" i="1"/>
  <c r="K1041" i="1"/>
  <c r="E1042" i="1"/>
  <c r="G1042" i="1"/>
  <c r="H1042" i="1"/>
  <c r="K1042" i="1"/>
  <c r="E1043" i="1"/>
  <c r="G1043" i="1"/>
  <c r="H1043" i="1"/>
  <c r="K1043" i="1"/>
  <c r="E1044" i="1"/>
  <c r="G1044" i="1"/>
  <c r="H1044" i="1"/>
  <c r="K1044" i="1"/>
  <c r="E1045" i="1"/>
  <c r="G1045" i="1"/>
  <c r="H1045" i="1"/>
  <c r="K1045" i="1"/>
  <c r="E1046" i="1"/>
  <c r="G1046" i="1"/>
  <c r="H1046" i="1"/>
  <c r="K1046" i="1"/>
  <c r="E1047" i="1"/>
  <c r="G1047" i="1"/>
  <c r="H1047" i="1"/>
  <c r="K1047" i="1"/>
  <c r="E1048" i="1"/>
  <c r="G1048" i="1"/>
  <c r="H1048" i="1"/>
  <c r="K1048" i="1"/>
  <c r="E1049" i="1"/>
  <c r="G1049" i="1"/>
  <c r="H1049" i="1"/>
  <c r="K1049" i="1"/>
  <c r="E1050" i="1"/>
  <c r="G1050" i="1"/>
  <c r="H1050" i="1"/>
  <c r="K1050" i="1"/>
  <c r="E1051" i="1"/>
  <c r="G1051" i="1"/>
  <c r="H1051" i="1"/>
  <c r="K1051" i="1"/>
  <c r="E1052" i="1"/>
  <c r="G1052" i="1"/>
  <c r="H1052" i="1"/>
  <c r="K1052" i="1"/>
  <c r="E1053" i="1"/>
  <c r="G1053" i="1"/>
  <c r="H1053" i="1"/>
  <c r="K1053" i="1"/>
  <c r="E1054" i="1"/>
  <c r="G1054" i="1"/>
  <c r="H1054" i="1"/>
  <c r="K1054" i="1"/>
  <c r="E1055" i="1"/>
  <c r="G1055" i="1"/>
  <c r="H1055" i="1"/>
  <c r="K1055" i="1"/>
  <c r="E1056" i="1"/>
  <c r="G1056" i="1"/>
  <c r="H1056" i="1"/>
  <c r="K1056" i="1"/>
  <c r="E1057" i="1"/>
  <c r="G1057" i="1"/>
  <c r="H1057" i="1"/>
  <c r="K1057" i="1"/>
  <c r="E1058" i="1"/>
  <c r="G1058" i="1"/>
  <c r="H1058" i="1"/>
  <c r="K1058" i="1"/>
  <c r="E1059" i="1"/>
  <c r="G1059" i="1"/>
  <c r="H1059" i="1"/>
  <c r="K1059" i="1"/>
  <c r="E1060" i="1"/>
  <c r="G1060" i="1"/>
  <c r="H1060" i="1"/>
  <c r="K1060" i="1"/>
  <c r="E1061" i="1"/>
  <c r="G1061" i="1"/>
  <c r="H1061" i="1"/>
  <c r="K1061" i="1"/>
  <c r="E1062" i="1"/>
  <c r="G1062" i="1"/>
  <c r="H1062" i="1"/>
  <c r="K1062" i="1"/>
  <c r="E1063" i="1"/>
  <c r="G1063" i="1"/>
  <c r="H1063" i="1"/>
  <c r="K1063" i="1"/>
  <c r="E1064" i="1"/>
  <c r="G1064" i="1"/>
  <c r="H1064" i="1"/>
  <c r="K1064" i="1"/>
  <c r="E1065" i="1"/>
  <c r="G1065" i="1"/>
  <c r="H1065" i="1"/>
  <c r="K1065" i="1"/>
  <c r="E1066" i="1"/>
  <c r="G1066" i="1"/>
  <c r="H1066" i="1"/>
  <c r="K1066" i="1"/>
  <c r="E1067" i="1"/>
  <c r="G1067" i="1"/>
  <c r="H1067" i="1"/>
  <c r="K1067" i="1"/>
  <c r="E1068" i="1"/>
  <c r="G1068" i="1"/>
  <c r="H1068" i="1"/>
  <c r="K1068" i="1"/>
  <c r="E1069" i="1"/>
  <c r="G1069" i="1"/>
  <c r="H1069" i="1"/>
  <c r="K1069" i="1"/>
  <c r="E1070" i="1"/>
  <c r="G1070" i="1"/>
  <c r="H1070" i="1"/>
  <c r="K1070" i="1"/>
  <c r="E1071" i="1"/>
  <c r="G1071" i="1"/>
  <c r="H1071" i="1"/>
  <c r="K1071" i="1"/>
  <c r="E1072" i="1"/>
  <c r="G1072" i="1"/>
  <c r="H1072" i="1"/>
  <c r="K1072" i="1"/>
  <c r="E1073" i="1"/>
  <c r="G1073" i="1"/>
  <c r="H1073" i="1"/>
  <c r="K1073" i="1"/>
  <c r="E1074" i="1"/>
  <c r="G1074" i="1"/>
  <c r="H1074" i="1"/>
  <c r="K1074" i="1"/>
  <c r="E1075" i="1"/>
  <c r="G1075" i="1"/>
  <c r="H1075" i="1"/>
  <c r="K1075" i="1"/>
  <c r="E1076" i="1"/>
  <c r="G1076" i="1"/>
  <c r="H1076" i="1"/>
  <c r="K1076" i="1"/>
  <c r="E1077" i="1"/>
  <c r="G1077" i="1"/>
  <c r="H1077" i="1"/>
  <c r="K1077" i="1"/>
  <c r="E1078" i="1"/>
  <c r="G1078" i="1"/>
  <c r="H1078" i="1"/>
  <c r="K1078" i="1"/>
  <c r="E1079" i="1"/>
  <c r="G1079" i="1"/>
  <c r="H1079" i="1"/>
  <c r="K1079" i="1"/>
  <c r="E1080" i="1"/>
  <c r="G1080" i="1"/>
  <c r="H1080" i="1"/>
  <c r="K1080" i="1"/>
  <c r="E1081" i="1"/>
  <c r="G1081" i="1"/>
  <c r="H1081" i="1"/>
  <c r="K1081" i="1"/>
  <c r="E1082" i="1"/>
  <c r="G1082" i="1"/>
  <c r="H1082" i="1"/>
  <c r="K1082" i="1"/>
  <c r="E1083" i="1"/>
  <c r="G1083" i="1"/>
  <c r="H1083" i="1"/>
  <c r="K1083" i="1"/>
  <c r="E1084" i="1"/>
  <c r="G1084" i="1"/>
  <c r="H1084" i="1"/>
  <c r="K1084" i="1"/>
  <c r="E1085" i="1"/>
  <c r="G1085" i="1"/>
  <c r="H1085" i="1"/>
  <c r="K1085" i="1"/>
  <c r="E1086" i="1"/>
  <c r="G1086" i="1"/>
  <c r="H1086" i="1"/>
  <c r="K1086" i="1"/>
  <c r="E1087" i="1"/>
  <c r="G1087" i="1"/>
  <c r="H1087" i="1"/>
  <c r="K1087" i="1"/>
  <c r="E1088" i="1"/>
  <c r="G1088" i="1"/>
  <c r="H1088" i="1"/>
  <c r="K1088" i="1"/>
  <c r="E1089" i="1"/>
  <c r="G1089" i="1"/>
  <c r="H1089" i="1"/>
  <c r="K1089" i="1"/>
  <c r="E1090" i="1"/>
  <c r="G1090" i="1"/>
  <c r="H1090" i="1"/>
  <c r="K1090" i="1"/>
  <c r="E1091" i="1"/>
  <c r="G1091" i="1"/>
  <c r="H1091" i="1"/>
  <c r="K1091" i="1"/>
  <c r="E1092" i="1"/>
  <c r="G1092" i="1"/>
  <c r="H1092" i="1"/>
  <c r="K1092" i="1"/>
  <c r="E1093" i="1"/>
  <c r="G1093" i="1"/>
  <c r="H1093" i="1"/>
  <c r="K1093" i="1"/>
  <c r="E1094" i="1"/>
  <c r="G1094" i="1"/>
  <c r="H1094" i="1"/>
  <c r="K1094" i="1"/>
  <c r="E1095" i="1"/>
  <c r="G1095" i="1"/>
  <c r="H1095" i="1"/>
  <c r="K1095" i="1"/>
  <c r="E1096" i="1"/>
  <c r="G1096" i="1"/>
  <c r="H1096" i="1"/>
  <c r="K1096" i="1"/>
  <c r="E1097" i="1"/>
  <c r="G1097" i="1"/>
  <c r="H1097" i="1"/>
  <c r="K1097" i="1"/>
  <c r="E1098" i="1"/>
  <c r="G1098" i="1"/>
  <c r="H1098" i="1"/>
  <c r="K1098" i="1"/>
  <c r="E1099" i="1"/>
  <c r="G1099" i="1"/>
  <c r="H1099" i="1"/>
  <c r="K1099" i="1"/>
  <c r="E1100" i="1"/>
  <c r="G1100" i="1"/>
  <c r="H1100" i="1"/>
  <c r="K1100" i="1"/>
  <c r="E1101" i="1"/>
  <c r="G1101" i="1"/>
  <c r="H1101" i="1"/>
  <c r="K1101" i="1"/>
  <c r="E1102" i="1"/>
  <c r="G1102" i="1"/>
  <c r="H1102" i="1"/>
  <c r="K1102" i="1"/>
  <c r="E1103" i="1"/>
  <c r="G1103" i="1"/>
  <c r="H1103" i="1"/>
  <c r="K1103" i="1"/>
  <c r="E1104" i="1"/>
  <c r="G1104" i="1"/>
  <c r="H1104" i="1"/>
  <c r="K1104" i="1"/>
  <c r="E1105" i="1"/>
  <c r="G1105" i="1"/>
  <c r="H1105" i="1"/>
  <c r="K1105" i="1"/>
  <c r="E1106" i="1"/>
  <c r="G1106" i="1"/>
  <c r="H1106" i="1"/>
  <c r="K1106" i="1"/>
  <c r="E1107" i="1"/>
  <c r="G1107" i="1"/>
  <c r="H1107" i="1"/>
  <c r="K1107" i="1"/>
  <c r="E1108" i="1"/>
  <c r="G1108" i="1"/>
  <c r="H1108" i="1"/>
  <c r="K1108" i="1"/>
  <c r="E1109" i="1"/>
  <c r="G1109" i="1"/>
  <c r="H1109" i="1"/>
  <c r="K1109" i="1"/>
  <c r="E1110" i="1"/>
  <c r="G1110" i="1"/>
  <c r="H1110" i="1"/>
  <c r="K1110" i="1"/>
  <c r="E1111" i="1"/>
  <c r="G1111" i="1"/>
  <c r="H1111" i="1"/>
  <c r="K1111" i="1"/>
  <c r="E1112" i="1"/>
  <c r="G1112" i="1"/>
  <c r="H1112" i="1"/>
  <c r="K1112" i="1"/>
  <c r="E1113" i="1"/>
  <c r="G1113" i="1"/>
  <c r="H1113" i="1"/>
  <c r="K1113" i="1"/>
  <c r="E1114" i="1"/>
  <c r="G1114" i="1"/>
  <c r="H1114" i="1"/>
  <c r="K1114" i="1"/>
  <c r="E1115" i="1"/>
  <c r="G1115" i="1"/>
  <c r="H1115" i="1"/>
  <c r="K1115" i="1"/>
  <c r="E1116" i="1"/>
  <c r="G1116" i="1"/>
  <c r="H1116" i="1"/>
  <c r="K1116" i="1"/>
  <c r="E1117" i="1"/>
  <c r="G1117" i="1"/>
  <c r="H1117" i="1"/>
  <c r="K1117" i="1"/>
  <c r="E1118" i="1"/>
  <c r="G1118" i="1"/>
  <c r="H1118" i="1"/>
  <c r="K1118" i="1"/>
  <c r="E1119" i="1"/>
  <c r="G1119" i="1"/>
  <c r="H1119" i="1"/>
  <c r="K1119" i="1"/>
  <c r="E1120" i="1"/>
  <c r="G1120" i="1"/>
  <c r="H1120" i="1"/>
  <c r="K1120" i="1"/>
  <c r="E1121" i="1"/>
  <c r="G1121" i="1"/>
  <c r="H1121" i="1"/>
  <c r="K1121" i="1"/>
  <c r="E1122" i="1"/>
  <c r="G1122" i="1"/>
  <c r="H1122" i="1"/>
  <c r="K1122" i="1"/>
  <c r="E1123" i="1"/>
  <c r="G1123" i="1"/>
  <c r="H1123" i="1"/>
  <c r="K1123" i="1"/>
  <c r="E1124" i="1"/>
  <c r="G1124" i="1"/>
  <c r="H1124" i="1"/>
  <c r="K1124" i="1"/>
  <c r="E1125" i="1"/>
  <c r="G1125" i="1"/>
  <c r="H1125" i="1"/>
  <c r="K1125" i="1"/>
  <c r="E1126" i="1"/>
  <c r="G1126" i="1"/>
  <c r="H1126" i="1"/>
  <c r="K1126" i="1"/>
  <c r="E1127" i="1"/>
  <c r="G1127" i="1"/>
  <c r="H1127" i="1"/>
  <c r="K1127" i="1"/>
  <c r="E1128" i="1"/>
  <c r="G1128" i="1"/>
  <c r="H1128" i="1"/>
  <c r="K1128" i="1"/>
  <c r="E1129" i="1"/>
  <c r="G1129" i="1"/>
  <c r="H1129" i="1"/>
  <c r="K1129" i="1"/>
  <c r="E1130" i="1"/>
  <c r="G1130" i="1"/>
  <c r="H1130" i="1"/>
  <c r="K1130" i="1"/>
  <c r="E1131" i="1"/>
  <c r="G1131" i="1"/>
  <c r="H1131" i="1"/>
  <c r="K1131" i="1"/>
  <c r="E1132" i="1"/>
  <c r="G1132" i="1"/>
  <c r="H1132" i="1"/>
  <c r="K1132" i="1"/>
  <c r="E1133" i="1"/>
  <c r="G1133" i="1"/>
  <c r="H1133" i="1"/>
  <c r="K1133" i="1"/>
  <c r="E1134" i="1"/>
  <c r="G1134" i="1"/>
  <c r="H1134" i="1"/>
  <c r="K1134" i="1"/>
  <c r="E1135" i="1"/>
  <c r="G1135" i="1"/>
  <c r="H1135" i="1"/>
  <c r="K1135" i="1"/>
  <c r="E1136" i="1"/>
  <c r="G1136" i="1"/>
  <c r="H1136" i="1"/>
  <c r="K1136" i="1"/>
  <c r="E1137" i="1"/>
  <c r="G1137" i="1"/>
  <c r="H1137" i="1"/>
  <c r="K1137" i="1"/>
  <c r="E1138" i="1"/>
  <c r="G1138" i="1"/>
  <c r="H1138" i="1"/>
  <c r="K1138" i="1"/>
  <c r="E1139" i="1"/>
  <c r="G1139" i="1"/>
  <c r="H1139" i="1"/>
  <c r="K1139" i="1"/>
  <c r="E1140" i="1"/>
  <c r="G1140" i="1"/>
  <c r="H1140" i="1"/>
  <c r="K1140" i="1"/>
  <c r="E1141" i="1"/>
  <c r="G1141" i="1"/>
  <c r="H1141" i="1"/>
  <c r="K1141" i="1"/>
  <c r="E1142" i="1"/>
  <c r="G1142" i="1"/>
  <c r="H1142" i="1"/>
  <c r="K1142" i="1"/>
  <c r="E1143" i="1"/>
  <c r="G1143" i="1"/>
  <c r="H1143" i="1"/>
  <c r="K1143" i="1"/>
  <c r="E1144" i="1"/>
  <c r="G1144" i="1"/>
  <c r="H1144" i="1"/>
  <c r="K1144" i="1"/>
  <c r="E1145" i="1"/>
  <c r="G1145" i="1"/>
  <c r="H1145" i="1"/>
  <c r="K1145" i="1"/>
  <c r="E1146" i="1"/>
  <c r="G1146" i="1"/>
  <c r="H1146" i="1"/>
  <c r="K1146" i="1"/>
  <c r="E1147" i="1"/>
  <c r="G1147" i="1"/>
  <c r="H1147" i="1"/>
  <c r="K1147" i="1"/>
  <c r="E1148" i="1"/>
  <c r="G1148" i="1"/>
  <c r="H1148" i="1"/>
  <c r="K1148" i="1"/>
  <c r="E1149" i="1"/>
  <c r="G1149" i="1"/>
  <c r="H1149" i="1"/>
  <c r="K1149" i="1"/>
  <c r="E1150" i="1"/>
  <c r="G1150" i="1"/>
  <c r="H1150" i="1"/>
  <c r="K1150" i="1"/>
  <c r="E1151" i="1"/>
  <c r="G1151" i="1"/>
  <c r="H1151" i="1"/>
  <c r="K1151" i="1"/>
  <c r="E1152" i="1"/>
  <c r="G1152" i="1"/>
  <c r="H1152" i="1"/>
  <c r="K1152" i="1"/>
  <c r="E1153" i="1"/>
  <c r="G1153" i="1"/>
  <c r="H1153" i="1"/>
  <c r="K1153" i="1"/>
  <c r="E1154" i="1"/>
  <c r="G1154" i="1"/>
  <c r="H1154" i="1"/>
  <c r="K1154" i="1"/>
  <c r="E1155" i="1"/>
  <c r="G1155" i="1"/>
  <c r="H1155" i="1"/>
  <c r="K1155" i="1"/>
  <c r="E1156" i="1"/>
  <c r="G1156" i="1"/>
  <c r="H1156" i="1"/>
  <c r="K1156" i="1"/>
  <c r="E1157" i="1"/>
  <c r="G1157" i="1"/>
  <c r="H1157" i="1"/>
  <c r="K1157" i="1"/>
  <c r="E1158" i="1"/>
  <c r="G1158" i="1"/>
  <c r="H1158" i="1"/>
  <c r="K1158" i="1"/>
  <c r="E1159" i="1"/>
  <c r="G1159" i="1"/>
  <c r="H1159" i="1"/>
  <c r="K1159" i="1"/>
  <c r="E1160" i="1"/>
  <c r="G1160" i="1"/>
  <c r="H1160" i="1"/>
  <c r="K1160" i="1"/>
  <c r="E1161" i="1"/>
  <c r="G1161" i="1"/>
  <c r="H1161" i="1"/>
  <c r="K1161" i="1"/>
  <c r="E1162" i="1"/>
  <c r="G1162" i="1"/>
  <c r="H1162" i="1"/>
  <c r="K1162" i="1"/>
  <c r="E1163" i="1"/>
  <c r="G1163" i="1"/>
  <c r="H1163" i="1"/>
  <c r="K1163" i="1"/>
  <c r="E1164" i="1"/>
  <c r="G1164" i="1"/>
  <c r="H1164" i="1"/>
  <c r="K1164" i="1"/>
  <c r="E1165" i="1"/>
  <c r="G1165" i="1"/>
  <c r="H1165" i="1"/>
  <c r="K1165" i="1"/>
  <c r="E1166" i="1"/>
  <c r="G1166" i="1"/>
  <c r="H1166" i="1"/>
  <c r="K1166" i="1"/>
  <c r="E1167" i="1"/>
  <c r="G1167" i="1"/>
  <c r="H1167" i="1"/>
  <c r="K1167" i="1"/>
  <c r="E1168" i="1"/>
  <c r="G1168" i="1"/>
  <c r="H1168" i="1"/>
  <c r="K1168" i="1"/>
  <c r="E1169" i="1"/>
  <c r="G1169" i="1"/>
  <c r="H1169" i="1"/>
  <c r="K1169" i="1"/>
  <c r="E1170" i="1"/>
  <c r="G1170" i="1"/>
  <c r="H1170" i="1"/>
  <c r="K1170" i="1"/>
  <c r="E1171" i="1"/>
  <c r="G1171" i="1"/>
  <c r="H1171" i="1"/>
  <c r="K1171" i="1"/>
  <c r="E1172" i="1"/>
  <c r="G1172" i="1"/>
  <c r="H1172" i="1"/>
  <c r="K1172" i="1"/>
  <c r="E1173" i="1"/>
  <c r="G1173" i="1"/>
  <c r="H1173" i="1"/>
  <c r="K1173" i="1"/>
  <c r="E1174" i="1"/>
  <c r="G1174" i="1"/>
  <c r="H1174" i="1"/>
  <c r="K1174" i="1"/>
  <c r="E1175" i="1"/>
  <c r="G1175" i="1"/>
  <c r="H1175" i="1"/>
  <c r="K1175" i="1"/>
  <c r="E1176" i="1"/>
  <c r="G1176" i="1"/>
  <c r="H1176" i="1"/>
  <c r="K1176" i="1"/>
  <c r="E1177" i="1"/>
  <c r="G1177" i="1"/>
  <c r="H1177" i="1"/>
  <c r="K1177" i="1"/>
  <c r="E1178" i="1"/>
  <c r="G1178" i="1"/>
  <c r="H1178" i="1"/>
  <c r="K1178" i="1"/>
  <c r="E1179" i="1"/>
  <c r="G1179" i="1"/>
  <c r="H1179" i="1"/>
  <c r="K1179" i="1"/>
  <c r="E1180" i="1"/>
  <c r="G1180" i="1"/>
  <c r="H1180" i="1"/>
  <c r="K1180" i="1"/>
  <c r="E1181" i="1"/>
  <c r="G1181" i="1"/>
  <c r="H1181" i="1"/>
  <c r="K1181" i="1"/>
  <c r="E1182" i="1"/>
  <c r="G1182" i="1"/>
  <c r="H1182" i="1"/>
  <c r="K1182" i="1"/>
  <c r="E1183" i="1"/>
  <c r="G1183" i="1"/>
  <c r="H1183" i="1"/>
  <c r="K1183" i="1"/>
  <c r="E1184" i="1"/>
  <c r="G1184" i="1"/>
  <c r="H1184" i="1"/>
  <c r="K1184" i="1"/>
  <c r="E1185" i="1"/>
  <c r="G1185" i="1"/>
  <c r="H1185" i="1"/>
  <c r="K1185" i="1"/>
  <c r="E1186" i="1"/>
  <c r="G1186" i="1"/>
  <c r="H1186" i="1"/>
  <c r="K1186" i="1"/>
  <c r="E1187" i="1"/>
  <c r="G1187" i="1"/>
  <c r="H1187" i="1"/>
  <c r="K1187" i="1"/>
  <c r="E1188" i="1"/>
  <c r="G1188" i="1"/>
  <c r="H1188" i="1"/>
  <c r="K1188" i="1"/>
  <c r="E1189" i="1"/>
  <c r="G1189" i="1"/>
  <c r="H1189" i="1"/>
  <c r="K1189" i="1"/>
  <c r="E1190" i="1"/>
  <c r="G1190" i="1"/>
  <c r="H1190" i="1"/>
  <c r="K1190" i="1"/>
  <c r="E1191" i="1"/>
  <c r="G1191" i="1"/>
  <c r="H1191" i="1"/>
  <c r="K1191" i="1"/>
  <c r="E1192" i="1"/>
  <c r="G1192" i="1"/>
  <c r="H1192" i="1"/>
  <c r="K1192" i="1"/>
  <c r="E1193" i="1"/>
  <c r="G1193" i="1"/>
  <c r="H1193" i="1"/>
  <c r="K1193" i="1"/>
  <c r="E1194" i="1"/>
  <c r="G1194" i="1"/>
  <c r="H1194" i="1"/>
  <c r="K1194" i="1"/>
  <c r="E1195" i="1"/>
  <c r="G1195" i="1"/>
  <c r="H1195" i="1"/>
  <c r="K1195" i="1"/>
  <c r="E1196" i="1"/>
  <c r="G1196" i="1"/>
  <c r="H1196" i="1"/>
  <c r="K1196" i="1"/>
  <c r="E1197" i="1"/>
  <c r="G1197" i="1"/>
  <c r="H1197" i="1"/>
  <c r="K1197" i="1"/>
  <c r="E1198" i="1"/>
  <c r="G1198" i="1"/>
  <c r="H1198" i="1"/>
  <c r="K1198" i="1"/>
  <c r="E1199" i="1"/>
  <c r="G1199" i="1"/>
  <c r="H1199" i="1"/>
  <c r="K1199" i="1"/>
  <c r="E1200" i="1"/>
  <c r="G1200" i="1"/>
  <c r="H1200" i="1"/>
  <c r="K1200" i="1"/>
  <c r="E1201" i="1"/>
  <c r="G1201" i="1"/>
  <c r="H1201" i="1"/>
  <c r="K1201" i="1"/>
  <c r="E1202" i="1"/>
  <c r="G1202" i="1"/>
  <c r="H1202" i="1"/>
  <c r="K1202" i="1"/>
  <c r="E1203" i="1"/>
  <c r="G1203" i="1"/>
  <c r="H1203" i="1"/>
  <c r="K1203" i="1"/>
  <c r="E1204" i="1"/>
  <c r="G1204" i="1"/>
  <c r="H1204" i="1"/>
  <c r="K1204" i="1"/>
  <c r="E1205" i="1"/>
  <c r="G1205" i="1"/>
  <c r="H1205" i="1"/>
  <c r="K1205" i="1"/>
  <c r="E1206" i="1"/>
  <c r="G1206" i="1"/>
  <c r="H1206" i="1"/>
  <c r="K1206" i="1"/>
  <c r="E1207" i="1"/>
  <c r="G1207" i="1"/>
  <c r="H1207" i="1"/>
  <c r="K1207" i="1"/>
  <c r="E1208" i="1"/>
  <c r="G1208" i="1"/>
  <c r="H1208" i="1"/>
  <c r="K1208" i="1"/>
  <c r="E1209" i="1"/>
  <c r="G1209" i="1"/>
  <c r="H1209" i="1"/>
  <c r="K1209" i="1"/>
  <c r="E1210" i="1"/>
  <c r="G1210" i="1"/>
  <c r="H1210" i="1"/>
  <c r="K1210" i="1"/>
  <c r="E1211" i="1"/>
  <c r="G1211" i="1"/>
  <c r="H1211" i="1"/>
  <c r="K1211" i="1"/>
  <c r="E1212" i="1"/>
  <c r="G1212" i="1"/>
  <c r="H1212" i="1"/>
  <c r="K1212" i="1"/>
  <c r="E1213" i="1"/>
  <c r="G1213" i="1"/>
  <c r="H1213" i="1"/>
  <c r="K1213" i="1"/>
  <c r="E1214" i="1"/>
  <c r="G1214" i="1"/>
  <c r="H1214" i="1"/>
  <c r="K1214" i="1"/>
  <c r="E1215" i="1"/>
  <c r="G1215" i="1"/>
  <c r="H1215" i="1"/>
  <c r="K1215" i="1"/>
  <c r="E1216" i="1"/>
  <c r="G1216" i="1"/>
  <c r="H1216" i="1"/>
  <c r="K1216" i="1"/>
  <c r="E1217" i="1"/>
  <c r="G1217" i="1"/>
  <c r="H1217" i="1"/>
  <c r="K1217" i="1"/>
  <c r="E1218" i="1"/>
  <c r="G1218" i="1"/>
  <c r="H1218" i="1"/>
  <c r="K1218" i="1"/>
  <c r="E1219" i="1"/>
  <c r="G1219" i="1"/>
  <c r="H1219" i="1"/>
  <c r="K1219" i="1"/>
  <c r="E1220" i="1"/>
  <c r="G1220" i="1"/>
  <c r="H1220" i="1"/>
  <c r="K1220" i="1"/>
  <c r="E1221" i="1"/>
  <c r="G1221" i="1"/>
  <c r="H1221" i="1"/>
  <c r="K1221" i="1"/>
  <c r="E1222" i="1"/>
  <c r="G1222" i="1"/>
  <c r="H1222" i="1"/>
  <c r="K1222" i="1"/>
  <c r="E1223" i="1"/>
  <c r="G1223" i="1"/>
  <c r="H1223" i="1"/>
  <c r="K1223" i="1"/>
  <c r="E1224" i="1"/>
  <c r="G1224" i="1"/>
  <c r="H1224" i="1"/>
  <c r="K1224" i="1"/>
  <c r="E1225" i="1"/>
  <c r="G1225" i="1"/>
  <c r="H1225" i="1"/>
  <c r="K1225" i="1"/>
  <c r="E1226" i="1"/>
  <c r="G1226" i="1"/>
  <c r="H1226" i="1"/>
  <c r="K1226" i="1"/>
  <c r="E1227" i="1"/>
  <c r="G1227" i="1"/>
  <c r="H1227" i="1"/>
  <c r="K1227" i="1"/>
  <c r="E1228" i="1"/>
  <c r="G1228" i="1"/>
  <c r="H1228" i="1"/>
  <c r="K1228" i="1"/>
  <c r="E1229" i="1"/>
  <c r="G1229" i="1"/>
  <c r="H1229" i="1"/>
  <c r="K1229" i="1"/>
  <c r="E1230" i="1"/>
  <c r="G1230" i="1"/>
  <c r="H1230" i="1"/>
  <c r="K1230" i="1"/>
  <c r="E1231" i="1"/>
  <c r="G1231" i="1"/>
  <c r="H1231" i="1"/>
  <c r="K1231" i="1"/>
  <c r="E1232" i="1"/>
  <c r="G1232" i="1"/>
  <c r="H1232" i="1"/>
  <c r="K1232" i="1"/>
  <c r="E1233" i="1"/>
  <c r="G1233" i="1"/>
  <c r="H1233" i="1"/>
  <c r="K1233" i="1"/>
  <c r="E1234" i="1"/>
  <c r="G1234" i="1"/>
  <c r="H1234" i="1"/>
  <c r="K1234" i="1"/>
  <c r="E1235" i="1"/>
  <c r="G1235" i="1"/>
  <c r="H1235" i="1"/>
  <c r="K1235" i="1"/>
  <c r="E1236" i="1"/>
  <c r="G1236" i="1"/>
  <c r="H1236" i="1"/>
  <c r="K1236" i="1"/>
  <c r="E1237" i="1"/>
  <c r="G1237" i="1"/>
  <c r="H1237" i="1"/>
  <c r="K1237" i="1"/>
  <c r="E1238" i="1"/>
  <c r="G1238" i="1"/>
  <c r="H1238" i="1"/>
  <c r="K1238" i="1"/>
  <c r="E1239" i="1"/>
  <c r="G1239" i="1"/>
  <c r="H1239" i="1"/>
  <c r="K1239" i="1"/>
  <c r="E1240" i="1"/>
  <c r="G1240" i="1"/>
  <c r="H1240" i="1"/>
  <c r="K1240" i="1"/>
  <c r="E1241" i="1"/>
  <c r="G1241" i="1"/>
  <c r="H1241" i="1"/>
  <c r="K1241" i="1"/>
  <c r="E1242" i="1"/>
  <c r="G1242" i="1"/>
  <c r="H1242" i="1"/>
  <c r="K1242" i="1"/>
  <c r="E1243" i="1"/>
  <c r="G1243" i="1"/>
  <c r="H1243" i="1"/>
  <c r="K1243" i="1"/>
  <c r="E1244" i="1"/>
  <c r="G1244" i="1"/>
  <c r="H1244" i="1"/>
  <c r="K1244" i="1"/>
  <c r="E1245" i="1"/>
  <c r="G1245" i="1"/>
  <c r="H1245" i="1"/>
  <c r="K1245" i="1"/>
  <c r="E1246" i="1"/>
  <c r="G1246" i="1"/>
  <c r="H1246" i="1"/>
  <c r="K1246" i="1"/>
  <c r="E1247" i="1"/>
  <c r="G1247" i="1"/>
  <c r="H1247" i="1"/>
  <c r="K1247" i="1"/>
  <c r="E1248" i="1"/>
  <c r="G1248" i="1"/>
  <c r="H1248" i="1"/>
  <c r="K1248" i="1"/>
  <c r="E1249" i="1"/>
  <c r="G1249" i="1"/>
  <c r="H1249" i="1"/>
  <c r="K1249" i="1"/>
  <c r="E1250" i="1"/>
  <c r="G1250" i="1"/>
  <c r="H1250" i="1"/>
  <c r="K1250" i="1"/>
  <c r="E1251" i="1"/>
  <c r="G1251" i="1"/>
  <c r="H1251" i="1"/>
  <c r="K1251" i="1"/>
  <c r="E1252" i="1"/>
  <c r="G1252" i="1"/>
  <c r="H1252" i="1"/>
  <c r="K1252" i="1"/>
  <c r="E1253" i="1"/>
  <c r="G1253" i="1"/>
  <c r="H1253" i="1"/>
  <c r="K1253" i="1"/>
  <c r="E1254" i="1"/>
  <c r="G1254" i="1"/>
  <c r="H1254" i="1"/>
  <c r="K1254" i="1"/>
  <c r="E1255" i="1"/>
  <c r="G1255" i="1"/>
  <c r="H1255" i="1"/>
  <c r="K1255" i="1"/>
  <c r="E1256" i="1"/>
  <c r="G1256" i="1"/>
  <c r="H1256" i="1"/>
  <c r="K1256" i="1"/>
  <c r="E1257" i="1"/>
  <c r="G1257" i="1"/>
  <c r="H1257" i="1"/>
  <c r="K1257" i="1"/>
  <c r="E1258" i="1"/>
  <c r="G1258" i="1"/>
  <c r="H1258" i="1"/>
  <c r="K1258" i="1"/>
  <c r="E1259" i="1"/>
  <c r="G1259" i="1"/>
  <c r="H1259" i="1"/>
  <c r="K1259" i="1"/>
  <c r="E1260" i="1"/>
  <c r="G1260" i="1"/>
  <c r="H1260" i="1"/>
  <c r="K1260" i="1"/>
  <c r="E1261" i="1"/>
  <c r="G1261" i="1"/>
  <c r="H1261" i="1"/>
  <c r="K1261" i="1"/>
  <c r="E1262" i="1"/>
  <c r="G1262" i="1"/>
  <c r="H1262" i="1"/>
  <c r="K1262" i="1"/>
  <c r="E1263" i="1"/>
  <c r="G1263" i="1"/>
  <c r="H1263" i="1"/>
  <c r="K1263" i="1"/>
  <c r="E1264" i="1"/>
  <c r="G1264" i="1"/>
  <c r="H1264" i="1"/>
  <c r="K1264" i="1"/>
  <c r="E1265" i="1"/>
  <c r="G1265" i="1"/>
  <c r="H1265" i="1"/>
  <c r="K1265" i="1"/>
  <c r="E1266" i="1"/>
  <c r="G1266" i="1"/>
  <c r="H1266" i="1"/>
  <c r="K1266" i="1"/>
  <c r="E1267" i="1"/>
  <c r="G1267" i="1"/>
  <c r="H1267" i="1"/>
  <c r="K1267" i="1"/>
  <c r="E1268" i="1"/>
  <c r="G1268" i="1"/>
  <c r="H1268" i="1"/>
  <c r="K1268" i="1"/>
  <c r="E1269" i="1"/>
  <c r="G1269" i="1"/>
  <c r="H1269" i="1"/>
  <c r="K1269" i="1"/>
  <c r="E1270" i="1"/>
  <c r="G1270" i="1"/>
  <c r="H1270" i="1"/>
  <c r="K1270" i="1"/>
  <c r="E1271" i="1"/>
  <c r="G1271" i="1"/>
  <c r="H1271" i="1"/>
  <c r="K1271" i="1"/>
  <c r="E1272" i="1"/>
  <c r="G1272" i="1"/>
  <c r="H1272" i="1"/>
  <c r="K1272" i="1"/>
  <c r="E1273" i="1"/>
  <c r="G1273" i="1"/>
  <c r="H1273" i="1"/>
  <c r="K1273" i="1"/>
  <c r="E1274" i="1"/>
  <c r="G1274" i="1"/>
  <c r="H1274" i="1"/>
  <c r="K1274" i="1"/>
  <c r="E1275" i="1"/>
  <c r="G1275" i="1"/>
  <c r="H1275" i="1"/>
  <c r="K1275" i="1"/>
  <c r="E1276" i="1"/>
  <c r="G1276" i="1"/>
  <c r="H1276" i="1"/>
  <c r="K1276" i="1"/>
  <c r="E1277" i="1"/>
  <c r="G1277" i="1"/>
  <c r="H1277" i="1"/>
  <c r="K1277" i="1"/>
  <c r="E1278" i="1"/>
  <c r="G1278" i="1"/>
  <c r="H1278" i="1"/>
  <c r="K1278" i="1"/>
  <c r="E1279" i="1"/>
  <c r="G1279" i="1"/>
  <c r="H1279" i="1"/>
  <c r="K1279" i="1"/>
  <c r="E1280" i="1"/>
  <c r="G1280" i="1"/>
  <c r="H1280" i="1"/>
  <c r="K1280" i="1"/>
  <c r="E1281" i="1"/>
  <c r="G1281" i="1"/>
  <c r="H1281" i="1"/>
  <c r="K1281" i="1"/>
  <c r="E1282" i="1"/>
  <c r="G1282" i="1"/>
  <c r="H1282" i="1"/>
  <c r="K1282" i="1"/>
  <c r="E1283" i="1"/>
  <c r="G1283" i="1"/>
  <c r="H1283" i="1"/>
  <c r="K1283" i="1"/>
  <c r="E1284" i="1"/>
  <c r="G1284" i="1"/>
  <c r="H1284" i="1"/>
  <c r="K1284" i="1"/>
  <c r="E1285" i="1"/>
  <c r="G1285" i="1"/>
  <c r="H1285" i="1"/>
  <c r="K1285" i="1"/>
  <c r="E1286" i="1"/>
  <c r="G1286" i="1"/>
  <c r="H1286" i="1"/>
  <c r="K1286" i="1"/>
  <c r="E1287" i="1"/>
  <c r="G1287" i="1"/>
  <c r="H1287" i="1"/>
  <c r="K1287" i="1"/>
  <c r="E1288" i="1"/>
  <c r="G1288" i="1"/>
  <c r="H1288" i="1"/>
  <c r="K1288" i="1"/>
  <c r="E1289" i="1"/>
  <c r="G1289" i="1"/>
  <c r="H1289" i="1"/>
  <c r="K1289" i="1"/>
  <c r="E1290" i="1"/>
  <c r="G1290" i="1"/>
  <c r="H1290" i="1"/>
  <c r="K1290" i="1"/>
  <c r="E1291" i="1"/>
  <c r="G1291" i="1"/>
  <c r="H1291" i="1"/>
  <c r="K1291" i="1"/>
  <c r="E1292" i="1"/>
  <c r="G1292" i="1"/>
  <c r="H1292" i="1"/>
  <c r="K1292" i="1"/>
  <c r="E1293" i="1"/>
  <c r="G1293" i="1"/>
  <c r="H1293" i="1"/>
  <c r="K1293" i="1"/>
  <c r="E1294" i="1"/>
  <c r="G1294" i="1"/>
  <c r="H1294" i="1"/>
  <c r="K1294" i="1"/>
  <c r="E1295" i="1"/>
  <c r="G1295" i="1"/>
  <c r="H1295" i="1"/>
  <c r="K1295" i="1"/>
  <c r="E1296" i="1"/>
  <c r="G1296" i="1"/>
  <c r="H1296" i="1"/>
  <c r="K1296" i="1"/>
  <c r="E1297" i="1"/>
  <c r="G1297" i="1"/>
  <c r="H1297" i="1"/>
  <c r="K1297" i="1"/>
  <c r="E1298" i="1"/>
  <c r="G1298" i="1"/>
  <c r="H1298" i="1"/>
  <c r="K1298" i="1"/>
  <c r="E1299" i="1"/>
  <c r="G1299" i="1"/>
  <c r="H1299" i="1"/>
  <c r="K1299" i="1"/>
  <c r="E1300" i="1"/>
  <c r="G1300" i="1"/>
  <c r="H1300" i="1"/>
  <c r="K1300" i="1"/>
  <c r="E1301" i="1"/>
  <c r="G1301" i="1"/>
  <c r="H1301" i="1"/>
  <c r="K1301" i="1"/>
  <c r="E1302" i="1"/>
  <c r="G1302" i="1"/>
  <c r="H1302" i="1"/>
  <c r="K1302" i="1"/>
  <c r="E1303" i="1"/>
  <c r="G1303" i="1"/>
  <c r="H1303" i="1"/>
  <c r="K1303" i="1"/>
  <c r="E1304" i="1"/>
  <c r="G1304" i="1"/>
  <c r="H1304" i="1"/>
  <c r="K1304" i="1"/>
  <c r="E1305" i="1"/>
  <c r="G1305" i="1"/>
  <c r="H1305" i="1"/>
  <c r="K1305" i="1"/>
  <c r="E1306" i="1"/>
  <c r="G1306" i="1"/>
  <c r="H1306" i="1"/>
  <c r="K1306" i="1"/>
  <c r="E1307" i="1"/>
  <c r="G1307" i="1"/>
  <c r="H1307" i="1"/>
  <c r="K1307" i="1"/>
  <c r="E1308" i="1"/>
  <c r="G1308" i="1"/>
  <c r="H1308" i="1"/>
  <c r="K1308" i="1"/>
  <c r="E1309" i="1"/>
  <c r="G1309" i="1"/>
  <c r="H1309" i="1"/>
  <c r="K1309" i="1"/>
  <c r="E1310" i="1"/>
  <c r="G1310" i="1"/>
  <c r="H1310" i="1"/>
  <c r="K1310" i="1"/>
  <c r="E1311" i="1"/>
  <c r="G1311" i="1"/>
  <c r="H1311" i="1"/>
  <c r="K1311" i="1"/>
  <c r="E1312" i="1"/>
  <c r="G1312" i="1"/>
  <c r="H1312" i="1"/>
  <c r="K1312" i="1"/>
  <c r="E1313" i="1"/>
  <c r="G1313" i="1"/>
  <c r="H1313" i="1"/>
  <c r="K1313" i="1"/>
  <c r="E1314" i="1"/>
  <c r="G1314" i="1"/>
  <c r="H1314" i="1"/>
  <c r="K1314" i="1"/>
  <c r="E1315" i="1"/>
  <c r="G1315" i="1"/>
  <c r="H1315" i="1"/>
  <c r="K1315" i="1"/>
  <c r="E1316" i="1"/>
  <c r="G1316" i="1"/>
  <c r="H1316" i="1"/>
  <c r="K1316" i="1"/>
  <c r="E1317" i="1"/>
  <c r="G1317" i="1"/>
  <c r="H1317" i="1"/>
  <c r="K1317" i="1"/>
  <c r="E1318" i="1"/>
  <c r="G1318" i="1"/>
  <c r="H1318" i="1"/>
  <c r="K1318" i="1"/>
  <c r="E1319" i="1"/>
  <c r="G1319" i="1"/>
  <c r="H1319" i="1"/>
  <c r="K1319" i="1"/>
  <c r="E1320" i="1"/>
  <c r="G1320" i="1"/>
  <c r="H1320" i="1"/>
  <c r="K1320" i="1"/>
  <c r="E1321" i="1"/>
  <c r="G1321" i="1"/>
  <c r="H1321" i="1"/>
  <c r="K1321" i="1"/>
  <c r="E1322" i="1"/>
  <c r="G1322" i="1"/>
  <c r="H1322" i="1"/>
  <c r="K1322" i="1"/>
  <c r="E1323" i="1"/>
  <c r="G1323" i="1"/>
  <c r="H1323" i="1"/>
  <c r="K1323" i="1"/>
  <c r="E1324" i="1"/>
  <c r="G1324" i="1"/>
  <c r="H1324" i="1"/>
  <c r="K1324" i="1"/>
  <c r="E1325" i="1"/>
  <c r="G1325" i="1"/>
  <c r="H1325" i="1"/>
  <c r="K1325" i="1"/>
  <c r="E1326" i="1"/>
  <c r="G1326" i="1"/>
  <c r="H1326" i="1"/>
  <c r="K1326" i="1"/>
  <c r="E1327" i="1"/>
  <c r="G1327" i="1"/>
  <c r="H1327" i="1"/>
  <c r="K1327" i="1"/>
  <c r="E1328" i="1"/>
  <c r="G1328" i="1"/>
  <c r="H1328" i="1"/>
  <c r="K1328" i="1"/>
  <c r="E1329" i="1"/>
  <c r="G1329" i="1"/>
  <c r="H1329" i="1"/>
  <c r="K1329" i="1"/>
  <c r="E1330" i="1"/>
  <c r="G1330" i="1"/>
  <c r="H1330" i="1"/>
  <c r="K1330" i="1"/>
  <c r="E1331" i="1"/>
  <c r="G1331" i="1"/>
  <c r="H1331" i="1"/>
  <c r="K1331" i="1"/>
  <c r="E1332" i="1"/>
  <c r="G1332" i="1"/>
  <c r="H1332" i="1"/>
  <c r="K1332" i="1"/>
  <c r="E1333" i="1"/>
  <c r="G1333" i="1"/>
  <c r="H1333" i="1"/>
  <c r="K1333" i="1"/>
  <c r="E1334" i="1"/>
  <c r="G1334" i="1"/>
  <c r="H1334" i="1"/>
  <c r="K1334" i="1"/>
  <c r="E1335" i="1"/>
  <c r="G1335" i="1"/>
  <c r="H1335" i="1"/>
  <c r="K1335" i="1"/>
  <c r="E1336" i="1"/>
  <c r="G1336" i="1"/>
  <c r="H1336" i="1"/>
  <c r="K1336" i="1"/>
  <c r="E1337" i="1"/>
  <c r="G1337" i="1"/>
  <c r="H1337" i="1"/>
  <c r="K1337" i="1"/>
  <c r="E1338" i="1"/>
  <c r="G1338" i="1"/>
  <c r="H1338" i="1"/>
  <c r="K1338" i="1"/>
  <c r="E1339" i="1"/>
  <c r="G1339" i="1"/>
  <c r="H1339" i="1"/>
  <c r="K1339" i="1"/>
  <c r="E1340" i="1"/>
  <c r="G1340" i="1"/>
  <c r="H1340" i="1"/>
  <c r="K1340" i="1"/>
  <c r="E1341" i="1"/>
  <c r="G1341" i="1"/>
  <c r="H1341" i="1"/>
  <c r="K1341" i="1"/>
  <c r="E1342" i="1"/>
  <c r="G1342" i="1"/>
  <c r="H1342" i="1"/>
  <c r="K1342" i="1"/>
  <c r="E1343" i="1"/>
  <c r="G1343" i="1"/>
  <c r="H1343" i="1"/>
  <c r="K1343" i="1"/>
  <c r="E1344" i="1"/>
  <c r="G1344" i="1"/>
  <c r="H1344" i="1"/>
  <c r="K1344" i="1"/>
  <c r="E1345" i="1"/>
  <c r="G1345" i="1"/>
  <c r="H1345" i="1"/>
  <c r="K1345" i="1"/>
  <c r="E1346" i="1"/>
  <c r="G1346" i="1"/>
  <c r="H1346" i="1"/>
  <c r="K1346" i="1"/>
  <c r="E1347" i="1"/>
  <c r="G1347" i="1"/>
  <c r="H1347" i="1"/>
  <c r="K1347" i="1"/>
  <c r="E1348" i="1"/>
  <c r="G1348" i="1"/>
  <c r="H1348" i="1"/>
  <c r="K1348" i="1"/>
  <c r="E1349" i="1"/>
  <c r="G1349" i="1"/>
  <c r="H1349" i="1"/>
  <c r="K1349" i="1"/>
  <c r="E1350" i="1"/>
  <c r="G1350" i="1"/>
  <c r="H1350" i="1"/>
  <c r="K1350" i="1"/>
  <c r="E1351" i="1"/>
  <c r="G1351" i="1"/>
  <c r="H1351" i="1"/>
  <c r="K1351" i="1"/>
  <c r="E1352" i="1"/>
  <c r="G1352" i="1"/>
  <c r="H1352" i="1"/>
  <c r="K1352" i="1"/>
  <c r="E1353" i="1"/>
  <c r="G1353" i="1"/>
  <c r="H1353" i="1"/>
  <c r="K1353" i="1"/>
  <c r="E1354" i="1"/>
  <c r="G1354" i="1"/>
  <c r="H1354" i="1"/>
  <c r="K1354" i="1"/>
  <c r="E1355" i="1"/>
  <c r="G1355" i="1"/>
  <c r="H1355" i="1"/>
  <c r="K1355" i="1"/>
  <c r="E1356" i="1"/>
  <c r="G1356" i="1"/>
  <c r="H1356" i="1"/>
  <c r="K1356" i="1"/>
  <c r="E1357" i="1"/>
  <c r="G1357" i="1"/>
  <c r="H1357" i="1"/>
  <c r="K1357" i="1"/>
  <c r="E1358" i="1"/>
  <c r="G1358" i="1"/>
  <c r="H1358" i="1"/>
  <c r="K1358" i="1"/>
  <c r="E1359" i="1"/>
  <c r="G1359" i="1"/>
  <c r="H1359" i="1"/>
  <c r="K1359" i="1"/>
  <c r="E1360" i="1"/>
  <c r="G1360" i="1"/>
  <c r="H1360" i="1"/>
  <c r="K1360" i="1"/>
  <c r="E1361" i="1"/>
  <c r="G1361" i="1"/>
  <c r="H1361" i="1"/>
  <c r="K1361" i="1"/>
  <c r="E1362" i="1"/>
  <c r="G1362" i="1"/>
  <c r="H1362" i="1"/>
  <c r="K1362" i="1"/>
  <c r="E1363" i="1"/>
  <c r="G1363" i="1"/>
  <c r="H1363" i="1"/>
  <c r="K1363" i="1"/>
  <c r="E1364" i="1"/>
  <c r="G1364" i="1"/>
  <c r="H1364" i="1"/>
  <c r="K1364" i="1"/>
  <c r="E1365" i="1"/>
  <c r="G1365" i="1"/>
  <c r="H1365" i="1"/>
  <c r="K1365" i="1"/>
  <c r="E1366" i="1"/>
  <c r="G1366" i="1"/>
  <c r="H1366" i="1"/>
  <c r="K1366" i="1"/>
  <c r="E1367" i="1"/>
  <c r="G1367" i="1"/>
  <c r="H1367" i="1"/>
  <c r="K1367" i="1"/>
  <c r="E1368" i="1"/>
  <c r="G1368" i="1"/>
  <c r="H1368" i="1"/>
  <c r="K1368" i="1"/>
  <c r="E1369" i="1"/>
  <c r="G1369" i="1"/>
  <c r="H1369" i="1"/>
  <c r="K1369" i="1"/>
  <c r="E1370" i="1"/>
  <c r="G1370" i="1"/>
  <c r="H1370" i="1"/>
  <c r="K1370" i="1"/>
  <c r="E1371" i="1"/>
  <c r="G1371" i="1"/>
  <c r="H1371" i="1"/>
  <c r="K1371" i="1"/>
  <c r="E1372" i="1"/>
  <c r="G1372" i="1"/>
  <c r="H1372" i="1"/>
  <c r="K1372" i="1"/>
  <c r="E1373" i="1"/>
  <c r="G1373" i="1"/>
  <c r="H1373" i="1"/>
  <c r="K1373" i="1"/>
  <c r="E1374" i="1"/>
  <c r="G1374" i="1"/>
  <c r="H1374" i="1"/>
  <c r="K1374" i="1"/>
  <c r="E1375" i="1"/>
  <c r="G1375" i="1"/>
  <c r="H1375" i="1"/>
  <c r="K1375" i="1"/>
  <c r="E1376" i="1"/>
  <c r="G1376" i="1"/>
  <c r="H1376" i="1"/>
  <c r="K1376" i="1"/>
  <c r="E1377" i="1"/>
  <c r="G1377" i="1"/>
  <c r="H1377" i="1"/>
  <c r="K1377" i="1"/>
  <c r="E1378" i="1"/>
  <c r="G1378" i="1"/>
  <c r="H1378" i="1"/>
  <c r="K1378" i="1"/>
  <c r="E1379" i="1"/>
  <c r="G1379" i="1"/>
  <c r="H1379" i="1"/>
  <c r="K1379" i="1"/>
  <c r="E1380" i="1"/>
  <c r="G1380" i="1"/>
  <c r="H1380" i="1"/>
  <c r="K1380" i="1"/>
  <c r="E1381" i="1"/>
  <c r="G1381" i="1"/>
  <c r="H1381" i="1"/>
  <c r="K1381" i="1"/>
  <c r="E1382" i="1"/>
  <c r="G1382" i="1"/>
  <c r="H1382" i="1"/>
  <c r="K1382" i="1"/>
  <c r="E1383" i="1"/>
  <c r="G1383" i="1"/>
  <c r="H1383" i="1"/>
  <c r="K1383" i="1"/>
  <c r="E1384" i="1"/>
  <c r="G1384" i="1"/>
  <c r="H1384" i="1"/>
  <c r="K1384" i="1"/>
  <c r="E1385" i="1"/>
  <c r="G1385" i="1"/>
  <c r="H1385" i="1"/>
  <c r="K1385" i="1"/>
  <c r="E1386" i="1"/>
  <c r="G1386" i="1"/>
  <c r="H1386" i="1"/>
  <c r="K1386" i="1"/>
  <c r="E1387" i="1"/>
  <c r="G1387" i="1"/>
  <c r="H1387" i="1"/>
  <c r="K1387" i="1"/>
  <c r="E1388" i="1"/>
  <c r="G1388" i="1"/>
  <c r="H1388" i="1"/>
  <c r="K1388" i="1"/>
  <c r="E1389" i="1"/>
  <c r="G1389" i="1"/>
  <c r="H1389" i="1"/>
  <c r="K1389" i="1"/>
  <c r="E1390" i="1"/>
  <c r="G1390" i="1"/>
  <c r="H1390" i="1"/>
  <c r="K1390" i="1"/>
  <c r="E1391" i="1"/>
  <c r="G1391" i="1"/>
  <c r="H1391" i="1"/>
  <c r="K1391" i="1"/>
  <c r="E1392" i="1"/>
  <c r="G1392" i="1"/>
  <c r="H1392" i="1"/>
  <c r="K1392" i="1"/>
  <c r="E1393" i="1"/>
  <c r="G1393" i="1"/>
  <c r="H1393" i="1"/>
  <c r="K1393" i="1"/>
  <c r="E1394" i="1"/>
  <c r="G1394" i="1"/>
  <c r="H1394" i="1"/>
  <c r="K1394" i="1"/>
  <c r="E1395" i="1"/>
  <c r="G1395" i="1"/>
  <c r="H1395" i="1"/>
  <c r="K1395" i="1"/>
  <c r="E1396" i="1"/>
  <c r="G1396" i="1"/>
  <c r="H1396" i="1"/>
  <c r="K1396" i="1"/>
  <c r="E1397" i="1"/>
  <c r="G1397" i="1"/>
  <c r="H1397" i="1"/>
  <c r="K1397" i="1"/>
  <c r="E1398" i="1"/>
  <c r="G1398" i="1"/>
  <c r="H1398" i="1"/>
  <c r="K1398" i="1"/>
  <c r="E1399" i="1"/>
  <c r="G1399" i="1"/>
  <c r="H1399" i="1"/>
  <c r="K1399" i="1"/>
  <c r="E1400" i="1"/>
  <c r="G1400" i="1"/>
  <c r="H1400" i="1"/>
  <c r="K1400" i="1"/>
  <c r="E1401" i="1"/>
  <c r="G1401" i="1"/>
  <c r="H1401" i="1"/>
  <c r="K1401" i="1"/>
  <c r="E1402" i="1"/>
  <c r="G1402" i="1"/>
  <c r="H1402" i="1"/>
  <c r="K1402" i="1"/>
  <c r="E1403" i="1"/>
  <c r="G1403" i="1"/>
  <c r="H1403" i="1"/>
  <c r="K1403" i="1"/>
  <c r="E1404" i="1"/>
  <c r="G1404" i="1"/>
  <c r="H1404" i="1"/>
  <c r="K1404" i="1"/>
  <c r="E1405" i="1"/>
  <c r="G1405" i="1"/>
  <c r="H1405" i="1"/>
  <c r="K1405" i="1"/>
  <c r="E1406" i="1"/>
  <c r="G1406" i="1"/>
  <c r="H1406" i="1"/>
  <c r="K1406" i="1"/>
  <c r="E1407" i="1"/>
  <c r="G1407" i="1"/>
  <c r="H1407" i="1"/>
  <c r="K1407" i="1"/>
  <c r="E1408" i="1"/>
  <c r="G1408" i="1"/>
  <c r="H1408" i="1"/>
  <c r="K1408" i="1"/>
  <c r="E1409" i="1"/>
  <c r="G1409" i="1"/>
  <c r="H1409" i="1"/>
  <c r="K1409" i="1"/>
  <c r="E1410" i="1"/>
  <c r="G1410" i="1"/>
  <c r="H1410" i="1"/>
  <c r="K1410" i="1"/>
  <c r="E1411" i="1"/>
  <c r="G1411" i="1"/>
  <c r="H1411" i="1"/>
  <c r="K1411" i="1"/>
  <c r="E1412" i="1"/>
  <c r="G1412" i="1"/>
  <c r="H1412" i="1"/>
  <c r="K1412" i="1"/>
  <c r="E1413" i="1"/>
  <c r="G1413" i="1"/>
  <c r="H1413" i="1"/>
  <c r="K1413" i="1"/>
  <c r="E1414" i="1"/>
  <c r="G1414" i="1"/>
  <c r="H1414" i="1"/>
  <c r="K1414" i="1"/>
  <c r="E1415" i="1"/>
  <c r="G1415" i="1"/>
  <c r="H1415" i="1"/>
  <c r="K1415" i="1"/>
  <c r="E1416" i="1"/>
  <c r="G1416" i="1"/>
  <c r="H1416" i="1"/>
  <c r="K1416" i="1"/>
  <c r="E1417" i="1"/>
  <c r="G1417" i="1"/>
  <c r="H1417" i="1"/>
  <c r="K1417" i="1"/>
  <c r="E1418" i="1"/>
  <c r="G1418" i="1"/>
  <c r="H1418" i="1"/>
  <c r="K1418" i="1"/>
  <c r="E1419" i="1"/>
  <c r="G1419" i="1"/>
  <c r="H1419" i="1"/>
  <c r="K1419" i="1"/>
  <c r="E1420" i="1"/>
  <c r="G1420" i="1"/>
  <c r="H1420" i="1"/>
  <c r="K1420" i="1"/>
  <c r="E1421" i="1"/>
  <c r="G1421" i="1"/>
  <c r="H1421" i="1"/>
  <c r="K1421" i="1"/>
  <c r="E1422" i="1"/>
  <c r="G1422" i="1"/>
  <c r="H1422" i="1"/>
  <c r="K1422" i="1"/>
  <c r="E1423" i="1"/>
  <c r="G1423" i="1"/>
  <c r="H1423" i="1"/>
  <c r="K1423" i="1"/>
  <c r="E1424" i="1"/>
  <c r="G1424" i="1"/>
  <c r="H1424" i="1"/>
  <c r="K1424" i="1"/>
  <c r="E1425" i="1"/>
  <c r="G1425" i="1"/>
  <c r="H1425" i="1"/>
  <c r="K1425" i="1"/>
  <c r="E1426" i="1"/>
  <c r="G1426" i="1"/>
  <c r="H1426" i="1"/>
  <c r="K1426" i="1"/>
  <c r="E1427" i="1"/>
  <c r="G1427" i="1"/>
  <c r="H1427" i="1"/>
  <c r="K1427" i="1"/>
  <c r="E1428" i="1"/>
  <c r="G1428" i="1"/>
  <c r="H1428" i="1"/>
  <c r="K1428" i="1"/>
  <c r="E1429" i="1"/>
  <c r="G1429" i="1"/>
  <c r="H1429" i="1"/>
  <c r="K1429" i="1"/>
  <c r="E1430" i="1"/>
  <c r="G1430" i="1"/>
  <c r="H1430" i="1"/>
  <c r="K1430" i="1"/>
  <c r="E1431" i="1"/>
  <c r="G1431" i="1"/>
  <c r="H1431" i="1"/>
  <c r="K1431" i="1"/>
  <c r="E1432" i="1"/>
  <c r="G1432" i="1"/>
  <c r="H1432" i="1"/>
  <c r="K1432" i="1"/>
  <c r="E1433" i="1"/>
  <c r="G1433" i="1"/>
  <c r="H1433" i="1"/>
  <c r="K1433" i="1"/>
  <c r="E1434" i="1"/>
  <c r="G1434" i="1"/>
  <c r="H1434" i="1"/>
  <c r="K1434" i="1"/>
  <c r="E1435" i="1"/>
  <c r="G1435" i="1"/>
  <c r="H1435" i="1"/>
  <c r="K1435" i="1"/>
  <c r="E1436" i="1"/>
  <c r="G1436" i="1"/>
  <c r="H1436" i="1"/>
  <c r="K1436" i="1"/>
  <c r="E1437" i="1"/>
  <c r="G1437" i="1"/>
  <c r="H1437" i="1"/>
  <c r="K1437" i="1"/>
  <c r="E1438" i="1"/>
  <c r="G1438" i="1"/>
  <c r="H1438" i="1"/>
  <c r="K1438" i="1"/>
  <c r="E1439" i="1"/>
  <c r="G1439" i="1"/>
  <c r="H1439" i="1"/>
  <c r="K1439" i="1"/>
  <c r="E1440" i="1"/>
  <c r="G1440" i="1"/>
  <c r="H1440" i="1"/>
  <c r="K1440" i="1"/>
  <c r="E1441" i="1"/>
  <c r="G1441" i="1"/>
  <c r="H1441" i="1"/>
  <c r="K1441" i="1"/>
  <c r="E1442" i="1"/>
  <c r="G1442" i="1"/>
  <c r="H1442" i="1"/>
  <c r="K1442" i="1"/>
  <c r="E1443" i="1"/>
  <c r="G1443" i="1"/>
  <c r="H1443" i="1"/>
  <c r="K1443" i="1"/>
  <c r="E1444" i="1"/>
  <c r="G1444" i="1"/>
  <c r="H1444" i="1"/>
  <c r="K1444" i="1"/>
  <c r="E1445" i="1"/>
  <c r="G1445" i="1"/>
  <c r="H1445" i="1"/>
  <c r="K1445" i="1"/>
  <c r="E1446" i="1"/>
  <c r="G1446" i="1"/>
  <c r="H1446" i="1"/>
  <c r="K1446" i="1"/>
  <c r="E1447" i="1"/>
  <c r="G1447" i="1"/>
  <c r="H1447" i="1"/>
  <c r="K1447" i="1"/>
  <c r="E1448" i="1"/>
  <c r="G1448" i="1"/>
  <c r="H1448" i="1"/>
  <c r="K1448" i="1"/>
  <c r="E1449" i="1"/>
  <c r="G1449" i="1"/>
  <c r="H1449" i="1"/>
  <c r="K1449" i="1"/>
  <c r="E1450" i="1"/>
  <c r="G1450" i="1"/>
  <c r="H1450" i="1"/>
  <c r="K1450" i="1"/>
  <c r="E1451" i="1"/>
  <c r="G1451" i="1"/>
  <c r="H1451" i="1"/>
  <c r="K1451" i="1"/>
  <c r="E1452" i="1"/>
  <c r="G1452" i="1"/>
  <c r="H1452" i="1"/>
  <c r="K1452" i="1"/>
  <c r="E1453" i="1"/>
  <c r="G1453" i="1"/>
  <c r="H1453" i="1"/>
  <c r="K1453" i="1"/>
  <c r="E1454" i="1"/>
  <c r="G1454" i="1"/>
  <c r="H1454" i="1"/>
  <c r="K1454" i="1"/>
  <c r="E1455" i="1"/>
  <c r="G1455" i="1"/>
  <c r="H1455" i="1"/>
  <c r="K1455" i="1"/>
  <c r="E1456" i="1"/>
  <c r="G1456" i="1"/>
  <c r="H1456" i="1"/>
  <c r="K1456" i="1"/>
  <c r="E1457" i="1"/>
  <c r="G1457" i="1"/>
  <c r="H1457" i="1"/>
  <c r="K1457" i="1"/>
  <c r="E1458" i="1"/>
  <c r="G1458" i="1"/>
  <c r="H1458" i="1"/>
  <c r="K1458" i="1"/>
  <c r="E1459" i="1"/>
  <c r="G1459" i="1"/>
  <c r="H1459" i="1"/>
  <c r="K1459" i="1"/>
  <c r="E1460" i="1"/>
  <c r="G1460" i="1"/>
  <c r="H1460" i="1"/>
  <c r="K1460" i="1"/>
  <c r="E1461" i="1"/>
  <c r="G1461" i="1"/>
  <c r="H1461" i="1"/>
  <c r="K1461" i="1"/>
  <c r="E1462" i="1"/>
  <c r="G1462" i="1"/>
  <c r="H1462" i="1"/>
  <c r="K1462" i="1"/>
  <c r="E1463" i="1"/>
  <c r="G1463" i="1"/>
  <c r="H1463" i="1"/>
  <c r="K1463" i="1"/>
  <c r="E1464" i="1"/>
  <c r="G1464" i="1"/>
  <c r="H1464" i="1"/>
  <c r="K1464" i="1"/>
  <c r="E1465" i="1"/>
  <c r="G1465" i="1"/>
  <c r="H1465" i="1"/>
  <c r="K1465" i="1"/>
  <c r="E1466" i="1"/>
  <c r="G1466" i="1"/>
  <c r="H1466" i="1"/>
  <c r="K1466" i="1"/>
  <c r="E1467" i="1"/>
  <c r="G1467" i="1"/>
  <c r="H1467" i="1"/>
  <c r="K1467" i="1"/>
  <c r="E1468" i="1"/>
  <c r="G1468" i="1"/>
  <c r="H1468" i="1"/>
  <c r="K1468" i="1"/>
  <c r="E1469" i="1"/>
  <c r="G1469" i="1"/>
  <c r="H1469" i="1"/>
  <c r="K1469" i="1"/>
  <c r="E1470" i="1"/>
  <c r="G1470" i="1"/>
  <c r="H1470" i="1"/>
  <c r="K1470" i="1"/>
  <c r="E1471" i="1"/>
  <c r="G1471" i="1"/>
  <c r="H1471" i="1"/>
  <c r="K1471" i="1"/>
  <c r="E1472" i="1"/>
  <c r="G1472" i="1"/>
  <c r="H1472" i="1"/>
  <c r="K1472" i="1"/>
  <c r="E1473" i="1"/>
  <c r="G1473" i="1"/>
  <c r="H1473" i="1"/>
  <c r="K1473" i="1"/>
  <c r="E1474" i="1"/>
  <c r="G1474" i="1"/>
  <c r="H1474" i="1"/>
  <c r="K1474" i="1"/>
  <c r="E1475" i="1"/>
  <c r="G1475" i="1"/>
  <c r="H1475" i="1"/>
  <c r="K1475" i="1"/>
  <c r="E1476" i="1"/>
  <c r="G1476" i="1"/>
  <c r="H1476" i="1"/>
  <c r="K1476" i="1"/>
  <c r="E1477" i="1"/>
  <c r="G1477" i="1"/>
  <c r="H1477" i="1"/>
  <c r="K1477" i="1"/>
  <c r="E1478" i="1"/>
  <c r="G1478" i="1"/>
  <c r="H1478" i="1"/>
  <c r="K1478" i="1"/>
  <c r="E1479" i="1"/>
  <c r="G1479" i="1"/>
  <c r="H1479" i="1"/>
  <c r="K1479" i="1"/>
  <c r="E1480" i="1"/>
  <c r="G1480" i="1"/>
  <c r="H1480" i="1"/>
  <c r="K1480" i="1"/>
  <c r="E1481" i="1"/>
  <c r="G1481" i="1"/>
  <c r="H1481" i="1"/>
  <c r="K1481" i="1"/>
  <c r="E1482" i="1"/>
  <c r="G1482" i="1"/>
  <c r="H1482" i="1"/>
  <c r="K1482" i="1"/>
  <c r="E1483" i="1"/>
  <c r="G1483" i="1"/>
  <c r="H1483" i="1"/>
  <c r="K1483" i="1"/>
  <c r="E1484" i="1"/>
  <c r="G1484" i="1"/>
  <c r="H1484" i="1"/>
  <c r="K1484" i="1"/>
  <c r="E1485" i="1"/>
  <c r="G1485" i="1"/>
  <c r="H1485" i="1"/>
  <c r="K1485" i="1"/>
  <c r="E1486" i="1"/>
  <c r="G1486" i="1"/>
  <c r="H1486" i="1"/>
  <c r="K1486" i="1"/>
  <c r="E1487" i="1"/>
  <c r="G1487" i="1"/>
  <c r="H1487" i="1"/>
  <c r="K1487" i="1"/>
  <c r="E1488" i="1"/>
  <c r="G1488" i="1"/>
  <c r="H1488" i="1"/>
  <c r="K1488" i="1"/>
  <c r="E1489" i="1"/>
  <c r="G1489" i="1"/>
  <c r="H1489" i="1"/>
  <c r="K1489" i="1"/>
  <c r="E1490" i="1"/>
  <c r="G1490" i="1"/>
  <c r="H1490" i="1"/>
  <c r="K1490" i="1"/>
  <c r="E1491" i="1"/>
  <c r="G1491" i="1"/>
  <c r="H1491" i="1"/>
  <c r="K1491" i="1"/>
  <c r="E1492" i="1"/>
  <c r="G1492" i="1"/>
  <c r="H1492" i="1"/>
  <c r="K1492" i="1"/>
  <c r="E1493" i="1"/>
  <c r="G1493" i="1"/>
  <c r="H1493" i="1"/>
  <c r="K1493" i="1"/>
  <c r="E1494" i="1"/>
  <c r="G1494" i="1"/>
  <c r="H1494" i="1"/>
  <c r="K1494" i="1"/>
  <c r="E1495" i="1"/>
  <c r="G1495" i="1"/>
  <c r="H1495" i="1"/>
  <c r="K1495" i="1"/>
  <c r="E1496" i="1"/>
  <c r="G1496" i="1"/>
  <c r="H1496" i="1"/>
  <c r="K1496" i="1"/>
  <c r="E1497" i="1"/>
  <c r="G1497" i="1"/>
  <c r="H1497" i="1"/>
  <c r="K1497" i="1"/>
  <c r="E1498" i="1"/>
  <c r="G1498" i="1"/>
  <c r="H1498" i="1"/>
  <c r="K1498" i="1"/>
  <c r="E1499" i="1"/>
  <c r="G1499" i="1"/>
  <c r="H1499" i="1"/>
  <c r="K1499" i="1"/>
  <c r="E1500" i="1"/>
  <c r="G1500" i="1"/>
  <c r="H1500" i="1"/>
  <c r="K1500" i="1"/>
  <c r="E1501" i="1"/>
  <c r="G1501" i="1"/>
  <c r="H1501" i="1"/>
  <c r="K1501" i="1"/>
  <c r="E1502" i="1"/>
  <c r="G1502" i="1"/>
  <c r="H1502" i="1"/>
  <c r="K1502" i="1"/>
  <c r="E1503" i="1"/>
  <c r="G1503" i="1"/>
  <c r="H1503" i="1"/>
  <c r="K1503" i="1"/>
  <c r="E1504" i="1"/>
  <c r="G1504" i="1"/>
  <c r="H1504" i="1"/>
  <c r="K1504" i="1"/>
  <c r="E1505" i="1"/>
  <c r="G1505" i="1"/>
  <c r="H1505" i="1"/>
  <c r="K1505" i="1"/>
  <c r="E1506" i="1"/>
  <c r="G1506" i="1"/>
  <c r="H1506" i="1"/>
  <c r="K1506" i="1"/>
  <c r="E1507" i="1"/>
  <c r="G1507" i="1"/>
  <c r="H1507" i="1"/>
  <c r="K1507" i="1"/>
  <c r="E1508" i="1"/>
  <c r="G1508" i="1"/>
  <c r="H1508" i="1"/>
  <c r="K1508" i="1"/>
  <c r="E1509" i="1"/>
  <c r="G1509" i="1"/>
  <c r="H1509" i="1"/>
  <c r="K1509" i="1"/>
  <c r="E1510" i="1"/>
  <c r="G1510" i="1"/>
  <c r="H1510" i="1"/>
  <c r="K1510" i="1"/>
  <c r="E1511" i="1"/>
  <c r="G1511" i="1"/>
  <c r="H1511" i="1"/>
  <c r="K1511" i="1"/>
  <c r="E1512" i="1"/>
  <c r="G1512" i="1"/>
  <c r="H1512" i="1"/>
  <c r="K1512" i="1"/>
  <c r="E1513" i="1"/>
  <c r="G1513" i="1"/>
  <c r="H1513" i="1"/>
  <c r="K1513" i="1"/>
  <c r="E1514" i="1"/>
  <c r="G1514" i="1"/>
  <c r="H1514" i="1"/>
  <c r="K1514" i="1"/>
  <c r="E1515" i="1"/>
  <c r="G1515" i="1"/>
  <c r="H1515" i="1"/>
  <c r="K1515" i="1"/>
  <c r="E1516" i="1"/>
  <c r="G1516" i="1"/>
  <c r="H1516" i="1"/>
  <c r="K1516" i="1"/>
  <c r="E1517" i="1"/>
  <c r="G1517" i="1"/>
  <c r="H1517" i="1"/>
  <c r="K1517" i="1"/>
  <c r="E1518" i="1"/>
  <c r="G1518" i="1"/>
  <c r="H1518" i="1"/>
  <c r="K1518" i="1"/>
  <c r="E1519" i="1"/>
  <c r="G1519" i="1"/>
  <c r="H1519" i="1"/>
  <c r="K1519" i="1"/>
  <c r="E1520" i="1"/>
  <c r="G1520" i="1"/>
  <c r="H1520" i="1"/>
  <c r="K1520" i="1"/>
  <c r="E1521" i="1"/>
  <c r="G1521" i="1"/>
  <c r="H1521" i="1"/>
  <c r="K1521" i="1"/>
  <c r="E1522" i="1"/>
  <c r="G1522" i="1"/>
  <c r="H1522" i="1"/>
  <c r="K1522" i="1"/>
  <c r="E1523" i="1"/>
  <c r="G1523" i="1"/>
  <c r="H1523" i="1"/>
  <c r="K1523" i="1"/>
  <c r="E1524" i="1"/>
  <c r="G1524" i="1"/>
  <c r="H1524" i="1"/>
  <c r="K1524" i="1"/>
  <c r="E1525" i="1"/>
  <c r="G1525" i="1"/>
  <c r="H1525" i="1"/>
  <c r="K1525" i="1"/>
  <c r="E1526" i="1"/>
  <c r="G1526" i="1"/>
  <c r="H1526" i="1"/>
  <c r="K1526" i="1"/>
  <c r="E1527" i="1"/>
  <c r="G1527" i="1"/>
  <c r="H1527" i="1"/>
  <c r="K1527" i="1"/>
  <c r="E1528" i="1"/>
  <c r="G1528" i="1"/>
  <c r="H1528" i="1"/>
  <c r="K1528" i="1"/>
  <c r="E1529" i="1"/>
  <c r="G1529" i="1"/>
  <c r="H1529" i="1"/>
  <c r="K1529" i="1"/>
  <c r="E1530" i="1"/>
  <c r="G1530" i="1"/>
  <c r="H1530" i="1"/>
  <c r="K1530" i="1"/>
  <c r="E1531" i="1"/>
  <c r="G1531" i="1"/>
  <c r="H1531" i="1"/>
  <c r="K1531" i="1"/>
  <c r="E1532" i="1"/>
  <c r="G1532" i="1"/>
  <c r="H1532" i="1"/>
  <c r="K1532" i="1"/>
  <c r="E1533" i="1"/>
  <c r="G1533" i="1"/>
  <c r="H1533" i="1"/>
  <c r="K1533" i="1"/>
  <c r="E1534" i="1"/>
  <c r="G1534" i="1"/>
  <c r="H1534" i="1"/>
  <c r="K1534" i="1"/>
  <c r="E1535" i="1"/>
  <c r="G1535" i="1"/>
  <c r="H1535" i="1"/>
  <c r="K1535" i="1"/>
  <c r="E1536" i="1"/>
  <c r="G1536" i="1"/>
  <c r="H1536" i="1"/>
  <c r="K1536" i="1"/>
  <c r="E1537" i="1"/>
  <c r="G1537" i="1"/>
  <c r="H1537" i="1"/>
  <c r="K1537" i="1"/>
  <c r="E1538" i="1"/>
  <c r="G1538" i="1"/>
  <c r="H1538" i="1"/>
  <c r="K1538" i="1"/>
  <c r="E1539" i="1"/>
  <c r="G1539" i="1"/>
  <c r="H1539" i="1"/>
  <c r="K1539" i="1"/>
  <c r="E1540" i="1"/>
  <c r="G1540" i="1"/>
  <c r="H1540" i="1"/>
  <c r="K1540" i="1"/>
  <c r="E1541" i="1"/>
  <c r="G1541" i="1"/>
  <c r="H1541" i="1"/>
  <c r="K1541" i="1"/>
  <c r="E1542" i="1"/>
  <c r="G1542" i="1"/>
  <c r="H1542" i="1"/>
  <c r="K1542" i="1"/>
  <c r="E1543" i="1"/>
  <c r="G1543" i="1"/>
  <c r="H1543" i="1"/>
  <c r="K1543" i="1"/>
  <c r="E1544" i="1"/>
  <c r="G1544" i="1"/>
  <c r="H1544" i="1"/>
  <c r="K1544" i="1"/>
  <c r="E1545" i="1"/>
  <c r="G1545" i="1"/>
  <c r="H1545" i="1"/>
  <c r="K1545" i="1"/>
  <c r="E1546" i="1"/>
  <c r="G1546" i="1"/>
  <c r="H1546" i="1"/>
  <c r="K1546" i="1"/>
  <c r="E1547" i="1"/>
  <c r="G1547" i="1"/>
  <c r="H1547" i="1"/>
  <c r="K1547" i="1"/>
  <c r="E1548" i="1"/>
  <c r="G1548" i="1"/>
  <c r="H1548" i="1"/>
  <c r="K1548" i="1"/>
  <c r="E1549" i="1"/>
  <c r="G1549" i="1"/>
  <c r="H1549" i="1"/>
  <c r="K1549" i="1"/>
  <c r="E1550" i="1"/>
  <c r="G1550" i="1"/>
  <c r="H1550" i="1"/>
  <c r="K1550" i="1"/>
  <c r="E1551" i="1"/>
  <c r="G1551" i="1"/>
  <c r="H1551" i="1"/>
  <c r="K1551" i="1"/>
  <c r="E1552" i="1"/>
  <c r="G1552" i="1"/>
  <c r="H1552" i="1"/>
  <c r="K1552" i="1"/>
  <c r="E1553" i="1"/>
  <c r="G1553" i="1"/>
  <c r="H1553" i="1"/>
  <c r="K1553" i="1"/>
  <c r="E1554" i="1"/>
  <c r="G1554" i="1"/>
  <c r="H1554" i="1"/>
  <c r="K1554" i="1"/>
  <c r="E1555" i="1"/>
  <c r="G1555" i="1"/>
  <c r="H1555" i="1"/>
  <c r="K1555" i="1"/>
  <c r="E1556" i="1"/>
  <c r="G1556" i="1"/>
  <c r="H1556" i="1"/>
  <c r="K1556" i="1"/>
  <c r="E1557" i="1"/>
  <c r="G1557" i="1"/>
  <c r="H1557" i="1"/>
  <c r="K1557" i="1"/>
  <c r="E1558" i="1"/>
  <c r="G1558" i="1"/>
  <c r="H1558" i="1"/>
  <c r="K1558" i="1"/>
  <c r="E1559" i="1"/>
  <c r="G1559" i="1"/>
  <c r="H1559" i="1"/>
  <c r="K1559" i="1"/>
  <c r="E1560" i="1"/>
  <c r="G1560" i="1"/>
  <c r="H1560" i="1"/>
  <c r="K1560" i="1"/>
  <c r="E1561" i="1"/>
  <c r="G1561" i="1"/>
  <c r="H1561" i="1"/>
  <c r="K1561" i="1"/>
  <c r="E1562" i="1"/>
  <c r="G1562" i="1"/>
  <c r="H1562" i="1"/>
  <c r="K1562" i="1"/>
  <c r="E1563" i="1"/>
  <c r="G1563" i="1"/>
  <c r="H1563" i="1"/>
  <c r="K1563" i="1"/>
  <c r="E1564" i="1"/>
  <c r="G1564" i="1"/>
  <c r="H1564" i="1"/>
  <c r="K1564" i="1"/>
  <c r="E1565" i="1"/>
  <c r="G1565" i="1"/>
  <c r="H1565" i="1"/>
  <c r="K1565" i="1"/>
  <c r="E1566" i="1"/>
  <c r="G1566" i="1"/>
  <c r="H1566" i="1"/>
  <c r="K1566" i="1"/>
  <c r="E1567" i="1"/>
  <c r="G1567" i="1"/>
  <c r="H1567" i="1"/>
  <c r="K1567" i="1"/>
  <c r="E1568" i="1"/>
  <c r="G1568" i="1"/>
  <c r="H1568" i="1"/>
  <c r="K1568" i="1"/>
  <c r="E1569" i="1"/>
  <c r="G1569" i="1"/>
  <c r="H1569" i="1"/>
  <c r="K1569" i="1"/>
  <c r="E1570" i="1"/>
  <c r="G1570" i="1"/>
  <c r="H1570" i="1"/>
  <c r="K1570" i="1"/>
  <c r="E1571" i="1"/>
  <c r="G1571" i="1"/>
  <c r="H1571" i="1"/>
  <c r="K1571" i="1"/>
  <c r="E1572" i="1"/>
  <c r="G1572" i="1"/>
  <c r="H1572" i="1"/>
  <c r="K1572" i="1"/>
  <c r="E1573" i="1"/>
  <c r="G1573" i="1"/>
  <c r="H1573" i="1"/>
  <c r="K1573" i="1"/>
  <c r="E1574" i="1"/>
  <c r="G1574" i="1"/>
  <c r="H1574" i="1"/>
  <c r="K1574" i="1"/>
  <c r="E1575" i="1"/>
  <c r="G1575" i="1"/>
  <c r="H1575" i="1"/>
  <c r="K1575" i="1"/>
  <c r="E1576" i="1"/>
  <c r="G1576" i="1"/>
  <c r="H1576" i="1"/>
  <c r="K1576" i="1"/>
  <c r="E1577" i="1"/>
  <c r="G1577" i="1"/>
  <c r="H1577" i="1"/>
  <c r="K1577" i="1"/>
  <c r="E1578" i="1"/>
  <c r="G1578" i="1"/>
  <c r="H1578" i="1"/>
  <c r="K1578" i="1"/>
  <c r="E1579" i="1"/>
  <c r="G1579" i="1"/>
  <c r="H1579" i="1"/>
  <c r="K1579" i="1"/>
  <c r="E1580" i="1"/>
  <c r="G1580" i="1"/>
  <c r="H1580" i="1"/>
  <c r="K1580" i="1"/>
  <c r="E1581" i="1"/>
  <c r="G1581" i="1"/>
  <c r="H1581" i="1"/>
  <c r="K1581" i="1"/>
  <c r="E1582" i="1"/>
  <c r="G1582" i="1"/>
  <c r="H1582" i="1"/>
  <c r="K1582" i="1"/>
  <c r="E1583" i="1"/>
  <c r="G1583" i="1"/>
  <c r="H1583" i="1"/>
  <c r="K1583" i="1"/>
  <c r="E1584" i="1"/>
  <c r="G1584" i="1"/>
  <c r="H1584" i="1"/>
  <c r="K1584" i="1"/>
  <c r="E1585" i="1"/>
  <c r="G1585" i="1"/>
  <c r="H1585" i="1"/>
  <c r="K1585" i="1"/>
  <c r="E1586" i="1"/>
  <c r="G1586" i="1"/>
  <c r="H1586" i="1"/>
  <c r="K1586" i="1"/>
  <c r="E1587" i="1"/>
  <c r="G1587" i="1"/>
  <c r="H1587" i="1"/>
  <c r="K1587" i="1"/>
  <c r="E1588" i="1"/>
  <c r="G1588" i="1"/>
  <c r="H1588" i="1"/>
  <c r="K1588" i="1"/>
  <c r="E1589" i="1"/>
  <c r="G1589" i="1"/>
  <c r="H1589" i="1"/>
  <c r="K1589" i="1"/>
  <c r="E1590" i="1"/>
  <c r="G1590" i="1"/>
  <c r="H1590" i="1"/>
  <c r="K1590" i="1"/>
  <c r="E1591" i="1"/>
  <c r="G1591" i="1"/>
  <c r="H1591" i="1"/>
  <c r="K1591" i="1"/>
  <c r="E1592" i="1"/>
  <c r="G1592" i="1"/>
  <c r="H1592" i="1"/>
  <c r="K1592" i="1"/>
  <c r="E1593" i="1"/>
  <c r="G1593" i="1"/>
  <c r="H1593" i="1"/>
  <c r="K1593" i="1"/>
  <c r="E1594" i="1"/>
  <c r="G1594" i="1"/>
  <c r="H1594" i="1"/>
  <c r="K1594" i="1"/>
  <c r="E1595" i="1"/>
  <c r="G1595" i="1"/>
  <c r="H1595" i="1"/>
  <c r="K1595" i="1"/>
  <c r="E1596" i="1"/>
  <c r="G1596" i="1"/>
  <c r="H1596" i="1"/>
  <c r="K1596" i="1"/>
  <c r="E1597" i="1"/>
  <c r="G1597" i="1"/>
  <c r="H1597" i="1"/>
  <c r="K1597" i="1"/>
  <c r="E1598" i="1"/>
  <c r="G1598" i="1"/>
  <c r="H1598" i="1"/>
  <c r="K1598" i="1"/>
  <c r="E1599" i="1"/>
  <c r="G1599" i="1"/>
  <c r="H1599" i="1"/>
  <c r="K1599" i="1"/>
  <c r="E1600" i="1"/>
  <c r="G1600" i="1"/>
  <c r="H1600" i="1"/>
  <c r="K1600" i="1"/>
  <c r="E1601" i="1"/>
  <c r="G1601" i="1"/>
  <c r="H1601" i="1"/>
  <c r="K1601" i="1"/>
  <c r="E1602" i="1"/>
  <c r="G1602" i="1"/>
  <c r="H1602" i="1"/>
  <c r="K1602" i="1"/>
  <c r="E1603" i="1"/>
  <c r="G1603" i="1"/>
  <c r="H1603" i="1"/>
  <c r="K1603" i="1"/>
  <c r="E1604" i="1"/>
  <c r="G1604" i="1"/>
  <c r="H1604" i="1"/>
  <c r="K1604" i="1"/>
  <c r="E1605" i="1"/>
  <c r="G1605" i="1"/>
  <c r="H1605" i="1"/>
  <c r="K1605" i="1"/>
  <c r="E1606" i="1"/>
  <c r="G1606" i="1"/>
  <c r="H1606" i="1"/>
  <c r="K1606" i="1"/>
  <c r="E1607" i="1"/>
  <c r="G1607" i="1"/>
  <c r="H1607" i="1"/>
  <c r="K1607" i="1"/>
  <c r="E1608" i="1"/>
  <c r="G1608" i="1"/>
  <c r="H1608" i="1"/>
  <c r="K1608" i="1"/>
  <c r="E1609" i="1"/>
  <c r="G1609" i="1"/>
  <c r="H1609" i="1"/>
  <c r="K1609" i="1"/>
  <c r="E1610" i="1"/>
  <c r="G1610" i="1"/>
  <c r="H1610" i="1"/>
  <c r="K1610" i="1"/>
  <c r="E1611" i="1"/>
  <c r="G1611" i="1"/>
  <c r="H1611" i="1"/>
  <c r="K1611" i="1"/>
  <c r="E1612" i="1"/>
  <c r="G1612" i="1"/>
  <c r="H1612" i="1"/>
  <c r="K1612" i="1"/>
  <c r="E1613" i="1"/>
  <c r="G1613" i="1"/>
  <c r="H1613" i="1"/>
  <c r="K1613" i="1"/>
  <c r="E1614" i="1"/>
  <c r="G1614" i="1"/>
  <c r="H1614" i="1"/>
  <c r="K1614" i="1"/>
  <c r="E1615" i="1"/>
  <c r="G1615" i="1"/>
  <c r="H1615" i="1"/>
  <c r="K1615" i="1"/>
  <c r="E1616" i="1"/>
  <c r="G1616" i="1"/>
  <c r="H1616" i="1"/>
  <c r="K1616" i="1"/>
  <c r="E1617" i="1"/>
  <c r="G1617" i="1"/>
  <c r="H1617" i="1"/>
  <c r="K1617" i="1"/>
  <c r="E1618" i="1"/>
  <c r="G1618" i="1"/>
  <c r="H1618" i="1"/>
  <c r="K1618" i="1"/>
  <c r="E1619" i="1"/>
  <c r="G1619" i="1"/>
  <c r="H1619" i="1"/>
  <c r="K1619" i="1"/>
  <c r="E1620" i="1"/>
  <c r="G1620" i="1"/>
  <c r="H1620" i="1"/>
  <c r="K1620" i="1"/>
  <c r="E1621" i="1"/>
  <c r="G1621" i="1"/>
  <c r="H1621" i="1"/>
  <c r="K1621" i="1"/>
  <c r="E1622" i="1"/>
  <c r="G1622" i="1"/>
  <c r="H1622" i="1"/>
  <c r="K1622" i="1"/>
  <c r="E1623" i="1"/>
  <c r="G1623" i="1"/>
  <c r="H1623" i="1"/>
  <c r="K1623" i="1"/>
  <c r="E1624" i="1"/>
  <c r="G1624" i="1"/>
  <c r="H1624" i="1"/>
  <c r="K1624" i="1"/>
  <c r="E1625" i="1"/>
  <c r="G1625" i="1"/>
  <c r="H1625" i="1"/>
  <c r="K1625" i="1"/>
  <c r="E1626" i="1"/>
  <c r="G1626" i="1"/>
  <c r="H1626" i="1"/>
  <c r="K1626" i="1"/>
  <c r="E1627" i="1"/>
  <c r="G1627" i="1"/>
  <c r="H1627" i="1"/>
  <c r="K1627" i="1"/>
  <c r="E1628" i="1"/>
  <c r="G1628" i="1"/>
  <c r="H1628" i="1"/>
  <c r="K1628" i="1"/>
  <c r="E1629" i="1"/>
  <c r="G1629" i="1"/>
  <c r="H1629" i="1"/>
  <c r="K1629" i="1"/>
  <c r="E1630" i="1"/>
  <c r="G1630" i="1"/>
  <c r="H1630" i="1"/>
  <c r="K1630" i="1"/>
  <c r="E1631" i="1"/>
  <c r="G1631" i="1"/>
  <c r="H1631" i="1"/>
  <c r="K1631" i="1"/>
  <c r="E1632" i="1"/>
  <c r="G1632" i="1"/>
  <c r="H1632" i="1"/>
  <c r="K1632" i="1"/>
  <c r="E1633" i="1"/>
  <c r="G1633" i="1"/>
  <c r="H1633" i="1"/>
  <c r="K1633" i="1"/>
  <c r="E1634" i="1"/>
  <c r="G1634" i="1"/>
  <c r="H1634" i="1"/>
  <c r="K1634" i="1"/>
  <c r="E1635" i="1"/>
  <c r="G1635" i="1"/>
  <c r="H1635" i="1"/>
  <c r="K1635" i="1"/>
  <c r="E1636" i="1"/>
  <c r="G1636" i="1"/>
  <c r="H1636" i="1"/>
  <c r="K1636" i="1"/>
  <c r="E1637" i="1"/>
  <c r="G1637" i="1"/>
  <c r="H1637" i="1"/>
  <c r="K1637" i="1"/>
  <c r="E1638" i="1"/>
  <c r="G1638" i="1"/>
  <c r="H1638" i="1"/>
  <c r="K1638" i="1"/>
  <c r="E1639" i="1"/>
  <c r="G1639" i="1"/>
  <c r="H1639" i="1"/>
  <c r="K1639" i="1"/>
  <c r="E1640" i="1"/>
  <c r="G1640" i="1"/>
  <c r="H1640" i="1"/>
  <c r="K1640" i="1"/>
  <c r="E1641" i="1"/>
  <c r="G1641" i="1"/>
  <c r="H1641" i="1"/>
  <c r="K1641" i="1"/>
  <c r="E1642" i="1"/>
  <c r="G1642" i="1"/>
  <c r="H1642" i="1"/>
  <c r="K1642" i="1"/>
  <c r="E1643" i="1"/>
  <c r="G1643" i="1"/>
  <c r="H1643" i="1"/>
  <c r="K1643" i="1"/>
  <c r="E1644" i="1"/>
  <c r="G1644" i="1"/>
  <c r="H1644" i="1"/>
  <c r="K1644" i="1"/>
  <c r="E1645" i="1"/>
  <c r="G1645" i="1"/>
  <c r="H1645" i="1"/>
  <c r="K1645" i="1"/>
  <c r="E1646" i="1"/>
  <c r="G1646" i="1"/>
  <c r="H1646" i="1"/>
  <c r="K1646" i="1"/>
  <c r="E1647" i="1"/>
  <c r="G1647" i="1"/>
  <c r="H1647" i="1"/>
  <c r="K1647" i="1"/>
  <c r="E1648" i="1"/>
  <c r="G1648" i="1"/>
  <c r="H1648" i="1"/>
  <c r="K1648" i="1"/>
  <c r="E1649" i="1"/>
  <c r="G1649" i="1"/>
  <c r="H1649" i="1"/>
  <c r="K1649" i="1"/>
  <c r="E1650" i="1"/>
  <c r="G1650" i="1"/>
  <c r="H1650" i="1"/>
  <c r="K1650" i="1"/>
  <c r="E1651" i="1"/>
  <c r="G1651" i="1"/>
  <c r="H1651" i="1"/>
  <c r="K1651" i="1"/>
  <c r="E1652" i="1"/>
  <c r="G1652" i="1"/>
  <c r="H1652" i="1"/>
  <c r="K1652" i="1"/>
  <c r="E1653" i="1"/>
  <c r="G1653" i="1"/>
  <c r="H1653" i="1"/>
  <c r="K1653" i="1"/>
  <c r="E1654" i="1"/>
  <c r="G1654" i="1"/>
  <c r="H1654" i="1"/>
  <c r="K1654" i="1"/>
  <c r="E1655" i="1"/>
  <c r="G1655" i="1"/>
  <c r="H1655" i="1"/>
  <c r="K1655" i="1"/>
  <c r="E1656" i="1"/>
  <c r="G1656" i="1"/>
  <c r="H1656" i="1"/>
  <c r="K1656" i="1"/>
  <c r="E1657" i="1"/>
  <c r="G1657" i="1"/>
  <c r="H1657" i="1"/>
  <c r="K1657" i="1"/>
  <c r="E1658" i="1"/>
  <c r="G1658" i="1"/>
  <c r="H1658" i="1"/>
  <c r="K1658" i="1"/>
  <c r="E1659" i="1"/>
  <c r="G1659" i="1"/>
  <c r="H1659" i="1"/>
  <c r="K1659" i="1"/>
  <c r="E1660" i="1"/>
  <c r="G1660" i="1"/>
  <c r="H1660" i="1"/>
  <c r="K1660" i="1"/>
  <c r="E1661" i="1"/>
  <c r="G1661" i="1"/>
  <c r="H1661" i="1"/>
  <c r="K1661" i="1"/>
  <c r="E1662" i="1"/>
  <c r="G1662" i="1"/>
  <c r="H1662" i="1"/>
  <c r="K1662" i="1"/>
  <c r="E1663" i="1"/>
  <c r="G1663" i="1"/>
  <c r="H1663" i="1"/>
  <c r="K1663" i="1"/>
  <c r="E1664" i="1"/>
  <c r="G1664" i="1"/>
  <c r="H1664" i="1"/>
  <c r="K1664" i="1"/>
  <c r="E1665" i="1"/>
  <c r="G1665" i="1"/>
  <c r="H1665" i="1"/>
  <c r="K1665" i="1"/>
  <c r="E1666" i="1"/>
  <c r="G1666" i="1"/>
  <c r="H1666" i="1"/>
  <c r="K1666" i="1"/>
  <c r="E1667" i="1"/>
  <c r="G1667" i="1"/>
  <c r="H1667" i="1"/>
  <c r="K1667" i="1"/>
  <c r="E1668" i="1"/>
  <c r="G1668" i="1"/>
  <c r="H1668" i="1"/>
  <c r="K1668" i="1"/>
  <c r="E1669" i="1"/>
  <c r="G1669" i="1"/>
  <c r="H1669" i="1"/>
  <c r="K1669" i="1"/>
  <c r="E1670" i="1"/>
  <c r="G1670" i="1"/>
  <c r="H1670" i="1"/>
  <c r="K1670" i="1"/>
  <c r="E1671" i="1"/>
  <c r="G1671" i="1"/>
  <c r="H1671" i="1"/>
  <c r="K1671" i="1"/>
  <c r="E1672" i="1"/>
  <c r="G1672" i="1"/>
  <c r="H1672" i="1"/>
  <c r="K1672" i="1"/>
  <c r="E1673" i="1"/>
  <c r="G1673" i="1"/>
  <c r="H1673" i="1"/>
  <c r="K1673" i="1"/>
  <c r="E1674" i="1"/>
  <c r="G1674" i="1"/>
  <c r="H1674" i="1"/>
  <c r="K1674" i="1"/>
  <c r="E1675" i="1"/>
  <c r="G1675" i="1"/>
  <c r="H1675" i="1"/>
  <c r="K1675" i="1"/>
  <c r="E1676" i="1"/>
  <c r="G1676" i="1"/>
  <c r="H1676" i="1"/>
  <c r="K1676" i="1"/>
  <c r="E1677" i="1"/>
  <c r="G1677" i="1"/>
  <c r="H1677" i="1"/>
  <c r="K1677" i="1"/>
  <c r="E1678" i="1"/>
  <c r="G1678" i="1"/>
  <c r="H1678" i="1"/>
  <c r="K1678" i="1"/>
  <c r="E1679" i="1"/>
  <c r="G1679" i="1"/>
  <c r="H1679" i="1"/>
  <c r="K1679" i="1"/>
  <c r="E1680" i="1"/>
  <c r="G1680" i="1"/>
  <c r="H1680" i="1"/>
  <c r="K1680" i="1"/>
  <c r="E1681" i="1"/>
  <c r="G1681" i="1"/>
  <c r="H1681" i="1"/>
  <c r="K1681" i="1"/>
  <c r="E1682" i="1"/>
  <c r="G1682" i="1"/>
  <c r="H1682" i="1"/>
  <c r="K1682" i="1"/>
  <c r="E1683" i="1"/>
  <c r="G1683" i="1"/>
  <c r="H1683" i="1"/>
  <c r="K1683" i="1"/>
  <c r="E1684" i="1"/>
  <c r="G1684" i="1"/>
  <c r="H1684" i="1"/>
  <c r="K1684" i="1"/>
  <c r="E1685" i="1"/>
  <c r="G1685" i="1"/>
  <c r="H1685" i="1"/>
  <c r="K1685" i="1"/>
  <c r="E1686" i="1"/>
  <c r="G1686" i="1"/>
  <c r="H1686" i="1"/>
  <c r="K1686" i="1"/>
  <c r="E1687" i="1"/>
  <c r="G1687" i="1"/>
  <c r="H1687" i="1"/>
  <c r="K1687" i="1"/>
  <c r="E1688" i="1"/>
  <c r="G1688" i="1"/>
  <c r="H1688" i="1"/>
  <c r="K1688" i="1"/>
  <c r="E1689" i="1"/>
  <c r="G1689" i="1"/>
  <c r="H1689" i="1"/>
  <c r="K1689" i="1"/>
  <c r="E1690" i="1"/>
  <c r="G1690" i="1"/>
  <c r="H1690" i="1"/>
  <c r="K1690" i="1"/>
  <c r="E1691" i="1"/>
  <c r="G1691" i="1"/>
  <c r="H1691" i="1"/>
  <c r="K1691" i="1"/>
  <c r="E1692" i="1"/>
  <c r="G1692" i="1"/>
  <c r="H1692" i="1"/>
  <c r="K1692" i="1"/>
  <c r="E1693" i="1"/>
  <c r="G1693" i="1"/>
  <c r="H1693" i="1"/>
  <c r="K1693" i="1"/>
  <c r="E1694" i="1"/>
  <c r="G1694" i="1"/>
  <c r="H1694" i="1"/>
  <c r="K1694" i="1"/>
  <c r="E1695" i="1"/>
  <c r="G1695" i="1"/>
  <c r="H1695" i="1"/>
  <c r="K1695" i="1"/>
  <c r="E1696" i="1"/>
  <c r="G1696" i="1"/>
  <c r="H1696" i="1"/>
  <c r="K1696" i="1"/>
  <c r="E1697" i="1"/>
  <c r="G1697" i="1"/>
  <c r="H1697" i="1"/>
  <c r="K1697" i="1"/>
  <c r="E1698" i="1"/>
  <c r="G1698" i="1"/>
  <c r="H1698" i="1"/>
  <c r="K1698" i="1"/>
  <c r="E1699" i="1"/>
  <c r="G1699" i="1"/>
  <c r="H1699" i="1"/>
  <c r="K1699" i="1"/>
  <c r="E1700" i="1"/>
  <c r="G1700" i="1"/>
  <c r="H1700" i="1"/>
  <c r="K1700" i="1"/>
  <c r="E1701" i="1"/>
  <c r="G1701" i="1"/>
  <c r="H1701" i="1"/>
  <c r="K1701" i="1"/>
  <c r="E1702" i="1"/>
  <c r="G1702" i="1"/>
  <c r="H1702" i="1"/>
  <c r="K1702" i="1"/>
  <c r="E1703" i="1"/>
  <c r="G1703" i="1"/>
  <c r="H1703" i="1"/>
  <c r="K1703" i="1"/>
  <c r="E1704" i="1"/>
  <c r="G1704" i="1"/>
  <c r="H1704" i="1"/>
  <c r="K1704" i="1"/>
  <c r="E1705" i="1"/>
  <c r="G1705" i="1"/>
  <c r="H1705" i="1"/>
  <c r="K1705" i="1"/>
  <c r="E1706" i="1"/>
  <c r="G1706" i="1"/>
  <c r="H1706" i="1"/>
  <c r="K1706" i="1"/>
  <c r="E1707" i="1"/>
  <c r="G1707" i="1"/>
  <c r="H1707" i="1"/>
  <c r="K1707" i="1"/>
  <c r="E1708" i="1"/>
  <c r="G1708" i="1"/>
  <c r="H1708" i="1"/>
  <c r="K1708" i="1"/>
  <c r="E1709" i="1"/>
  <c r="G1709" i="1"/>
  <c r="H1709" i="1"/>
  <c r="K1709" i="1"/>
  <c r="E1710" i="1"/>
  <c r="G1710" i="1"/>
  <c r="H1710" i="1"/>
  <c r="K1710" i="1"/>
  <c r="E1711" i="1"/>
  <c r="G1711" i="1"/>
  <c r="H1711" i="1"/>
  <c r="K1711" i="1"/>
  <c r="E1712" i="1"/>
  <c r="G1712" i="1"/>
  <c r="H1712" i="1"/>
  <c r="K1712" i="1"/>
  <c r="E1713" i="1"/>
  <c r="G1713" i="1"/>
  <c r="H1713" i="1"/>
  <c r="K1713" i="1"/>
  <c r="E1714" i="1"/>
  <c r="G1714" i="1"/>
  <c r="H1714" i="1"/>
  <c r="K1714" i="1"/>
  <c r="E1715" i="1"/>
  <c r="G1715" i="1"/>
  <c r="H1715" i="1"/>
  <c r="K1715" i="1"/>
  <c r="E1716" i="1"/>
  <c r="G1716" i="1"/>
  <c r="H1716" i="1"/>
  <c r="K1716" i="1"/>
  <c r="E1717" i="1"/>
  <c r="G1717" i="1"/>
  <c r="H1717" i="1"/>
  <c r="K1717" i="1"/>
  <c r="E1718" i="1"/>
  <c r="G1718" i="1"/>
  <c r="H1718" i="1"/>
  <c r="K1718" i="1"/>
  <c r="E1719" i="1"/>
  <c r="G1719" i="1"/>
  <c r="H1719" i="1"/>
  <c r="K1719" i="1"/>
  <c r="E1720" i="1"/>
  <c r="G1720" i="1"/>
  <c r="H1720" i="1"/>
  <c r="K1720" i="1"/>
  <c r="E1721" i="1"/>
  <c r="G1721" i="1"/>
  <c r="H1721" i="1"/>
  <c r="K1721" i="1"/>
  <c r="E1722" i="1"/>
  <c r="G1722" i="1"/>
  <c r="H1722" i="1"/>
  <c r="K1722" i="1"/>
  <c r="E1723" i="1"/>
  <c r="G1723" i="1"/>
  <c r="H1723" i="1"/>
  <c r="K1723" i="1"/>
  <c r="E1724" i="1"/>
  <c r="G1724" i="1"/>
  <c r="H1724" i="1"/>
  <c r="K1724" i="1"/>
  <c r="E1725" i="1"/>
  <c r="G1725" i="1"/>
  <c r="H1725" i="1"/>
  <c r="K1725" i="1"/>
  <c r="E1726" i="1"/>
  <c r="G1726" i="1"/>
  <c r="H1726" i="1"/>
  <c r="K1726" i="1"/>
  <c r="E1727" i="1"/>
  <c r="G1727" i="1"/>
  <c r="H1727" i="1"/>
  <c r="K1727" i="1"/>
  <c r="E1728" i="1"/>
  <c r="G1728" i="1"/>
  <c r="H1728" i="1"/>
  <c r="K1728" i="1"/>
  <c r="E1729" i="1"/>
  <c r="G1729" i="1"/>
  <c r="H1729" i="1"/>
  <c r="K1729" i="1"/>
  <c r="E1730" i="1"/>
  <c r="G1730" i="1"/>
  <c r="H1730" i="1"/>
  <c r="K1730" i="1"/>
  <c r="E1731" i="1"/>
  <c r="G1731" i="1"/>
  <c r="H1731" i="1"/>
  <c r="K1731" i="1"/>
  <c r="E1732" i="1"/>
  <c r="G1732" i="1"/>
  <c r="H1732" i="1"/>
  <c r="K1732" i="1"/>
  <c r="E1733" i="1"/>
  <c r="G1733" i="1"/>
  <c r="H1733" i="1"/>
  <c r="K1733" i="1"/>
  <c r="E1734" i="1"/>
  <c r="G1734" i="1"/>
  <c r="H1734" i="1"/>
  <c r="K1734" i="1"/>
  <c r="E1735" i="1"/>
  <c r="G1735" i="1"/>
  <c r="H1735" i="1"/>
  <c r="K1735" i="1"/>
  <c r="E1736" i="1"/>
  <c r="G1736" i="1"/>
  <c r="H1736" i="1"/>
  <c r="K1736" i="1"/>
  <c r="E1737" i="1"/>
  <c r="G1737" i="1"/>
  <c r="H1737" i="1"/>
  <c r="K1737" i="1"/>
  <c r="E1738" i="1"/>
  <c r="G1738" i="1"/>
  <c r="H1738" i="1"/>
  <c r="K1738" i="1"/>
  <c r="E1739" i="1"/>
  <c r="G1739" i="1"/>
  <c r="H1739" i="1"/>
  <c r="K1739" i="1"/>
  <c r="E1740" i="1"/>
  <c r="G1740" i="1"/>
  <c r="H1740" i="1"/>
  <c r="K1740" i="1"/>
  <c r="E1741" i="1"/>
  <c r="G1741" i="1"/>
  <c r="H1741" i="1"/>
  <c r="K1741" i="1"/>
  <c r="E1742" i="1"/>
  <c r="G1742" i="1"/>
  <c r="H1742" i="1"/>
  <c r="K1742" i="1"/>
  <c r="E1743" i="1"/>
  <c r="G1743" i="1"/>
  <c r="H1743" i="1"/>
  <c r="K1743" i="1"/>
  <c r="E1744" i="1"/>
  <c r="G1744" i="1"/>
  <c r="H1744" i="1"/>
  <c r="K1744" i="1"/>
  <c r="E1745" i="1"/>
  <c r="G1745" i="1"/>
  <c r="H1745" i="1"/>
  <c r="K1745" i="1"/>
  <c r="E1746" i="1"/>
  <c r="G1746" i="1"/>
  <c r="H1746" i="1"/>
  <c r="K1746" i="1"/>
  <c r="E1747" i="1"/>
  <c r="G1747" i="1"/>
  <c r="H1747" i="1"/>
  <c r="K1747" i="1"/>
  <c r="E1748" i="1"/>
  <c r="G1748" i="1"/>
  <c r="H1748" i="1"/>
  <c r="K1748" i="1"/>
  <c r="E1749" i="1"/>
  <c r="G1749" i="1"/>
  <c r="H1749" i="1"/>
  <c r="K1749" i="1"/>
  <c r="E1750" i="1"/>
  <c r="G1750" i="1"/>
  <c r="H1750" i="1"/>
  <c r="K1750" i="1"/>
  <c r="E1751" i="1"/>
  <c r="G1751" i="1"/>
  <c r="H1751" i="1"/>
  <c r="K1751" i="1"/>
  <c r="E1752" i="1"/>
  <c r="G1752" i="1"/>
  <c r="H1752" i="1"/>
  <c r="K1752" i="1"/>
  <c r="E1753" i="1"/>
  <c r="G1753" i="1"/>
  <c r="H1753" i="1"/>
  <c r="K1753" i="1"/>
  <c r="E1754" i="1"/>
  <c r="G1754" i="1"/>
  <c r="H1754" i="1"/>
  <c r="K1754" i="1"/>
  <c r="E1755" i="1"/>
  <c r="G1755" i="1"/>
  <c r="H1755" i="1"/>
  <c r="K1755" i="1"/>
  <c r="E1756" i="1"/>
  <c r="G1756" i="1"/>
  <c r="H1756" i="1"/>
  <c r="K1756" i="1"/>
  <c r="E1757" i="1"/>
  <c r="G1757" i="1"/>
  <c r="H1757" i="1"/>
  <c r="K1757" i="1"/>
  <c r="E1758" i="1"/>
  <c r="G1758" i="1"/>
  <c r="H1758" i="1"/>
  <c r="K1758" i="1"/>
  <c r="E1759" i="1"/>
  <c r="G1759" i="1"/>
  <c r="H1759" i="1"/>
  <c r="K1759" i="1"/>
  <c r="E1760" i="1"/>
  <c r="G1760" i="1"/>
  <c r="H1760" i="1"/>
  <c r="K1760" i="1"/>
  <c r="E1761" i="1"/>
  <c r="G1761" i="1"/>
  <c r="H1761" i="1"/>
  <c r="K1761" i="1"/>
  <c r="E1762" i="1"/>
  <c r="G1762" i="1"/>
  <c r="H1762" i="1"/>
  <c r="K1762" i="1"/>
  <c r="E1763" i="1"/>
  <c r="G1763" i="1"/>
  <c r="H1763" i="1"/>
  <c r="K1763" i="1"/>
  <c r="E1764" i="1"/>
  <c r="G1764" i="1"/>
  <c r="H1764" i="1"/>
  <c r="K1764" i="1"/>
  <c r="E1765" i="1"/>
  <c r="G1765" i="1"/>
  <c r="H1765" i="1"/>
  <c r="K1765" i="1"/>
  <c r="E1766" i="1"/>
  <c r="G1766" i="1"/>
  <c r="H1766" i="1"/>
  <c r="K1766" i="1"/>
  <c r="E1767" i="1"/>
  <c r="G1767" i="1"/>
  <c r="H1767" i="1"/>
  <c r="K1767" i="1"/>
  <c r="E1768" i="1"/>
  <c r="G1768" i="1"/>
  <c r="H1768" i="1"/>
  <c r="K1768" i="1"/>
  <c r="E1769" i="1"/>
  <c r="G1769" i="1"/>
  <c r="H1769" i="1"/>
  <c r="K1769" i="1"/>
  <c r="E1770" i="1"/>
  <c r="G1770" i="1"/>
  <c r="H1770" i="1"/>
  <c r="K1770" i="1"/>
  <c r="E1771" i="1"/>
  <c r="G1771" i="1"/>
  <c r="H1771" i="1"/>
  <c r="K1771" i="1"/>
  <c r="E1772" i="1"/>
  <c r="G1772" i="1"/>
  <c r="H1772" i="1"/>
  <c r="K1772" i="1"/>
  <c r="E1773" i="1"/>
  <c r="G1773" i="1"/>
  <c r="H1773" i="1"/>
  <c r="K1773" i="1"/>
  <c r="E1774" i="1"/>
  <c r="G1774" i="1"/>
  <c r="H1774" i="1"/>
  <c r="K1774" i="1"/>
  <c r="E1775" i="1"/>
  <c r="G1775" i="1"/>
  <c r="H1775" i="1"/>
  <c r="K1775" i="1"/>
  <c r="E1776" i="1"/>
  <c r="G1776" i="1"/>
  <c r="H1776" i="1"/>
  <c r="K1776" i="1"/>
  <c r="E1777" i="1"/>
  <c r="G1777" i="1"/>
  <c r="H1777" i="1"/>
  <c r="K1777" i="1"/>
  <c r="E1778" i="1"/>
  <c r="G1778" i="1"/>
  <c r="H1778" i="1"/>
  <c r="K1778" i="1"/>
  <c r="E1779" i="1"/>
  <c r="G1779" i="1"/>
  <c r="H1779" i="1"/>
  <c r="K1779" i="1"/>
  <c r="E1780" i="1"/>
  <c r="G1780" i="1"/>
  <c r="H1780" i="1"/>
  <c r="K1780" i="1"/>
  <c r="E1781" i="1"/>
  <c r="G1781" i="1"/>
  <c r="H1781" i="1"/>
  <c r="K1781" i="1"/>
  <c r="E1782" i="1"/>
  <c r="G1782" i="1"/>
  <c r="H1782" i="1"/>
  <c r="K1782" i="1"/>
  <c r="E1783" i="1"/>
  <c r="G1783" i="1"/>
  <c r="H1783" i="1"/>
  <c r="K1783" i="1"/>
  <c r="E1784" i="1"/>
  <c r="G1784" i="1"/>
  <c r="H1784" i="1"/>
  <c r="K1784" i="1"/>
  <c r="E1785" i="1"/>
  <c r="G1785" i="1"/>
  <c r="H1785" i="1"/>
  <c r="K1785" i="1"/>
  <c r="E1786" i="1"/>
  <c r="G1786" i="1"/>
  <c r="H1786" i="1"/>
  <c r="K1786" i="1"/>
  <c r="E1787" i="1"/>
  <c r="G1787" i="1"/>
  <c r="H1787" i="1"/>
  <c r="K1787" i="1"/>
  <c r="E1788" i="1"/>
  <c r="G1788" i="1"/>
  <c r="H1788" i="1"/>
  <c r="K1788" i="1"/>
  <c r="E1789" i="1"/>
  <c r="G1789" i="1"/>
  <c r="H1789" i="1"/>
  <c r="K1789" i="1"/>
  <c r="E1790" i="1"/>
  <c r="G1790" i="1"/>
  <c r="H1790" i="1"/>
  <c r="K1790" i="1"/>
  <c r="E1791" i="1"/>
  <c r="G1791" i="1"/>
  <c r="H1791" i="1"/>
  <c r="K1791" i="1"/>
  <c r="E1792" i="1"/>
  <c r="G1792" i="1"/>
  <c r="H1792" i="1"/>
  <c r="K1792" i="1"/>
  <c r="E1793" i="1"/>
  <c r="G1793" i="1"/>
  <c r="H1793" i="1"/>
  <c r="K1793" i="1"/>
  <c r="E1794" i="1"/>
  <c r="G1794" i="1"/>
  <c r="H1794" i="1"/>
  <c r="K1794" i="1"/>
  <c r="E1795" i="1"/>
  <c r="G1795" i="1"/>
  <c r="H1795" i="1"/>
  <c r="K1795" i="1"/>
  <c r="E1796" i="1"/>
  <c r="G1796" i="1"/>
  <c r="H1796" i="1"/>
  <c r="K1796" i="1"/>
  <c r="E1797" i="1"/>
  <c r="G1797" i="1"/>
  <c r="H1797" i="1"/>
  <c r="K1797" i="1"/>
  <c r="E1798" i="1"/>
  <c r="G1798" i="1"/>
  <c r="H1798" i="1"/>
  <c r="K1798" i="1"/>
  <c r="E1799" i="1"/>
  <c r="G1799" i="1"/>
  <c r="H1799" i="1"/>
  <c r="K1799" i="1"/>
  <c r="E1800" i="1"/>
  <c r="G1800" i="1"/>
  <c r="H1800" i="1"/>
  <c r="K1800" i="1"/>
  <c r="E1801" i="1"/>
  <c r="G1801" i="1"/>
  <c r="H1801" i="1"/>
  <c r="K1801" i="1"/>
  <c r="E1802" i="1"/>
  <c r="G1802" i="1"/>
  <c r="H1802" i="1"/>
  <c r="K1802" i="1"/>
  <c r="E1803" i="1"/>
  <c r="G1803" i="1"/>
  <c r="H1803" i="1"/>
  <c r="K1803" i="1"/>
  <c r="E1804" i="1"/>
  <c r="G1804" i="1"/>
  <c r="H1804" i="1"/>
  <c r="K1804" i="1"/>
  <c r="E1805" i="1"/>
  <c r="G1805" i="1"/>
  <c r="H1805" i="1"/>
  <c r="K1805" i="1"/>
  <c r="E1806" i="1"/>
  <c r="G1806" i="1"/>
  <c r="H1806" i="1"/>
  <c r="K1806" i="1"/>
  <c r="E1807" i="1"/>
  <c r="G1807" i="1"/>
  <c r="H1807" i="1"/>
  <c r="K1807" i="1"/>
  <c r="E1808" i="1"/>
  <c r="G1808" i="1"/>
  <c r="H1808" i="1"/>
  <c r="K1808" i="1"/>
  <c r="E1809" i="1"/>
  <c r="G1809" i="1"/>
  <c r="H1809" i="1"/>
  <c r="K1809" i="1"/>
  <c r="E1810" i="1"/>
  <c r="G1810" i="1"/>
  <c r="H1810" i="1"/>
  <c r="K1810" i="1"/>
  <c r="E1811" i="1"/>
  <c r="G1811" i="1"/>
  <c r="H1811" i="1"/>
  <c r="K1811" i="1"/>
  <c r="E1812" i="1"/>
  <c r="G1812" i="1"/>
  <c r="H1812" i="1"/>
  <c r="K1812" i="1"/>
  <c r="E1813" i="1"/>
  <c r="G1813" i="1"/>
  <c r="H1813" i="1"/>
  <c r="K1813" i="1"/>
  <c r="E1814" i="1"/>
  <c r="G1814" i="1"/>
  <c r="H1814" i="1"/>
  <c r="K1814" i="1"/>
  <c r="E1815" i="1"/>
  <c r="G1815" i="1"/>
  <c r="H1815" i="1"/>
  <c r="K1815" i="1"/>
  <c r="E1816" i="1"/>
  <c r="G1816" i="1"/>
  <c r="H1816" i="1"/>
  <c r="K1816" i="1"/>
  <c r="E1817" i="1"/>
  <c r="G1817" i="1"/>
  <c r="H1817" i="1"/>
  <c r="K1817" i="1"/>
  <c r="E1818" i="1"/>
  <c r="G1818" i="1"/>
  <c r="H1818" i="1"/>
  <c r="K1818" i="1"/>
  <c r="E1819" i="1"/>
  <c r="G1819" i="1"/>
  <c r="H1819" i="1"/>
  <c r="K1819" i="1"/>
  <c r="E1820" i="1"/>
  <c r="G1820" i="1"/>
  <c r="H1820" i="1"/>
  <c r="K1820" i="1"/>
  <c r="E1821" i="1"/>
  <c r="G1821" i="1"/>
  <c r="H1821" i="1"/>
  <c r="K1821" i="1"/>
  <c r="E1822" i="1"/>
  <c r="G1822" i="1"/>
  <c r="H1822" i="1"/>
  <c r="K1822" i="1"/>
  <c r="E1823" i="1"/>
  <c r="G1823" i="1"/>
  <c r="H1823" i="1"/>
  <c r="K1823" i="1"/>
  <c r="E1824" i="1"/>
  <c r="G1824" i="1"/>
  <c r="H1824" i="1"/>
  <c r="K1824" i="1"/>
  <c r="E1825" i="1"/>
  <c r="G1825" i="1"/>
  <c r="H1825" i="1"/>
  <c r="K1825" i="1"/>
  <c r="E1826" i="1"/>
  <c r="G1826" i="1"/>
  <c r="H1826" i="1"/>
  <c r="K1826" i="1"/>
  <c r="E1827" i="1"/>
  <c r="G1827" i="1"/>
  <c r="H1827" i="1"/>
  <c r="K1827" i="1"/>
  <c r="E1828" i="1"/>
  <c r="G1828" i="1"/>
  <c r="H1828" i="1"/>
  <c r="K1828" i="1"/>
  <c r="E1829" i="1"/>
  <c r="G1829" i="1"/>
  <c r="H1829" i="1"/>
  <c r="K1829" i="1"/>
  <c r="E1830" i="1"/>
  <c r="G1830" i="1"/>
  <c r="H1830" i="1"/>
  <c r="K1830" i="1"/>
  <c r="E1831" i="1"/>
  <c r="G1831" i="1"/>
  <c r="H1831" i="1"/>
  <c r="K1831" i="1"/>
  <c r="E1832" i="1"/>
  <c r="G1832" i="1"/>
  <c r="H1832" i="1"/>
  <c r="K1832" i="1"/>
  <c r="E1833" i="1"/>
  <c r="G1833" i="1"/>
  <c r="H1833" i="1"/>
  <c r="K1833" i="1"/>
  <c r="E1834" i="1"/>
  <c r="G1834" i="1"/>
  <c r="H1834" i="1"/>
  <c r="K1834" i="1"/>
  <c r="E1835" i="1"/>
  <c r="G1835" i="1"/>
  <c r="H1835" i="1"/>
  <c r="K1835" i="1"/>
  <c r="E1836" i="1"/>
  <c r="G1836" i="1"/>
  <c r="H1836" i="1"/>
  <c r="K1836" i="1"/>
  <c r="E1837" i="1"/>
  <c r="G1837" i="1"/>
  <c r="H1837" i="1"/>
  <c r="K1837" i="1"/>
  <c r="E1838" i="1"/>
  <c r="G1838" i="1"/>
  <c r="H1838" i="1"/>
  <c r="K1838" i="1"/>
  <c r="E1839" i="1"/>
  <c r="G1839" i="1"/>
  <c r="H1839" i="1"/>
  <c r="K1839" i="1"/>
  <c r="E1840" i="1"/>
  <c r="G1840" i="1"/>
  <c r="H1840" i="1"/>
  <c r="K1840" i="1"/>
  <c r="E1841" i="1"/>
  <c r="G1841" i="1"/>
  <c r="H1841" i="1"/>
  <c r="K1841" i="1"/>
  <c r="E1842" i="1"/>
  <c r="G1842" i="1"/>
  <c r="H1842" i="1"/>
  <c r="K1842" i="1"/>
  <c r="E1843" i="1"/>
  <c r="G1843" i="1"/>
  <c r="H1843" i="1"/>
  <c r="K1843" i="1"/>
  <c r="E1844" i="1"/>
  <c r="G1844" i="1"/>
  <c r="H1844" i="1"/>
  <c r="K1844" i="1"/>
  <c r="E1845" i="1"/>
  <c r="G1845" i="1"/>
  <c r="H1845" i="1"/>
  <c r="K1845" i="1"/>
  <c r="E1846" i="1"/>
  <c r="G1846" i="1"/>
  <c r="H1846" i="1"/>
  <c r="K1846" i="1"/>
  <c r="E1847" i="1"/>
  <c r="G1847" i="1"/>
  <c r="H1847" i="1"/>
  <c r="K1847" i="1"/>
  <c r="E1848" i="1"/>
  <c r="G1848" i="1"/>
  <c r="H1848" i="1"/>
  <c r="K1848" i="1"/>
  <c r="E1849" i="1"/>
  <c r="G1849" i="1"/>
  <c r="H1849" i="1"/>
  <c r="K1849" i="1"/>
  <c r="E1850" i="1"/>
  <c r="G1850" i="1"/>
  <c r="H1850" i="1"/>
  <c r="K1850" i="1"/>
  <c r="E1851" i="1"/>
  <c r="G1851" i="1"/>
  <c r="H1851" i="1"/>
  <c r="K1851" i="1"/>
  <c r="E1852" i="1"/>
  <c r="G1852" i="1"/>
  <c r="H1852" i="1"/>
  <c r="K1852" i="1"/>
  <c r="E1853" i="1"/>
  <c r="G1853" i="1"/>
  <c r="H1853" i="1"/>
  <c r="K1853" i="1"/>
  <c r="E1854" i="1"/>
  <c r="G1854" i="1"/>
  <c r="H1854" i="1"/>
  <c r="K1854" i="1"/>
  <c r="E1855" i="1"/>
  <c r="G1855" i="1"/>
  <c r="H1855" i="1"/>
  <c r="K1855" i="1"/>
  <c r="E1856" i="1"/>
  <c r="G1856" i="1"/>
  <c r="H1856" i="1"/>
  <c r="K1856" i="1"/>
  <c r="E1857" i="1"/>
  <c r="G1857" i="1"/>
  <c r="H1857" i="1"/>
  <c r="K1857" i="1"/>
  <c r="E1858" i="1"/>
  <c r="G1858" i="1"/>
  <c r="H1858" i="1"/>
  <c r="K1858" i="1"/>
  <c r="E1859" i="1"/>
  <c r="G1859" i="1"/>
  <c r="H1859" i="1"/>
  <c r="K1859" i="1"/>
  <c r="E1860" i="1"/>
  <c r="G1860" i="1"/>
  <c r="H1860" i="1"/>
  <c r="K1860" i="1"/>
  <c r="E1861" i="1"/>
  <c r="G1861" i="1"/>
  <c r="H1861" i="1"/>
  <c r="K1861" i="1"/>
  <c r="E1862" i="1"/>
  <c r="G1862" i="1"/>
  <c r="H1862" i="1"/>
  <c r="K1862" i="1"/>
  <c r="E1863" i="1"/>
  <c r="G1863" i="1"/>
  <c r="H1863" i="1"/>
  <c r="K1863" i="1"/>
  <c r="E1864" i="1"/>
  <c r="G1864" i="1"/>
  <c r="H1864" i="1"/>
  <c r="K1864" i="1"/>
  <c r="E1865" i="1"/>
  <c r="G1865" i="1"/>
  <c r="H1865" i="1"/>
  <c r="K1865" i="1"/>
  <c r="E1866" i="1"/>
  <c r="G1866" i="1"/>
  <c r="H1866" i="1"/>
  <c r="K1866" i="1"/>
  <c r="E1867" i="1"/>
  <c r="G1867" i="1"/>
  <c r="H1867" i="1"/>
  <c r="K1867" i="1"/>
  <c r="E1868" i="1"/>
  <c r="G1868" i="1"/>
  <c r="H1868" i="1"/>
  <c r="K1868" i="1"/>
  <c r="E1869" i="1"/>
  <c r="G1869" i="1"/>
  <c r="H1869" i="1"/>
  <c r="K1869" i="1"/>
  <c r="E1870" i="1"/>
  <c r="G1870" i="1"/>
  <c r="H1870" i="1"/>
  <c r="K1870" i="1"/>
  <c r="E1871" i="1"/>
  <c r="G1871" i="1"/>
  <c r="H1871" i="1"/>
  <c r="K1871" i="1"/>
  <c r="E1872" i="1"/>
  <c r="G1872" i="1"/>
  <c r="H1872" i="1"/>
  <c r="K1872" i="1"/>
  <c r="E1873" i="1"/>
  <c r="G1873" i="1"/>
  <c r="H1873" i="1"/>
  <c r="K1873" i="1"/>
  <c r="E1874" i="1"/>
  <c r="G1874" i="1"/>
  <c r="H1874" i="1"/>
  <c r="K1874" i="1"/>
  <c r="E1875" i="1"/>
  <c r="G1875" i="1"/>
  <c r="H1875" i="1"/>
  <c r="K1875" i="1"/>
  <c r="E1876" i="1"/>
  <c r="G1876" i="1"/>
  <c r="H1876" i="1"/>
  <c r="K1876" i="1"/>
  <c r="E1877" i="1"/>
  <c r="G1877" i="1"/>
  <c r="H1877" i="1"/>
  <c r="K1877" i="1"/>
  <c r="E1878" i="1"/>
  <c r="G1878" i="1"/>
  <c r="H1878" i="1"/>
  <c r="K1878" i="1"/>
  <c r="E1879" i="1"/>
  <c r="G1879" i="1"/>
  <c r="H1879" i="1"/>
  <c r="K1879" i="1"/>
  <c r="E1880" i="1"/>
  <c r="G1880" i="1"/>
  <c r="H1880" i="1"/>
  <c r="K1880" i="1"/>
  <c r="E1881" i="1"/>
  <c r="G1881" i="1"/>
  <c r="H1881" i="1"/>
  <c r="K1881" i="1"/>
  <c r="E1882" i="1"/>
  <c r="G1882" i="1"/>
  <c r="H1882" i="1"/>
  <c r="K1882" i="1"/>
  <c r="E1883" i="1"/>
  <c r="G1883" i="1"/>
  <c r="H1883" i="1"/>
  <c r="K1883" i="1"/>
  <c r="E1884" i="1"/>
  <c r="G1884" i="1"/>
  <c r="H1884" i="1"/>
  <c r="K1884" i="1"/>
  <c r="E1885" i="1"/>
  <c r="G1885" i="1"/>
  <c r="H1885" i="1"/>
  <c r="K1885" i="1"/>
  <c r="E1886" i="1"/>
  <c r="G1886" i="1"/>
  <c r="H1886" i="1"/>
  <c r="K1886" i="1"/>
  <c r="E1887" i="1"/>
  <c r="G1887" i="1"/>
  <c r="H1887" i="1"/>
  <c r="K1887" i="1"/>
  <c r="E1888" i="1"/>
  <c r="G1888" i="1"/>
  <c r="H1888" i="1"/>
  <c r="K1888" i="1"/>
  <c r="E1889" i="1"/>
  <c r="G1889" i="1"/>
  <c r="H1889" i="1"/>
  <c r="K1889" i="1"/>
  <c r="E1890" i="1"/>
  <c r="G1890" i="1"/>
  <c r="H1890" i="1"/>
  <c r="K1890" i="1"/>
  <c r="E1891" i="1"/>
  <c r="G1891" i="1"/>
  <c r="H1891" i="1"/>
  <c r="K1891" i="1"/>
  <c r="E1892" i="1"/>
  <c r="G1892" i="1"/>
  <c r="H1892" i="1"/>
  <c r="K1892" i="1"/>
  <c r="E1893" i="1"/>
  <c r="G1893" i="1"/>
  <c r="H1893" i="1"/>
  <c r="K1893" i="1"/>
  <c r="E1894" i="1"/>
  <c r="G1894" i="1"/>
  <c r="H1894" i="1"/>
  <c r="K1894" i="1"/>
  <c r="E1895" i="1"/>
  <c r="G1895" i="1"/>
  <c r="H1895" i="1"/>
  <c r="K1895" i="1"/>
  <c r="E1896" i="1"/>
  <c r="G1896" i="1"/>
  <c r="H1896" i="1"/>
  <c r="K1896" i="1"/>
  <c r="E1897" i="1"/>
  <c r="G1897" i="1"/>
  <c r="H1897" i="1"/>
  <c r="K1897" i="1"/>
  <c r="E1898" i="1"/>
  <c r="G1898" i="1"/>
  <c r="H1898" i="1"/>
  <c r="K1898" i="1"/>
  <c r="E1899" i="1"/>
  <c r="G1899" i="1"/>
  <c r="H1899" i="1"/>
  <c r="K1899" i="1"/>
  <c r="E1900" i="1"/>
  <c r="G1900" i="1"/>
  <c r="H1900" i="1"/>
  <c r="K1900" i="1"/>
  <c r="E1901" i="1"/>
  <c r="G1901" i="1"/>
  <c r="H1901" i="1"/>
  <c r="K1901" i="1"/>
  <c r="E1902" i="1"/>
  <c r="G1902" i="1"/>
  <c r="H1902" i="1"/>
  <c r="K1902" i="1"/>
  <c r="E1903" i="1"/>
  <c r="G1903" i="1"/>
  <c r="H1903" i="1"/>
  <c r="K1903" i="1"/>
  <c r="E1904" i="1"/>
  <c r="G1904" i="1"/>
  <c r="H1904" i="1"/>
  <c r="K1904" i="1"/>
  <c r="E1905" i="1"/>
  <c r="G1905" i="1"/>
  <c r="H1905" i="1"/>
  <c r="K1905" i="1"/>
  <c r="E1906" i="1"/>
  <c r="G1906" i="1"/>
  <c r="H1906" i="1"/>
  <c r="K1906" i="1"/>
  <c r="E1907" i="1"/>
  <c r="G1907" i="1"/>
  <c r="H1907" i="1"/>
  <c r="K1907" i="1"/>
  <c r="E1908" i="1"/>
  <c r="G1908" i="1"/>
  <c r="H1908" i="1"/>
  <c r="K1908" i="1"/>
  <c r="E1909" i="1"/>
  <c r="G1909" i="1"/>
  <c r="H1909" i="1"/>
  <c r="K1909" i="1"/>
  <c r="E1910" i="1"/>
  <c r="G1910" i="1"/>
  <c r="H1910" i="1"/>
  <c r="K1910" i="1"/>
  <c r="E1911" i="1"/>
  <c r="G1911" i="1"/>
  <c r="H1911" i="1"/>
  <c r="K1911" i="1"/>
  <c r="E1912" i="1"/>
  <c r="G1912" i="1"/>
  <c r="H1912" i="1"/>
  <c r="K1912" i="1"/>
  <c r="E1913" i="1"/>
  <c r="G1913" i="1"/>
  <c r="H1913" i="1"/>
  <c r="K1913" i="1"/>
  <c r="E1914" i="1"/>
  <c r="G1914" i="1"/>
  <c r="H1914" i="1"/>
  <c r="K1914" i="1"/>
  <c r="E1915" i="1"/>
  <c r="G1915" i="1"/>
  <c r="H1915" i="1"/>
  <c r="K1915" i="1"/>
  <c r="E1916" i="1"/>
  <c r="G1916" i="1"/>
  <c r="H1916" i="1"/>
  <c r="K1916" i="1"/>
  <c r="E1917" i="1"/>
  <c r="G1917" i="1"/>
  <c r="H1917" i="1"/>
  <c r="K1917" i="1"/>
  <c r="E1918" i="1"/>
  <c r="G1918" i="1"/>
  <c r="H1918" i="1"/>
  <c r="K1918" i="1"/>
  <c r="E1919" i="1"/>
  <c r="G1919" i="1"/>
  <c r="H1919" i="1"/>
  <c r="K1919" i="1"/>
  <c r="E1920" i="1"/>
  <c r="G1920" i="1"/>
  <c r="H1920" i="1"/>
  <c r="K1920" i="1"/>
  <c r="E1921" i="1"/>
  <c r="G1921" i="1"/>
  <c r="H1921" i="1"/>
  <c r="K1921" i="1"/>
  <c r="E1922" i="1"/>
  <c r="G1922" i="1"/>
  <c r="H1922" i="1"/>
  <c r="K1922" i="1"/>
  <c r="E1923" i="1"/>
  <c r="G1923" i="1"/>
  <c r="H1923" i="1"/>
  <c r="K1923" i="1"/>
  <c r="E1924" i="1"/>
  <c r="G1924" i="1"/>
  <c r="H1924" i="1"/>
  <c r="K1924" i="1"/>
  <c r="E1925" i="1"/>
  <c r="G1925" i="1"/>
  <c r="H1925" i="1"/>
  <c r="K1925" i="1"/>
  <c r="E1926" i="1"/>
  <c r="G1926" i="1"/>
  <c r="H1926" i="1"/>
  <c r="K1926" i="1"/>
  <c r="E1927" i="1"/>
  <c r="G1927" i="1"/>
  <c r="H1927" i="1"/>
  <c r="K1927" i="1"/>
  <c r="E1928" i="1"/>
  <c r="G1928" i="1"/>
  <c r="H1928" i="1"/>
  <c r="K1928" i="1"/>
  <c r="E1929" i="1"/>
  <c r="G1929" i="1"/>
  <c r="H1929" i="1"/>
  <c r="K1929" i="1"/>
  <c r="E1930" i="1"/>
  <c r="G1930" i="1"/>
  <c r="H1930" i="1"/>
  <c r="K1930" i="1"/>
  <c r="E1931" i="1"/>
  <c r="G1931" i="1"/>
  <c r="H1931" i="1"/>
  <c r="K1931" i="1"/>
  <c r="E1932" i="1"/>
  <c r="G1932" i="1"/>
  <c r="H1932" i="1"/>
  <c r="K1932" i="1"/>
  <c r="E1933" i="1"/>
  <c r="G1933" i="1"/>
  <c r="H1933" i="1"/>
  <c r="K1933" i="1"/>
  <c r="E1934" i="1"/>
  <c r="G1934" i="1"/>
  <c r="H1934" i="1"/>
  <c r="K1934" i="1"/>
  <c r="E1935" i="1"/>
  <c r="G1935" i="1"/>
  <c r="H1935" i="1"/>
  <c r="K1935" i="1"/>
  <c r="E1936" i="1"/>
  <c r="G1936" i="1"/>
  <c r="H1936" i="1"/>
  <c r="K1936" i="1"/>
  <c r="E1937" i="1"/>
  <c r="G1937" i="1"/>
  <c r="H1937" i="1"/>
  <c r="K1937" i="1"/>
  <c r="E1938" i="1"/>
  <c r="G1938" i="1"/>
  <c r="H1938" i="1"/>
  <c r="K1938" i="1"/>
  <c r="E1939" i="1"/>
  <c r="G1939" i="1"/>
  <c r="H1939" i="1"/>
  <c r="K1939" i="1"/>
  <c r="E1940" i="1"/>
  <c r="G1940" i="1"/>
  <c r="H1940" i="1"/>
  <c r="K1940" i="1"/>
  <c r="E1941" i="1"/>
  <c r="G1941" i="1"/>
  <c r="H1941" i="1"/>
  <c r="K1941" i="1"/>
  <c r="E1942" i="1"/>
  <c r="G1942" i="1"/>
  <c r="H1942" i="1"/>
  <c r="K1942" i="1"/>
  <c r="E1943" i="1"/>
  <c r="G1943" i="1"/>
  <c r="H1943" i="1"/>
  <c r="K1943" i="1"/>
  <c r="E1944" i="1"/>
  <c r="G1944" i="1"/>
  <c r="H1944" i="1"/>
  <c r="K1944" i="1"/>
  <c r="E1945" i="1"/>
  <c r="G1945" i="1"/>
  <c r="H1945" i="1"/>
  <c r="K1945" i="1"/>
  <c r="E1946" i="1"/>
  <c r="G1946" i="1"/>
  <c r="H1946" i="1"/>
  <c r="K1946" i="1"/>
  <c r="E1947" i="1"/>
  <c r="G1947" i="1"/>
  <c r="H1947" i="1"/>
  <c r="K1947" i="1"/>
  <c r="E1948" i="1"/>
  <c r="G1948" i="1"/>
  <c r="H1948" i="1"/>
  <c r="K1948" i="1"/>
  <c r="E1949" i="1"/>
  <c r="G1949" i="1"/>
  <c r="H1949" i="1"/>
  <c r="K1949" i="1"/>
  <c r="E1950" i="1"/>
  <c r="G1950" i="1"/>
  <c r="H1950" i="1"/>
  <c r="K1950" i="1"/>
  <c r="E1951" i="1"/>
  <c r="G1951" i="1"/>
  <c r="H1951" i="1"/>
  <c r="K1951" i="1"/>
  <c r="E1952" i="1"/>
  <c r="G1952" i="1"/>
  <c r="H1952" i="1"/>
  <c r="K1952" i="1"/>
  <c r="E1953" i="1"/>
  <c r="G1953" i="1"/>
  <c r="H1953" i="1"/>
  <c r="K1953" i="1"/>
  <c r="E1954" i="1"/>
  <c r="G1954" i="1"/>
  <c r="H1954" i="1"/>
  <c r="K1954" i="1"/>
  <c r="E1955" i="1"/>
  <c r="G1955" i="1"/>
  <c r="H1955" i="1"/>
  <c r="K1955" i="1"/>
  <c r="E1956" i="1"/>
  <c r="G1956" i="1"/>
  <c r="H1956" i="1"/>
  <c r="K1956" i="1"/>
  <c r="E1957" i="1"/>
  <c r="G1957" i="1"/>
  <c r="H1957" i="1"/>
  <c r="K1957" i="1"/>
  <c r="E1958" i="1"/>
  <c r="G1958" i="1"/>
  <c r="H1958" i="1"/>
  <c r="K1958" i="1"/>
  <c r="E1959" i="1"/>
  <c r="G1959" i="1"/>
  <c r="H1959" i="1"/>
  <c r="K1959" i="1"/>
  <c r="E1960" i="1"/>
  <c r="G1960" i="1"/>
  <c r="H1960" i="1"/>
  <c r="K1960" i="1"/>
  <c r="E1961" i="1"/>
  <c r="G1961" i="1"/>
  <c r="H1961" i="1"/>
  <c r="K1961" i="1"/>
  <c r="E1962" i="1"/>
  <c r="G1962" i="1"/>
  <c r="H1962" i="1"/>
  <c r="K1962" i="1"/>
  <c r="E1963" i="1"/>
  <c r="G1963" i="1"/>
  <c r="H1963" i="1"/>
  <c r="K1963" i="1"/>
  <c r="E1964" i="1"/>
  <c r="G1964" i="1"/>
  <c r="H1964" i="1"/>
  <c r="K1964" i="1"/>
  <c r="E1965" i="1"/>
  <c r="G1965" i="1"/>
  <c r="H1965" i="1"/>
  <c r="K1965" i="1"/>
  <c r="E1966" i="1"/>
  <c r="G1966" i="1"/>
  <c r="H1966" i="1"/>
  <c r="K1966" i="1"/>
  <c r="E1967" i="1"/>
  <c r="G1967" i="1"/>
  <c r="H1967" i="1"/>
  <c r="K1967" i="1"/>
  <c r="E1968" i="1"/>
  <c r="G1968" i="1"/>
  <c r="H1968" i="1"/>
  <c r="K1968" i="1"/>
  <c r="E1969" i="1"/>
  <c r="G1969" i="1"/>
  <c r="H1969" i="1"/>
  <c r="K1969" i="1"/>
  <c r="E1970" i="1"/>
  <c r="G1970" i="1"/>
  <c r="H1970" i="1"/>
  <c r="K1970" i="1"/>
  <c r="E1971" i="1"/>
  <c r="G1971" i="1"/>
  <c r="H1971" i="1"/>
  <c r="K1971" i="1"/>
  <c r="E1972" i="1"/>
  <c r="G1972" i="1"/>
  <c r="H1972" i="1"/>
  <c r="K1972" i="1"/>
  <c r="E1973" i="1"/>
  <c r="G1973" i="1"/>
  <c r="H1973" i="1"/>
  <c r="K1973" i="1"/>
  <c r="E1974" i="1"/>
  <c r="G1974" i="1"/>
  <c r="H1974" i="1"/>
  <c r="K1974" i="1"/>
  <c r="E1975" i="1"/>
  <c r="G1975" i="1"/>
  <c r="H1975" i="1"/>
  <c r="K1975" i="1"/>
  <c r="E1976" i="1"/>
  <c r="G1976" i="1"/>
  <c r="H1976" i="1"/>
  <c r="K1976" i="1"/>
  <c r="E1977" i="1"/>
  <c r="G1977" i="1"/>
  <c r="H1977" i="1"/>
  <c r="K1977" i="1"/>
  <c r="E1978" i="1"/>
  <c r="G1978" i="1"/>
  <c r="H1978" i="1"/>
  <c r="K1978" i="1"/>
  <c r="E1979" i="1"/>
  <c r="G1979" i="1"/>
  <c r="H1979" i="1"/>
  <c r="K1979" i="1"/>
  <c r="E1980" i="1"/>
  <c r="G1980" i="1"/>
  <c r="H1980" i="1"/>
  <c r="K1980" i="1"/>
  <c r="E1981" i="1"/>
  <c r="G1981" i="1"/>
  <c r="H1981" i="1"/>
  <c r="K1981" i="1"/>
  <c r="E1982" i="1"/>
  <c r="G1982" i="1"/>
  <c r="H1982" i="1"/>
  <c r="K1982" i="1"/>
  <c r="E1983" i="1"/>
  <c r="G1983" i="1"/>
  <c r="H1983" i="1"/>
  <c r="K1983" i="1"/>
  <c r="E1984" i="1"/>
  <c r="G1984" i="1"/>
  <c r="H1984" i="1"/>
  <c r="K1984" i="1"/>
  <c r="E1985" i="1"/>
  <c r="G1985" i="1"/>
  <c r="H1985" i="1"/>
  <c r="K1985" i="1"/>
  <c r="E1986" i="1"/>
  <c r="G1986" i="1"/>
  <c r="H1986" i="1"/>
  <c r="K1986" i="1"/>
  <c r="E1987" i="1"/>
  <c r="G1987" i="1"/>
  <c r="H1987" i="1"/>
  <c r="K1987" i="1"/>
  <c r="E1988" i="1"/>
  <c r="G1988" i="1"/>
  <c r="H1988" i="1"/>
  <c r="K1988" i="1"/>
  <c r="E1989" i="1"/>
  <c r="G1989" i="1"/>
  <c r="H1989" i="1"/>
  <c r="K1989" i="1"/>
  <c r="E1990" i="1"/>
  <c r="G1990" i="1"/>
  <c r="H1990" i="1"/>
  <c r="K1990" i="1"/>
  <c r="E1991" i="1"/>
  <c r="G1991" i="1"/>
  <c r="H1991" i="1"/>
  <c r="K1991" i="1"/>
  <c r="E1992" i="1"/>
  <c r="G1992" i="1"/>
  <c r="H1992" i="1"/>
  <c r="K1992" i="1"/>
  <c r="E1993" i="1"/>
  <c r="G1993" i="1"/>
  <c r="H1993" i="1"/>
  <c r="K1993" i="1"/>
  <c r="E1994" i="1"/>
  <c r="G1994" i="1"/>
  <c r="H1994" i="1"/>
  <c r="K1994" i="1"/>
  <c r="E1995" i="1"/>
  <c r="G1995" i="1"/>
  <c r="H1995" i="1"/>
  <c r="K1995" i="1"/>
  <c r="E1996" i="1"/>
  <c r="G1996" i="1"/>
  <c r="H1996" i="1"/>
  <c r="K1996" i="1"/>
  <c r="E1997" i="1"/>
  <c r="G1997" i="1"/>
  <c r="H1997" i="1"/>
  <c r="K1997" i="1"/>
  <c r="E1998" i="1"/>
  <c r="G1998" i="1"/>
  <c r="H1998" i="1"/>
  <c r="K1998" i="1"/>
  <c r="E1999" i="1"/>
  <c r="G1999" i="1"/>
  <c r="H1999" i="1"/>
  <c r="K1999" i="1"/>
  <c r="E2000" i="1"/>
  <c r="G2000" i="1"/>
  <c r="H2000" i="1"/>
  <c r="K2000" i="1"/>
  <c r="E2001" i="1"/>
  <c r="G2001" i="1"/>
  <c r="H2001" i="1"/>
  <c r="K2001" i="1"/>
  <c r="E2002" i="1"/>
  <c r="G2002" i="1"/>
  <c r="H2002" i="1"/>
  <c r="K2002" i="1"/>
  <c r="E2003" i="1"/>
  <c r="G2003" i="1"/>
  <c r="H2003" i="1"/>
  <c r="K2003" i="1"/>
  <c r="E2004" i="1"/>
  <c r="G2004" i="1"/>
  <c r="H2004" i="1"/>
  <c r="K2004" i="1"/>
  <c r="E2005" i="1"/>
  <c r="G2005" i="1"/>
  <c r="H2005" i="1"/>
  <c r="K2005" i="1"/>
  <c r="E2006" i="1"/>
  <c r="G2006" i="1"/>
  <c r="H2006" i="1"/>
  <c r="K2006" i="1"/>
  <c r="E2007" i="1"/>
  <c r="G2007" i="1"/>
  <c r="H2007" i="1"/>
  <c r="K2007" i="1"/>
  <c r="E2008" i="1"/>
  <c r="G2008" i="1"/>
  <c r="H2008" i="1"/>
  <c r="K2008" i="1"/>
  <c r="E2009" i="1"/>
  <c r="G2009" i="1"/>
  <c r="H2009" i="1"/>
  <c r="K2009" i="1"/>
  <c r="E2010" i="1"/>
  <c r="G2010" i="1"/>
  <c r="H2010" i="1"/>
  <c r="K2010" i="1"/>
  <c r="E2011" i="1"/>
  <c r="G2011" i="1"/>
  <c r="H2011" i="1"/>
  <c r="K2011" i="1"/>
  <c r="E2012" i="1"/>
  <c r="G2012" i="1"/>
  <c r="H2012" i="1"/>
  <c r="K2012" i="1"/>
  <c r="E2013" i="1"/>
  <c r="G2013" i="1"/>
  <c r="H2013" i="1"/>
  <c r="K2013" i="1"/>
  <c r="E2014" i="1"/>
  <c r="G2014" i="1"/>
  <c r="H2014" i="1"/>
  <c r="K2014" i="1"/>
  <c r="E2015" i="1"/>
  <c r="G2015" i="1"/>
  <c r="H2015" i="1"/>
  <c r="K2015" i="1"/>
  <c r="E2016" i="1"/>
  <c r="G2016" i="1"/>
  <c r="H2016" i="1"/>
  <c r="K2016" i="1"/>
  <c r="E2017" i="1"/>
  <c r="G2017" i="1"/>
  <c r="H2017" i="1"/>
  <c r="K2017" i="1"/>
  <c r="E2018" i="1"/>
  <c r="G2018" i="1"/>
  <c r="H2018" i="1"/>
  <c r="K2018" i="1"/>
  <c r="E2019" i="1"/>
  <c r="G2019" i="1"/>
  <c r="H2019" i="1"/>
  <c r="K2019" i="1"/>
  <c r="E2020" i="1"/>
  <c r="G2020" i="1"/>
  <c r="H2020" i="1"/>
  <c r="K2020" i="1"/>
  <c r="E2021" i="1"/>
  <c r="G2021" i="1"/>
  <c r="H2021" i="1"/>
  <c r="K2021" i="1"/>
  <c r="E2022" i="1"/>
  <c r="G2022" i="1"/>
  <c r="H2022" i="1"/>
  <c r="K2022" i="1"/>
  <c r="E2023" i="1"/>
  <c r="G2023" i="1"/>
  <c r="H2023" i="1"/>
  <c r="K2023" i="1"/>
  <c r="E2024" i="1"/>
  <c r="G2024" i="1"/>
  <c r="H2024" i="1"/>
  <c r="K2024" i="1"/>
  <c r="E2025" i="1"/>
  <c r="G2025" i="1"/>
  <c r="H2025" i="1"/>
  <c r="K2025" i="1"/>
  <c r="E2026" i="1"/>
  <c r="G2026" i="1"/>
  <c r="H2026" i="1"/>
  <c r="K2026" i="1"/>
  <c r="E2027" i="1"/>
  <c r="G2027" i="1"/>
  <c r="H2027" i="1"/>
  <c r="K2027" i="1"/>
  <c r="E2028" i="1"/>
  <c r="G2028" i="1"/>
  <c r="H2028" i="1"/>
  <c r="K2028" i="1"/>
  <c r="E2029" i="1"/>
  <c r="G2029" i="1"/>
  <c r="H2029" i="1"/>
  <c r="K2029" i="1"/>
  <c r="E2030" i="1"/>
  <c r="G2030" i="1"/>
  <c r="H2030" i="1"/>
  <c r="K2030" i="1"/>
  <c r="E2031" i="1"/>
  <c r="G2031" i="1"/>
  <c r="H2031" i="1"/>
  <c r="K2031" i="1"/>
  <c r="E2032" i="1"/>
  <c r="G2032" i="1"/>
  <c r="H2032" i="1"/>
  <c r="K2032" i="1"/>
  <c r="E2033" i="1"/>
  <c r="G2033" i="1"/>
  <c r="H2033" i="1"/>
  <c r="K2033" i="1"/>
  <c r="E2034" i="1"/>
  <c r="G2034" i="1"/>
  <c r="H2034" i="1"/>
  <c r="K2034" i="1"/>
  <c r="E2035" i="1"/>
  <c r="G2035" i="1"/>
  <c r="H2035" i="1"/>
  <c r="K2035" i="1"/>
  <c r="E2036" i="1"/>
  <c r="G2036" i="1"/>
  <c r="H2036" i="1"/>
  <c r="K2036" i="1"/>
  <c r="E2037" i="1"/>
  <c r="G2037" i="1"/>
  <c r="H2037" i="1"/>
  <c r="K2037" i="1"/>
  <c r="E2038" i="1"/>
  <c r="G2038" i="1"/>
  <c r="H2038" i="1"/>
  <c r="K2038" i="1"/>
  <c r="E2039" i="1"/>
  <c r="G2039" i="1"/>
  <c r="H2039" i="1"/>
  <c r="K2039" i="1"/>
  <c r="E2040" i="1"/>
  <c r="G2040" i="1"/>
  <c r="H2040" i="1"/>
  <c r="K2040" i="1"/>
  <c r="E2041" i="1"/>
  <c r="G2041" i="1"/>
  <c r="H2041" i="1"/>
  <c r="K2041" i="1"/>
  <c r="E2042" i="1"/>
  <c r="G2042" i="1"/>
  <c r="H2042" i="1"/>
  <c r="K2042" i="1"/>
  <c r="E2043" i="1"/>
  <c r="G2043" i="1"/>
  <c r="H2043" i="1"/>
  <c r="K2043" i="1"/>
  <c r="E2044" i="1"/>
  <c r="G2044" i="1"/>
  <c r="H2044" i="1"/>
  <c r="K2044" i="1"/>
  <c r="E2045" i="1"/>
  <c r="G2045" i="1"/>
  <c r="H2045" i="1"/>
  <c r="K2045" i="1"/>
  <c r="E2046" i="1"/>
  <c r="G2046" i="1"/>
  <c r="H2046" i="1"/>
  <c r="K2046" i="1"/>
  <c r="E2047" i="1"/>
  <c r="G2047" i="1"/>
  <c r="H2047" i="1"/>
  <c r="K2047" i="1"/>
  <c r="E2048" i="1"/>
  <c r="G2048" i="1"/>
  <c r="H2048" i="1"/>
  <c r="K2048" i="1"/>
  <c r="E2049" i="1"/>
  <c r="G2049" i="1"/>
  <c r="H2049" i="1"/>
  <c r="K2049" i="1"/>
  <c r="E2050" i="1"/>
  <c r="G2050" i="1"/>
  <c r="H2050" i="1"/>
  <c r="K2050" i="1"/>
  <c r="E2051" i="1"/>
  <c r="G2051" i="1"/>
  <c r="H2051" i="1"/>
  <c r="K2051" i="1"/>
  <c r="E2052" i="1"/>
  <c r="G2052" i="1"/>
  <c r="H2052" i="1"/>
  <c r="K2052" i="1"/>
  <c r="E2053" i="1"/>
  <c r="G2053" i="1"/>
  <c r="H2053" i="1"/>
  <c r="K2053" i="1"/>
  <c r="E2054" i="1"/>
  <c r="G2054" i="1"/>
  <c r="H2054" i="1"/>
  <c r="K2054" i="1"/>
  <c r="E2055" i="1"/>
  <c r="G2055" i="1"/>
  <c r="H2055" i="1"/>
  <c r="K2055" i="1"/>
  <c r="E2056" i="1"/>
  <c r="G2056" i="1"/>
  <c r="H2056" i="1"/>
  <c r="K2056" i="1"/>
  <c r="E2057" i="1"/>
  <c r="G2057" i="1"/>
  <c r="H2057" i="1"/>
  <c r="K2057" i="1"/>
  <c r="E2058" i="1"/>
  <c r="G2058" i="1"/>
  <c r="H2058" i="1"/>
  <c r="K2058" i="1"/>
  <c r="E2059" i="1"/>
  <c r="G2059" i="1"/>
  <c r="H2059" i="1"/>
  <c r="K2059" i="1"/>
  <c r="E2060" i="1"/>
  <c r="G2060" i="1"/>
  <c r="H2060" i="1"/>
  <c r="K2060" i="1"/>
  <c r="E2061" i="1"/>
  <c r="G2061" i="1"/>
  <c r="H2061" i="1"/>
  <c r="K2061" i="1"/>
  <c r="E2062" i="1"/>
  <c r="G2062" i="1"/>
  <c r="H2062" i="1"/>
  <c r="K2062" i="1"/>
  <c r="E2063" i="1"/>
  <c r="G2063" i="1"/>
  <c r="H2063" i="1"/>
  <c r="K2063" i="1"/>
  <c r="E2064" i="1"/>
  <c r="G2064" i="1"/>
  <c r="H2064" i="1"/>
  <c r="K2064" i="1"/>
  <c r="E2065" i="1"/>
  <c r="G2065" i="1"/>
  <c r="H2065" i="1"/>
  <c r="K2065" i="1"/>
  <c r="E2066" i="1"/>
  <c r="G2066" i="1"/>
  <c r="H2066" i="1"/>
  <c r="K2066" i="1"/>
  <c r="E2067" i="1"/>
  <c r="G2067" i="1"/>
  <c r="H2067" i="1"/>
  <c r="K2067" i="1"/>
  <c r="E2068" i="1"/>
  <c r="G2068" i="1"/>
  <c r="H2068" i="1"/>
  <c r="K2068" i="1"/>
  <c r="E2069" i="1"/>
  <c r="G2069" i="1"/>
  <c r="H2069" i="1"/>
  <c r="K2069" i="1"/>
  <c r="E2070" i="1"/>
  <c r="G2070" i="1"/>
  <c r="H2070" i="1"/>
  <c r="K2070" i="1"/>
  <c r="E2071" i="1"/>
  <c r="G2071" i="1"/>
  <c r="H2071" i="1"/>
  <c r="K2071" i="1"/>
  <c r="E2072" i="1"/>
  <c r="G2072" i="1"/>
  <c r="H2072" i="1"/>
  <c r="K2072" i="1"/>
  <c r="E2073" i="1"/>
  <c r="G2073" i="1"/>
  <c r="H2073" i="1"/>
  <c r="K2073" i="1"/>
  <c r="E2074" i="1"/>
  <c r="G2074" i="1"/>
  <c r="H2074" i="1"/>
  <c r="K2074" i="1"/>
  <c r="E2075" i="1"/>
  <c r="G2075" i="1"/>
  <c r="H2075" i="1"/>
  <c r="K2075" i="1"/>
  <c r="E2076" i="1"/>
  <c r="G2076" i="1"/>
  <c r="H2076" i="1"/>
  <c r="K2076" i="1"/>
  <c r="E2077" i="1"/>
  <c r="G2077" i="1"/>
  <c r="H2077" i="1"/>
  <c r="K2077" i="1"/>
  <c r="E2078" i="1"/>
  <c r="G2078" i="1"/>
  <c r="H2078" i="1"/>
  <c r="K2078" i="1"/>
  <c r="E2079" i="1"/>
  <c r="G2079" i="1"/>
  <c r="H2079" i="1"/>
  <c r="K2079" i="1"/>
  <c r="E2080" i="1"/>
  <c r="G2080" i="1"/>
  <c r="H2080" i="1"/>
  <c r="K2080" i="1"/>
  <c r="E2081" i="1"/>
  <c r="G2081" i="1"/>
  <c r="H2081" i="1"/>
  <c r="K2081" i="1"/>
  <c r="E2082" i="1"/>
  <c r="G2082" i="1"/>
  <c r="H2082" i="1"/>
  <c r="K2082" i="1"/>
  <c r="E2083" i="1"/>
  <c r="G2083" i="1"/>
  <c r="H2083" i="1"/>
  <c r="K2083" i="1"/>
  <c r="E2084" i="1"/>
  <c r="G2084" i="1"/>
  <c r="H2084" i="1"/>
  <c r="K2084" i="1"/>
  <c r="E2085" i="1"/>
  <c r="G2085" i="1"/>
  <c r="H2085" i="1"/>
  <c r="K2085" i="1"/>
  <c r="E2086" i="1"/>
  <c r="G2086" i="1"/>
  <c r="H2086" i="1"/>
  <c r="K2086" i="1"/>
  <c r="E2087" i="1"/>
  <c r="G2087" i="1"/>
  <c r="H2087" i="1"/>
  <c r="K2087" i="1"/>
  <c r="E2088" i="1"/>
  <c r="G2088" i="1"/>
  <c r="H2088" i="1"/>
  <c r="K2088" i="1"/>
  <c r="E2089" i="1"/>
  <c r="G2089" i="1"/>
  <c r="H2089" i="1"/>
  <c r="K2089" i="1"/>
  <c r="E2090" i="1"/>
  <c r="G2090" i="1"/>
  <c r="H2090" i="1"/>
  <c r="K2090" i="1"/>
  <c r="E2091" i="1"/>
  <c r="G2091" i="1"/>
  <c r="H2091" i="1"/>
  <c r="K2091" i="1"/>
  <c r="E2092" i="1"/>
  <c r="G2092" i="1"/>
  <c r="H2092" i="1"/>
  <c r="K2092" i="1"/>
  <c r="E2093" i="1"/>
  <c r="G2093" i="1"/>
  <c r="H2093" i="1"/>
  <c r="K2093" i="1"/>
  <c r="E2094" i="1"/>
  <c r="G2094" i="1"/>
  <c r="H2094" i="1"/>
  <c r="K2094" i="1"/>
  <c r="E2095" i="1"/>
  <c r="G2095" i="1"/>
  <c r="H2095" i="1"/>
  <c r="K2095" i="1"/>
  <c r="E2096" i="1"/>
  <c r="G2096" i="1"/>
  <c r="H2096" i="1"/>
  <c r="K2096" i="1"/>
  <c r="E2097" i="1"/>
  <c r="G2097" i="1"/>
  <c r="H2097" i="1"/>
  <c r="K2097" i="1"/>
  <c r="E2098" i="1"/>
  <c r="G2098" i="1"/>
  <c r="H2098" i="1"/>
  <c r="K2098" i="1"/>
  <c r="E2099" i="1"/>
  <c r="G2099" i="1"/>
  <c r="H2099" i="1"/>
  <c r="K2099" i="1"/>
  <c r="E2100" i="1"/>
  <c r="G2100" i="1"/>
  <c r="H2100" i="1"/>
  <c r="K2100" i="1"/>
  <c r="E2101" i="1"/>
  <c r="G2101" i="1"/>
  <c r="H2101" i="1"/>
  <c r="K2101" i="1"/>
  <c r="E2102" i="1"/>
  <c r="G2102" i="1"/>
  <c r="H2102" i="1"/>
  <c r="K2102" i="1"/>
  <c r="E2103" i="1"/>
  <c r="G2103" i="1"/>
  <c r="H2103" i="1"/>
  <c r="K2103" i="1"/>
  <c r="E2104" i="1"/>
  <c r="G2104" i="1"/>
  <c r="H2104" i="1"/>
  <c r="K2104" i="1"/>
  <c r="E2105" i="1"/>
  <c r="G2105" i="1"/>
  <c r="H2105" i="1"/>
  <c r="K2105" i="1"/>
  <c r="E2106" i="1"/>
  <c r="G2106" i="1"/>
  <c r="H2106" i="1"/>
  <c r="K2106" i="1"/>
  <c r="E2107" i="1"/>
  <c r="G2107" i="1"/>
  <c r="H2107" i="1"/>
  <c r="K2107" i="1"/>
  <c r="E2108" i="1"/>
  <c r="G2108" i="1"/>
  <c r="H2108" i="1"/>
  <c r="K2108" i="1"/>
  <c r="E2109" i="1"/>
  <c r="G2109" i="1"/>
  <c r="H2109" i="1"/>
  <c r="K2109" i="1"/>
  <c r="E2110" i="1"/>
  <c r="G2110" i="1"/>
  <c r="H2110" i="1"/>
  <c r="K2110" i="1"/>
  <c r="E2111" i="1"/>
  <c r="G2111" i="1"/>
  <c r="H2111" i="1"/>
  <c r="K2111" i="1"/>
  <c r="E2112" i="1"/>
  <c r="G2112" i="1"/>
  <c r="H2112" i="1"/>
  <c r="K2112" i="1"/>
  <c r="E2113" i="1"/>
  <c r="G2113" i="1"/>
  <c r="H2113" i="1"/>
  <c r="K2113" i="1"/>
  <c r="E2114" i="1"/>
  <c r="G2114" i="1"/>
  <c r="H2114" i="1"/>
  <c r="K2114" i="1"/>
  <c r="E2115" i="1"/>
  <c r="G2115" i="1"/>
  <c r="H2115" i="1"/>
  <c r="K2115" i="1"/>
  <c r="E2116" i="1"/>
  <c r="G2116" i="1"/>
  <c r="H2116" i="1"/>
  <c r="K2116" i="1"/>
  <c r="E2117" i="1"/>
  <c r="G2117" i="1"/>
  <c r="H2117" i="1"/>
  <c r="K2117" i="1"/>
  <c r="E2118" i="1"/>
  <c r="G2118" i="1"/>
  <c r="H2118" i="1"/>
  <c r="K2118" i="1"/>
  <c r="E2119" i="1"/>
  <c r="G2119" i="1"/>
  <c r="H2119" i="1"/>
  <c r="K2119" i="1"/>
  <c r="E2120" i="1"/>
  <c r="G2120" i="1"/>
  <c r="H2120" i="1"/>
  <c r="K2120" i="1"/>
  <c r="E2121" i="1"/>
  <c r="G2121" i="1"/>
  <c r="H2121" i="1"/>
  <c r="K2121" i="1"/>
  <c r="E2122" i="1"/>
  <c r="G2122" i="1"/>
  <c r="H2122" i="1"/>
  <c r="K2122" i="1"/>
  <c r="E2123" i="1"/>
  <c r="G2123" i="1"/>
  <c r="H2123" i="1"/>
  <c r="K2123" i="1"/>
  <c r="E2124" i="1"/>
  <c r="G2124" i="1"/>
  <c r="H2124" i="1"/>
  <c r="K2124" i="1"/>
  <c r="E2125" i="1"/>
  <c r="G2125" i="1"/>
  <c r="H2125" i="1"/>
  <c r="K2125" i="1"/>
  <c r="E2126" i="1"/>
  <c r="G2126" i="1"/>
  <c r="H2126" i="1"/>
  <c r="K2126" i="1"/>
  <c r="E2127" i="1"/>
  <c r="G2127" i="1"/>
  <c r="H2127" i="1"/>
  <c r="K2127" i="1"/>
  <c r="E2128" i="1"/>
  <c r="G2128" i="1"/>
  <c r="H2128" i="1"/>
  <c r="K2128" i="1"/>
  <c r="E2129" i="1"/>
  <c r="G2129" i="1"/>
  <c r="H2129" i="1"/>
  <c r="K2129" i="1"/>
  <c r="E2130" i="1"/>
  <c r="G2130" i="1"/>
  <c r="H2130" i="1"/>
  <c r="K2130" i="1"/>
  <c r="E2131" i="1"/>
  <c r="G2131" i="1"/>
  <c r="H2131" i="1"/>
  <c r="K2131" i="1"/>
  <c r="E2132" i="1"/>
  <c r="G2132" i="1"/>
  <c r="H2132" i="1"/>
  <c r="K2132" i="1"/>
  <c r="E2133" i="1"/>
  <c r="G2133" i="1"/>
  <c r="H2133" i="1"/>
  <c r="K2133" i="1"/>
  <c r="E2134" i="1"/>
  <c r="G2134" i="1"/>
  <c r="H2134" i="1"/>
  <c r="K2134" i="1"/>
  <c r="E2135" i="1"/>
  <c r="G2135" i="1"/>
  <c r="H2135" i="1"/>
  <c r="K2135" i="1"/>
  <c r="E2136" i="1"/>
  <c r="G2136" i="1"/>
  <c r="H2136" i="1"/>
  <c r="K2136" i="1"/>
  <c r="E2137" i="1"/>
  <c r="G2137" i="1"/>
  <c r="H2137" i="1"/>
  <c r="K2137" i="1"/>
  <c r="E2138" i="1"/>
  <c r="G2138" i="1"/>
  <c r="H2138" i="1"/>
  <c r="K2138" i="1"/>
  <c r="E2139" i="1"/>
  <c r="G2139" i="1"/>
  <c r="H2139" i="1"/>
  <c r="K2139" i="1"/>
  <c r="E2140" i="1"/>
  <c r="G2140" i="1"/>
  <c r="H2140" i="1"/>
  <c r="K2140" i="1"/>
  <c r="E2141" i="1"/>
  <c r="G2141" i="1"/>
  <c r="H2141" i="1"/>
  <c r="K2141" i="1"/>
  <c r="E2142" i="1"/>
  <c r="G2142" i="1"/>
  <c r="H2142" i="1"/>
  <c r="K2142" i="1"/>
  <c r="E2143" i="1"/>
  <c r="G2143" i="1"/>
  <c r="H2143" i="1"/>
  <c r="K2143" i="1"/>
  <c r="E2144" i="1"/>
  <c r="G2144" i="1"/>
  <c r="H2144" i="1"/>
  <c r="K2144" i="1"/>
  <c r="E2145" i="1"/>
  <c r="G2145" i="1"/>
  <c r="H2145" i="1"/>
  <c r="K2145" i="1"/>
  <c r="E2146" i="1"/>
  <c r="G2146" i="1"/>
  <c r="H2146" i="1"/>
  <c r="K2146" i="1"/>
  <c r="E2147" i="1"/>
  <c r="G2147" i="1"/>
  <c r="H2147" i="1"/>
  <c r="K2147" i="1"/>
  <c r="E2148" i="1"/>
  <c r="G2148" i="1"/>
  <c r="H2148" i="1"/>
  <c r="K2148" i="1"/>
  <c r="E2149" i="1"/>
  <c r="G2149" i="1"/>
  <c r="H2149" i="1"/>
  <c r="K2149" i="1"/>
  <c r="E2150" i="1"/>
  <c r="G2150" i="1"/>
  <c r="H2150" i="1"/>
  <c r="K2150" i="1"/>
  <c r="E2151" i="1"/>
  <c r="G2151" i="1"/>
  <c r="H2151" i="1"/>
  <c r="K2151" i="1"/>
  <c r="E2152" i="1"/>
  <c r="G2152" i="1"/>
  <c r="H2152" i="1"/>
  <c r="K2152" i="1"/>
  <c r="E2153" i="1"/>
  <c r="G2153" i="1"/>
  <c r="H2153" i="1"/>
  <c r="K2153" i="1"/>
  <c r="E2154" i="1"/>
  <c r="G2154" i="1"/>
  <c r="H2154" i="1"/>
  <c r="K2154" i="1"/>
  <c r="E2155" i="1"/>
  <c r="G2155" i="1"/>
  <c r="H2155" i="1"/>
  <c r="K2155" i="1"/>
  <c r="E2156" i="1"/>
  <c r="G2156" i="1"/>
  <c r="H2156" i="1"/>
  <c r="K2156" i="1"/>
  <c r="E2157" i="1"/>
  <c r="G2157" i="1"/>
  <c r="H2157" i="1"/>
  <c r="K2157" i="1"/>
  <c r="E2158" i="1"/>
  <c r="G2158" i="1"/>
  <c r="H2158" i="1"/>
  <c r="K2158" i="1"/>
  <c r="E2159" i="1"/>
  <c r="G2159" i="1"/>
  <c r="H2159" i="1"/>
  <c r="K2159" i="1"/>
  <c r="E2160" i="1"/>
  <c r="G2160" i="1"/>
  <c r="H2160" i="1"/>
  <c r="K2160" i="1"/>
  <c r="E2161" i="1"/>
  <c r="G2161" i="1"/>
  <c r="H2161" i="1"/>
  <c r="K2161" i="1"/>
  <c r="E2162" i="1"/>
  <c r="G2162" i="1"/>
  <c r="H2162" i="1"/>
  <c r="K2162" i="1"/>
  <c r="E2163" i="1"/>
  <c r="G2163" i="1"/>
  <c r="H2163" i="1"/>
  <c r="K2163" i="1"/>
  <c r="E2164" i="1"/>
  <c r="G2164" i="1"/>
  <c r="H2164" i="1"/>
  <c r="K2164" i="1"/>
  <c r="E2165" i="1"/>
  <c r="G2165" i="1"/>
  <c r="H2165" i="1"/>
  <c r="K2165" i="1"/>
  <c r="E2166" i="1"/>
  <c r="G2166" i="1"/>
  <c r="H2166" i="1"/>
  <c r="K2166" i="1"/>
  <c r="E2167" i="1"/>
  <c r="G2167" i="1"/>
  <c r="H2167" i="1"/>
  <c r="K2167" i="1"/>
  <c r="E2168" i="1"/>
  <c r="G2168" i="1"/>
  <c r="H2168" i="1"/>
  <c r="K2168" i="1"/>
  <c r="E2169" i="1"/>
  <c r="G2169" i="1"/>
  <c r="H2169" i="1"/>
  <c r="K2169" i="1"/>
  <c r="E2170" i="1"/>
  <c r="G2170" i="1"/>
  <c r="H2170" i="1"/>
  <c r="K2170" i="1"/>
  <c r="E2171" i="1"/>
  <c r="G2171" i="1"/>
  <c r="H2171" i="1"/>
  <c r="K2171" i="1"/>
  <c r="E2172" i="1"/>
  <c r="G2172" i="1"/>
  <c r="H2172" i="1"/>
  <c r="K2172" i="1"/>
  <c r="E2173" i="1"/>
  <c r="G2173" i="1"/>
  <c r="H2173" i="1"/>
  <c r="K2173" i="1"/>
  <c r="E2174" i="1"/>
  <c r="G2174" i="1"/>
  <c r="H2174" i="1"/>
  <c r="K2174" i="1"/>
  <c r="E2175" i="1"/>
  <c r="G2175" i="1"/>
  <c r="H2175" i="1"/>
  <c r="K2175" i="1"/>
  <c r="E2176" i="1"/>
  <c r="G2176" i="1"/>
  <c r="H2176" i="1"/>
  <c r="K2176" i="1"/>
  <c r="E2177" i="1"/>
  <c r="G2177" i="1"/>
  <c r="H2177" i="1"/>
  <c r="K2177" i="1"/>
  <c r="E2178" i="1"/>
  <c r="G2178" i="1"/>
  <c r="H2178" i="1"/>
  <c r="K2178" i="1"/>
  <c r="E2179" i="1"/>
  <c r="G2179" i="1"/>
  <c r="H2179" i="1"/>
  <c r="K2179" i="1"/>
  <c r="E2180" i="1"/>
  <c r="G2180" i="1"/>
  <c r="H2180" i="1"/>
  <c r="K2180" i="1"/>
  <c r="E2181" i="1"/>
  <c r="G2181" i="1"/>
  <c r="H2181" i="1"/>
  <c r="K2181" i="1"/>
  <c r="E2182" i="1"/>
  <c r="G2182" i="1"/>
  <c r="H2182" i="1"/>
  <c r="K2182" i="1"/>
  <c r="E2183" i="1"/>
  <c r="G2183" i="1"/>
  <c r="H2183" i="1"/>
  <c r="K2183" i="1"/>
  <c r="E2184" i="1"/>
  <c r="G2184" i="1"/>
  <c r="H2184" i="1"/>
  <c r="K2184" i="1"/>
  <c r="E2185" i="1"/>
  <c r="G2185" i="1"/>
  <c r="H2185" i="1"/>
  <c r="K2185" i="1"/>
  <c r="E2186" i="1"/>
  <c r="G2186" i="1"/>
  <c r="H2186" i="1"/>
  <c r="K2186" i="1"/>
  <c r="E2187" i="1"/>
  <c r="G2187" i="1"/>
  <c r="H2187" i="1"/>
  <c r="K2187" i="1"/>
  <c r="E2188" i="1"/>
  <c r="G2188" i="1"/>
  <c r="H2188" i="1"/>
  <c r="K2188" i="1"/>
  <c r="E2189" i="1"/>
  <c r="G2189" i="1"/>
  <c r="H2189" i="1"/>
  <c r="K2189" i="1"/>
  <c r="E2190" i="1"/>
  <c r="G2190" i="1"/>
  <c r="H2190" i="1"/>
  <c r="K2190" i="1"/>
  <c r="E2191" i="1"/>
  <c r="G2191" i="1"/>
  <c r="H2191" i="1"/>
  <c r="K2191" i="1"/>
  <c r="E2192" i="1"/>
  <c r="G2192" i="1"/>
  <c r="H2192" i="1"/>
  <c r="K2192" i="1"/>
  <c r="E2193" i="1"/>
  <c r="G2193" i="1"/>
  <c r="H2193" i="1"/>
  <c r="K2193" i="1"/>
  <c r="E2194" i="1"/>
  <c r="G2194" i="1"/>
  <c r="H2194" i="1"/>
  <c r="K2194" i="1"/>
  <c r="E2195" i="1"/>
  <c r="G2195" i="1"/>
  <c r="H2195" i="1"/>
  <c r="K2195" i="1"/>
  <c r="E2196" i="1"/>
  <c r="G2196" i="1"/>
  <c r="H2196" i="1"/>
  <c r="K2196" i="1"/>
  <c r="E2197" i="1"/>
  <c r="G2197" i="1"/>
  <c r="H2197" i="1"/>
  <c r="K2197" i="1"/>
  <c r="E2198" i="1"/>
  <c r="G2198" i="1"/>
  <c r="H2198" i="1"/>
  <c r="K2198" i="1"/>
  <c r="E2199" i="1"/>
  <c r="G2199" i="1"/>
  <c r="H2199" i="1"/>
  <c r="K2199" i="1"/>
  <c r="E2200" i="1"/>
  <c r="G2200" i="1"/>
  <c r="H2200" i="1"/>
  <c r="K2200" i="1"/>
  <c r="E2201" i="1"/>
  <c r="G2201" i="1"/>
  <c r="H2201" i="1"/>
  <c r="K2201" i="1"/>
  <c r="E2202" i="1"/>
  <c r="G2202" i="1"/>
  <c r="H2202" i="1"/>
  <c r="K2202" i="1"/>
  <c r="E2203" i="1"/>
  <c r="G2203" i="1"/>
  <c r="H2203" i="1"/>
  <c r="K2203" i="1"/>
  <c r="E2204" i="1"/>
  <c r="G2204" i="1"/>
  <c r="H2204" i="1"/>
  <c r="K2204" i="1"/>
  <c r="E2205" i="1"/>
  <c r="G2205" i="1"/>
  <c r="H2205" i="1"/>
  <c r="K2205" i="1"/>
  <c r="E2206" i="1"/>
  <c r="G2206" i="1"/>
  <c r="H2206" i="1"/>
  <c r="K2206" i="1"/>
  <c r="E2207" i="1"/>
  <c r="G2207" i="1"/>
  <c r="H2207" i="1"/>
  <c r="K2207" i="1"/>
  <c r="E2208" i="1"/>
  <c r="G2208" i="1"/>
  <c r="H2208" i="1"/>
  <c r="K2208" i="1"/>
  <c r="E2209" i="1"/>
  <c r="G2209" i="1"/>
  <c r="H2209" i="1"/>
  <c r="K2209" i="1"/>
  <c r="E2210" i="1"/>
  <c r="G2210" i="1"/>
  <c r="H2210" i="1"/>
  <c r="K2210" i="1"/>
  <c r="E2211" i="1"/>
  <c r="G2211" i="1"/>
  <c r="H2211" i="1"/>
  <c r="K2211" i="1"/>
  <c r="E2212" i="1"/>
  <c r="G2212" i="1"/>
  <c r="H2212" i="1"/>
  <c r="K2212" i="1"/>
  <c r="E2213" i="1"/>
  <c r="G2213" i="1"/>
  <c r="H2213" i="1"/>
  <c r="K2213" i="1"/>
  <c r="E2214" i="1"/>
  <c r="G2214" i="1"/>
  <c r="H2214" i="1"/>
  <c r="K2214" i="1"/>
  <c r="E2215" i="1"/>
  <c r="G2215" i="1"/>
  <c r="H2215" i="1"/>
  <c r="K2215" i="1"/>
  <c r="E2216" i="1"/>
  <c r="G2216" i="1"/>
  <c r="H2216" i="1"/>
  <c r="K2216" i="1"/>
  <c r="E2217" i="1"/>
  <c r="G2217" i="1"/>
  <c r="H2217" i="1"/>
  <c r="K2217" i="1"/>
  <c r="E2218" i="1"/>
  <c r="G2218" i="1"/>
  <c r="H2218" i="1"/>
  <c r="K2218" i="1"/>
  <c r="E2219" i="1"/>
  <c r="G2219" i="1"/>
  <c r="H2219" i="1"/>
  <c r="K2219" i="1"/>
  <c r="E2220" i="1"/>
  <c r="G2220" i="1"/>
  <c r="H2220" i="1"/>
  <c r="K2220" i="1"/>
  <c r="E2221" i="1"/>
  <c r="G2221" i="1"/>
  <c r="H2221" i="1"/>
  <c r="K2221" i="1"/>
  <c r="E2222" i="1"/>
  <c r="G2222" i="1"/>
  <c r="H2222" i="1"/>
  <c r="K2222" i="1"/>
  <c r="E2223" i="1"/>
  <c r="G2223" i="1"/>
  <c r="H2223" i="1"/>
  <c r="K2223" i="1"/>
  <c r="E2224" i="1"/>
  <c r="G2224" i="1"/>
  <c r="H2224" i="1"/>
  <c r="K2224" i="1"/>
  <c r="E2225" i="1"/>
  <c r="G2225" i="1"/>
  <c r="H2225" i="1"/>
  <c r="K2225" i="1"/>
  <c r="E2226" i="1"/>
  <c r="G2226" i="1"/>
  <c r="H2226" i="1"/>
  <c r="K2226" i="1"/>
  <c r="E2227" i="1"/>
  <c r="G2227" i="1"/>
  <c r="H2227" i="1"/>
  <c r="K2227" i="1"/>
  <c r="E2228" i="1"/>
  <c r="G2228" i="1"/>
  <c r="H2228" i="1"/>
  <c r="K2228" i="1"/>
  <c r="E2229" i="1"/>
  <c r="G2229" i="1"/>
  <c r="H2229" i="1"/>
  <c r="K2229" i="1"/>
  <c r="E2230" i="1"/>
  <c r="G2230" i="1"/>
  <c r="H2230" i="1"/>
  <c r="K2230" i="1"/>
  <c r="E2231" i="1"/>
  <c r="G2231" i="1"/>
  <c r="H2231" i="1"/>
  <c r="K2231" i="1"/>
  <c r="E2232" i="1"/>
  <c r="G2232" i="1"/>
  <c r="H2232" i="1"/>
  <c r="K2232" i="1"/>
  <c r="E2233" i="1"/>
  <c r="G2233" i="1"/>
  <c r="H2233" i="1"/>
  <c r="K2233" i="1"/>
  <c r="E2234" i="1"/>
  <c r="G2234" i="1"/>
  <c r="H2234" i="1"/>
  <c r="K2234" i="1"/>
  <c r="E2235" i="1"/>
  <c r="G2235" i="1"/>
  <c r="H2235" i="1"/>
  <c r="K2235" i="1"/>
  <c r="E2236" i="1"/>
  <c r="G2236" i="1"/>
  <c r="H2236" i="1"/>
  <c r="K2236" i="1"/>
  <c r="E2237" i="1"/>
  <c r="G2237" i="1"/>
  <c r="H2237" i="1"/>
  <c r="K2237" i="1"/>
  <c r="E2238" i="1"/>
  <c r="G2238" i="1"/>
  <c r="H2238" i="1"/>
  <c r="K2238" i="1"/>
  <c r="E2239" i="1"/>
  <c r="G2239" i="1"/>
  <c r="H2239" i="1"/>
  <c r="K2239" i="1"/>
  <c r="E2240" i="1"/>
  <c r="G2240" i="1"/>
  <c r="H2240" i="1"/>
  <c r="K2240" i="1"/>
  <c r="E2241" i="1"/>
  <c r="G2241" i="1"/>
  <c r="H2241" i="1"/>
  <c r="K2241" i="1"/>
  <c r="E2242" i="1"/>
  <c r="G2242" i="1"/>
  <c r="H2242" i="1"/>
  <c r="K2242" i="1"/>
  <c r="E2243" i="1"/>
  <c r="G2243" i="1"/>
  <c r="H2243" i="1"/>
  <c r="K2243" i="1"/>
  <c r="E2244" i="1"/>
  <c r="G2244" i="1"/>
  <c r="H2244" i="1"/>
  <c r="K2244" i="1"/>
  <c r="E2245" i="1"/>
  <c r="G2245" i="1"/>
  <c r="H2245" i="1"/>
  <c r="K2245" i="1"/>
  <c r="E2246" i="1"/>
  <c r="G2246" i="1"/>
  <c r="H2246" i="1"/>
  <c r="K2246" i="1"/>
  <c r="E2247" i="1"/>
  <c r="G2247" i="1"/>
  <c r="H2247" i="1"/>
  <c r="K2247" i="1"/>
  <c r="E2248" i="1"/>
  <c r="G2248" i="1"/>
  <c r="H2248" i="1"/>
  <c r="K2248" i="1"/>
  <c r="E2249" i="1"/>
  <c r="G2249" i="1"/>
  <c r="H2249" i="1"/>
  <c r="K2249" i="1"/>
  <c r="E2250" i="1"/>
  <c r="G2250" i="1"/>
  <c r="H2250" i="1"/>
  <c r="K2250" i="1"/>
  <c r="E2251" i="1"/>
  <c r="G2251" i="1"/>
  <c r="H2251" i="1"/>
  <c r="K2251" i="1"/>
  <c r="E2252" i="1"/>
  <c r="G2252" i="1"/>
  <c r="H2252" i="1"/>
  <c r="K2252" i="1"/>
  <c r="E2253" i="1"/>
  <c r="G2253" i="1"/>
  <c r="H2253" i="1"/>
  <c r="K2253" i="1"/>
  <c r="E2254" i="1"/>
  <c r="G2254" i="1"/>
  <c r="H2254" i="1"/>
  <c r="K2254" i="1"/>
  <c r="E2255" i="1"/>
  <c r="G2255" i="1"/>
  <c r="H2255" i="1"/>
  <c r="K2255" i="1"/>
  <c r="E2256" i="1"/>
  <c r="G2256" i="1"/>
  <c r="H2256" i="1"/>
  <c r="K2256" i="1"/>
  <c r="E2257" i="1"/>
  <c r="G2257" i="1"/>
  <c r="H2257" i="1"/>
  <c r="K2257" i="1"/>
  <c r="E2258" i="1"/>
  <c r="G2258" i="1"/>
  <c r="H2258" i="1"/>
  <c r="K2258" i="1"/>
  <c r="E2259" i="1"/>
  <c r="G2259" i="1"/>
  <c r="H2259" i="1"/>
  <c r="K2259" i="1"/>
  <c r="E2260" i="1"/>
  <c r="G2260" i="1"/>
  <c r="H2260" i="1"/>
  <c r="K2260" i="1"/>
  <c r="E2261" i="1"/>
  <c r="G2261" i="1"/>
  <c r="H2261" i="1"/>
  <c r="K2261" i="1"/>
  <c r="E2262" i="1"/>
  <c r="G2262" i="1"/>
  <c r="H2262" i="1"/>
  <c r="K2262" i="1"/>
  <c r="E2263" i="1"/>
  <c r="G2263" i="1"/>
  <c r="H2263" i="1"/>
  <c r="K2263" i="1"/>
  <c r="E2264" i="1"/>
  <c r="G2264" i="1"/>
  <c r="H2264" i="1"/>
  <c r="K2264" i="1"/>
  <c r="E2265" i="1"/>
  <c r="G2265" i="1"/>
  <c r="H2265" i="1"/>
  <c r="K2265" i="1"/>
  <c r="E2266" i="1"/>
  <c r="G2266" i="1"/>
  <c r="H2266" i="1"/>
  <c r="K2266" i="1"/>
  <c r="E2267" i="1"/>
  <c r="G2267" i="1"/>
  <c r="H2267" i="1"/>
  <c r="K2267" i="1"/>
  <c r="E2268" i="1"/>
  <c r="G2268" i="1"/>
  <c r="H2268" i="1"/>
  <c r="K2268" i="1"/>
  <c r="E2269" i="1"/>
  <c r="G2269" i="1"/>
  <c r="H2269" i="1"/>
  <c r="K2269" i="1"/>
  <c r="E2270" i="1"/>
  <c r="G2270" i="1"/>
  <c r="H2270" i="1"/>
  <c r="K2270" i="1"/>
  <c r="E2271" i="1"/>
  <c r="G2271" i="1"/>
  <c r="H2271" i="1"/>
  <c r="K2271" i="1"/>
  <c r="E2272" i="1"/>
  <c r="G2272" i="1"/>
  <c r="H2272" i="1"/>
  <c r="K2272" i="1"/>
  <c r="E2273" i="1"/>
  <c r="G2273" i="1"/>
  <c r="H2273" i="1"/>
  <c r="K2273" i="1"/>
  <c r="E2274" i="1"/>
  <c r="G2274" i="1"/>
  <c r="H2274" i="1"/>
  <c r="K2274" i="1"/>
  <c r="E2275" i="1"/>
  <c r="G2275" i="1"/>
  <c r="H2275" i="1"/>
  <c r="K2275" i="1"/>
  <c r="E2276" i="1"/>
  <c r="G2276" i="1"/>
  <c r="H2276" i="1"/>
  <c r="K2276" i="1"/>
  <c r="E2277" i="1"/>
  <c r="G2277" i="1"/>
  <c r="H2277" i="1"/>
  <c r="K2277" i="1"/>
  <c r="E2278" i="1"/>
  <c r="G2278" i="1"/>
  <c r="H2278" i="1"/>
  <c r="K2278" i="1"/>
  <c r="E2279" i="1"/>
  <c r="G2279" i="1"/>
  <c r="H2279" i="1"/>
  <c r="K2279" i="1"/>
  <c r="E2280" i="1"/>
  <c r="G2280" i="1"/>
  <c r="H2280" i="1"/>
  <c r="K2280" i="1"/>
  <c r="E2281" i="1"/>
  <c r="G2281" i="1"/>
  <c r="H2281" i="1"/>
  <c r="K2281" i="1"/>
  <c r="E2282" i="1"/>
  <c r="G2282" i="1"/>
  <c r="H2282" i="1"/>
  <c r="K2282" i="1"/>
  <c r="E2283" i="1"/>
  <c r="G2283" i="1"/>
  <c r="H2283" i="1"/>
  <c r="K2283" i="1"/>
  <c r="E2284" i="1"/>
  <c r="G2284" i="1"/>
  <c r="H2284" i="1"/>
  <c r="K2284" i="1"/>
  <c r="E2285" i="1"/>
  <c r="G2285" i="1"/>
  <c r="H2285" i="1"/>
  <c r="K2285" i="1"/>
  <c r="E2286" i="1"/>
  <c r="G2286" i="1"/>
  <c r="H2286" i="1"/>
  <c r="K2286" i="1"/>
  <c r="E2287" i="1"/>
  <c r="G2287" i="1"/>
  <c r="H2287" i="1"/>
  <c r="K2287" i="1"/>
  <c r="E2288" i="1"/>
  <c r="G2288" i="1"/>
  <c r="H2288" i="1"/>
  <c r="K2288" i="1"/>
  <c r="E2289" i="1"/>
  <c r="G2289" i="1"/>
  <c r="H2289" i="1"/>
  <c r="K2289" i="1"/>
  <c r="E2290" i="1"/>
  <c r="G2290" i="1"/>
  <c r="H2290" i="1"/>
  <c r="K2290" i="1"/>
  <c r="E2291" i="1"/>
  <c r="G2291" i="1"/>
  <c r="H2291" i="1"/>
  <c r="K2291" i="1"/>
  <c r="E2292" i="1"/>
  <c r="G2292" i="1"/>
  <c r="H2292" i="1"/>
  <c r="K2292" i="1"/>
  <c r="E2293" i="1"/>
  <c r="G2293" i="1"/>
  <c r="H2293" i="1"/>
  <c r="K2293" i="1"/>
  <c r="E2294" i="1"/>
  <c r="G2294" i="1"/>
  <c r="H2294" i="1"/>
  <c r="K2294" i="1"/>
  <c r="E2295" i="1"/>
  <c r="G2295" i="1"/>
  <c r="H2295" i="1"/>
  <c r="K2295" i="1"/>
  <c r="E2296" i="1"/>
  <c r="G2296" i="1"/>
  <c r="H2296" i="1"/>
  <c r="K2296" i="1"/>
  <c r="E2297" i="1"/>
  <c r="G2297" i="1"/>
  <c r="H2297" i="1"/>
  <c r="K2297" i="1"/>
  <c r="E2298" i="1"/>
  <c r="G2298" i="1"/>
  <c r="H2298" i="1"/>
  <c r="K2298" i="1"/>
  <c r="E2299" i="1"/>
  <c r="G2299" i="1"/>
  <c r="H2299" i="1"/>
  <c r="K2299" i="1"/>
  <c r="E2300" i="1"/>
  <c r="G2300" i="1"/>
  <c r="H2300" i="1"/>
  <c r="K2300" i="1"/>
  <c r="E2301" i="1"/>
  <c r="G2301" i="1"/>
  <c r="H2301" i="1"/>
  <c r="K2301" i="1"/>
  <c r="E2302" i="1"/>
  <c r="G2302" i="1"/>
  <c r="H2302" i="1"/>
  <c r="K2302" i="1"/>
  <c r="E2303" i="1"/>
  <c r="G2303" i="1"/>
  <c r="H2303" i="1"/>
  <c r="K2303" i="1"/>
  <c r="E2304" i="1"/>
  <c r="G2304" i="1"/>
  <c r="H2304" i="1"/>
  <c r="K2304" i="1"/>
  <c r="E2305" i="1"/>
  <c r="G2305" i="1"/>
  <c r="H2305" i="1"/>
  <c r="K2305" i="1"/>
  <c r="E2306" i="1"/>
  <c r="G2306" i="1"/>
  <c r="H2306" i="1"/>
  <c r="K2306" i="1"/>
  <c r="E2307" i="1"/>
  <c r="G2307" i="1"/>
  <c r="H2307" i="1"/>
  <c r="K2307" i="1"/>
  <c r="E2308" i="1"/>
  <c r="G2308" i="1"/>
  <c r="H2308" i="1"/>
  <c r="K2308" i="1"/>
  <c r="E2309" i="1"/>
  <c r="G2309" i="1"/>
  <c r="H2309" i="1"/>
  <c r="K2309" i="1"/>
  <c r="E2310" i="1"/>
  <c r="G2310" i="1"/>
  <c r="H2310" i="1"/>
  <c r="K2310" i="1"/>
  <c r="E2311" i="1"/>
  <c r="G2311" i="1"/>
  <c r="H2311" i="1"/>
  <c r="K2311" i="1"/>
  <c r="E2312" i="1"/>
  <c r="G2312" i="1"/>
  <c r="H2312" i="1"/>
  <c r="K2312" i="1"/>
  <c r="E2313" i="1"/>
  <c r="G2313" i="1"/>
  <c r="H2313" i="1"/>
  <c r="K2313" i="1"/>
  <c r="E2314" i="1"/>
  <c r="G2314" i="1"/>
  <c r="H2314" i="1"/>
  <c r="K2314" i="1"/>
  <c r="E2315" i="1"/>
  <c r="G2315" i="1"/>
  <c r="H2315" i="1"/>
  <c r="K2315" i="1"/>
  <c r="E2316" i="1"/>
  <c r="G2316" i="1"/>
  <c r="H2316" i="1"/>
  <c r="K2316" i="1"/>
  <c r="E2317" i="1"/>
  <c r="G2317" i="1"/>
  <c r="H2317" i="1"/>
  <c r="K2317" i="1"/>
  <c r="E2318" i="1"/>
  <c r="G2318" i="1"/>
  <c r="H2318" i="1"/>
  <c r="K2318" i="1"/>
  <c r="E2319" i="1"/>
  <c r="G2319" i="1"/>
  <c r="H2319" i="1"/>
  <c r="K2319" i="1"/>
  <c r="E2320" i="1"/>
  <c r="G2320" i="1"/>
  <c r="H2320" i="1"/>
  <c r="K2320" i="1"/>
  <c r="E2321" i="1"/>
  <c r="G2321" i="1"/>
  <c r="H2321" i="1"/>
  <c r="K2321" i="1"/>
  <c r="E2322" i="1"/>
  <c r="G2322" i="1"/>
  <c r="H2322" i="1"/>
  <c r="K2322" i="1"/>
  <c r="E2323" i="1"/>
  <c r="G2323" i="1"/>
  <c r="H2323" i="1"/>
  <c r="K2323" i="1"/>
  <c r="E2324" i="1"/>
  <c r="G2324" i="1"/>
  <c r="H2324" i="1"/>
  <c r="K2324" i="1"/>
  <c r="E2325" i="1"/>
  <c r="G2325" i="1"/>
  <c r="H2325" i="1"/>
  <c r="K2325" i="1"/>
  <c r="E2326" i="1"/>
  <c r="G2326" i="1"/>
  <c r="H2326" i="1"/>
  <c r="K2326" i="1"/>
  <c r="E2327" i="1"/>
  <c r="G2327" i="1"/>
  <c r="H2327" i="1"/>
  <c r="K2327" i="1"/>
  <c r="E2328" i="1"/>
  <c r="G2328" i="1"/>
  <c r="H2328" i="1"/>
  <c r="K2328" i="1"/>
  <c r="E2329" i="1"/>
  <c r="G2329" i="1"/>
  <c r="H2329" i="1"/>
  <c r="K2329" i="1"/>
  <c r="E2330" i="1"/>
  <c r="G2330" i="1"/>
  <c r="H2330" i="1"/>
  <c r="K2330" i="1"/>
  <c r="E2331" i="1"/>
  <c r="G2331" i="1"/>
  <c r="H2331" i="1"/>
  <c r="K2331" i="1"/>
  <c r="E2332" i="1"/>
  <c r="G2332" i="1"/>
  <c r="H2332" i="1"/>
  <c r="K2332" i="1"/>
  <c r="E2333" i="1"/>
  <c r="G2333" i="1"/>
  <c r="H2333" i="1"/>
  <c r="K2333" i="1"/>
  <c r="E2334" i="1"/>
  <c r="G2334" i="1"/>
  <c r="H2334" i="1"/>
  <c r="K2334" i="1"/>
  <c r="E2335" i="1"/>
  <c r="G2335" i="1"/>
  <c r="H2335" i="1"/>
  <c r="K2335" i="1"/>
  <c r="E2336" i="1"/>
  <c r="G2336" i="1"/>
  <c r="H2336" i="1"/>
  <c r="K2336" i="1"/>
  <c r="E2337" i="1"/>
  <c r="G2337" i="1"/>
  <c r="H2337" i="1"/>
  <c r="K2337" i="1"/>
  <c r="E2338" i="1"/>
  <c r="G2338" i="1"/>
  <c r="H2338" i="1"/>
  <c r="K2338" i="1"/>
  <c r="E2339" i="1"/>
  <c r="G2339" i="1"/>
  <c r="H2339" i="1"/>
  <c r="K2339" i="1"/>
  <c r="E2340" i="1"/>
  <c r="G2340" i="1"/>
  <c r="H2340" i="1"/>
  <c r="K2340" i="1"/>
  <c r="E2341" i="1"/>
  <c r="G2341" i="1"/>
  <c r="H2341" i="1"/>
  <c r="K2341" i="1"/>
  <c r="E2342" i="1"/>
  <c r="G2342" i="1"/>
  <c r="H2342" i="1"/>
  <c r="K2342" i="1"/>
  <c r="E2343" i="1"/>
  <c r="G2343" i="1"/>
  <c r="H2343" i="1"/>
  <c r="K2343" i="1"/>
  <c r="E2344" i="1"/>
  <c r="G2344" i="1"/>
  <c r="H2344" i="1"/>
  <c r="K2344" i="1"/>
  <c r="E2345" i="1"/>
  <c r="G2345" i="1"/>
  <c r="H2345" i="1"/>
  <c r="K2345" i="1"/>
  <c r="E2346" i="1"/>
  <c r="G2346" i="1"/>
  <c r="H2346" i="1"/>
  <c r="K2346" i="1"/>
  <c r="E2347" i="1"/>
  <c r="G2347" i="1"/>
  <c r="H2347" i="1"/>
  <c r="K2347" i="1"/>
  <c r="E2348" i="1"/>
  <c r="G2348" i="1"/>
  <c r="H2348" i="1"/>
  <c r="K2348" i="1"/>
  <c r="E2349" i="1"/>
  <c r="G2349" i="1"/>
  <c r="H2349" i="1"/>
  <c r="K2349" i="1"/>
  <c r="E2350" i="1"/>
  <c r="G2350" i="1"/>
  <c r="H2350" i="1"/>
  <c r="K2350" i="1"/>
  <c r="E2351" i="1"/>
  <c r="G2351" i="1"/>
  <c r="H2351" i="1"/>
  <c r="K2351" i="1"/>
  <c r="E2352" i="1"/>
  <c r="G2352" i="1"/>
  <c r="H2352" i="1"/>
  <c r="K2352" i="1"/>
  <c r="E2353" i="1"/>
  <c r="G2353" i="1"/>
  <c r="H2353" i="1"/>
  <c r="K2353" i="1"/>
  <c r="E2354" i="1"/>
  <c r="G2354" i="1"/>
  <c r="H2354" i="1"/>
  <c r="K2354" i="1"/>
  <c r="E2355" i="1"/>
  <c r="G2355" i="1"/>
  <c r="H2355" i="1"/>
  <c r="K2355" i="1"/>
  <c r="E2356" i="1"/>
  <c r="G2356" i="1"/>
  <c r="H2356" i="1"/>
  <c r="K2356" i="1"/>
  <c r="E2357" i="1"/>
  <c r="G2357" i="1"/>
  <c r="H2357" i="1"/>
  <c r="K2357" i="1"/>
  <c r="E2358" i="1"/>
  <c r="G2358" i="1"/>
  <c r="H2358" i="1"/>
  <c r="K2358" i="1"/>
  <c r="E2359" i="1"/>
  <c r="G2359" i="1"/>
  <c r="H2359" i="1"/>
  <c r="K2359" i="1"/>
  <c r="E2360" i="1"/>
  <c r="G2360" i="1"/>
  <c r="H2360" i="1"/>
  <c r="K2360" i="1"/>
  <c r="E2361" i="1"/>
  <c r="G2361" i="1"/>
  <c r="H2361" i="1"/>
  <c r="K2361" i="1"/>
  <c r="E2362" i="1"/>
  <c r="G2362" i="1"/>
  <c r="H2362" i="1"/>
  <c r="K2362" i="1"/>
  <c r="E2363" i="1"/>
  <c r="G2363" i="1"/>
  <c r="H2363" i="1"/>
  <c r="K2363" i="1"/>
  <c r="E2364" i="1"/>
  <c r="G2364" i="1"/>
  <c r="H2364" i="1"/>
  <c r="K2364" i="1"/>
  <c r="E2365" i="1"/>
  <c r="G2365" i="1"/>
  <c r="H2365" i="1"/>
  <c r="K2365" i="1"/>
  <c r="E2366" i="1"/>
  <c r="G2366" i="1"/>
  <c r="H2366" i="1"/>
  <c r="K2366" i="1"/>
  <c r="E2367" i="1"/>
  <c r="G2367" i="1"/>
  <c r="H2367" i="1"/>
  <c r="K2367" i="1"/>
  <c r="E2368" i="1"/>
  <c r="G2368" i="1"/>
  <c r="H2368" i="1"/>
  <c r="K2368" i="1"/>
  <c r="E2369" i="1"/>
  <c r="G2369" i="1"/>
  <c r="H2369" i="1"/>
  <c r="K2369" i="1"/>
  <c r="E2370" i="1"/>
  <c r="G2370" i="1"/>
  <c r="H2370" i="1"/>
  <c r="K2370" i="1"/>
  <c r="E2371" i="1"/>
  <c r="G2371" i="1"/>
  <c r="H2371" i="1"/>
  <c r="K2371" i="1"/>
  <c r="E2372" i="1"/>
  <c r="G2372" i="1"/>
  <c r="H2372" i="1"/>
  <c r="K2372" i="1"/>
  <c r="E2373" i="1"/>
  <c r="G2373" i="1"/>
  <c r="H2373" i="1"/>
  <c r="K2373" i="1"/>
  <c r="E2374" i="1"/>
  <c r="G2374" i="1"/>
  <c r="H2374" i="1"/>
  <c r="K2374" i="1"/>
  <c r="E2375" i="1"/>
  <c r="G2375" i="1"/>
  <c r="H2375" i="1"/>
  <c r="K2375" i="1"/>
  <c r="E2376" i="1"/>
  <c r="G2376" i="1"/>
  <c r="H2376" i="1"/>
  <c r="K2376" i="1"/>
  <c r="E2377" i="1"/>
  <c r="G2377" i="1"/>
  <c r="H2377" i="1"/>
  <c r="K2377" i="1"/>
  <c r="E2378" i="1"/>
  <c r="G2378" i="1"/>
  <c r="H2378" i="1"/>
  <c r="K2378" i="1"/>
  <c r="E2379" i="1"/>
  <c r="G2379" i="1"/>
  <c r="H2379" i="1"/>
  <c r="K2379" i="1"/>
  <c r="E2380" i="1"/>
  <c r="G2380" i="1"/>
  <c r="H2380" i="1"/>
  <c r="K2380" i="1"/>
  <c r="E2381" i="1"/>
  <c r="G2381" i="1"/>
  <c r="H2381" i="1"/>
  <c r="K2381" i="1"/>
  <c r="E2382" i="1"/>
  <c r="G2382" i="1"/>
  <c r="H2382" i="1"/>
  <c r="K2382" i="1"/>
  <c r="E2383" i="1"/>
  <c r="G2383" i="1"/>
  <c r="H2383" i="1"/>
  <c r="K2383" i="1"/>
  <c r="E2384" i="1"/>
  <c r="G2384" i="1"/>
  <c r="H2384" i="1"/>
  <c r="K2384" i="1"/>
  <c r="E2385" i="1"/>
  <c r="G2385" i="1"/>
  <c r="H2385" i="1"/>
  <c r="K2385" i="1"/>
  <c r="E2386" i="1"/>
  <c r="G2386" i="1"/>
  <c r="H2386" i="1"/>
  <c r="K2386" i="1"/>
  <c r="E2387" i="1"/>
  <c r="G2387" i="1"/>
  <c r="H2387" i="1"/>
  <c r="K2387" i="1"/>
  <c r="E2388" i="1"/>
  <c r="G2388" i="1"/>
  <c r="H2388" i="1"/>
  <c r="K2388" i="1"/>
  <c r="E2389" i="1"/>
  <c r="G2389" i="1"/>
  <c r="H2389" i="1"/>
  <c r="K2389" i="1"/>
  <c r="E2390" i="1"/>
  <c r="G2390" i="1"/>
  <c r="H2390" i="1"/>
  <c r="K2390" i="1"/>
  <c r="E2391" i="1"/>
  <c r="G2391" i="1"/>
  <c r="H2391" i="1"/>
  <c r="K2391" i="1"/>
  <c r="E2392" i="1"/>
  <c r="G2392" i="1"/>
  <c r="H2392" i="1"/>
  <c r="K2392" i="1"/>
  <c r="E2393" i="1"/>
  <c r="G2393" i="1"/>
  <c r="H2393" i="1"/>
  <c r="K2393" i="1"/>
  <c r="E2394" i="1"/>
  <c r="G2394" i="1"/>
  <c r="H2394" i="1"/>
  <c r="K2394" i="1"/>
  <c r="E2395" i="1"/>
  <c r="G2395" i="1"/>
  <c r="H2395" i="1"/>
  <c r="K2395" i="1"/>
  <c r="E2396" i="1"/>
  <c r="G2396" i="1"/>
  <c r="H2396" i="1"/>
  <c r="K2396" i="1"/>
  <c r="E2397" i="1"/>
  <c r="G2397" i="1"/>
  <c r="H2397" i="1"/>
  <c r="K2397" i="1"/>
  <c r="E2398" i="1"/>
  <c r="G2398" i="1"/>
  <c r="H2398" i="1"/>
  <c r="K2398" i="1"/>
  <c r="E2399" i="1"/>
  <c r="G2399" i="1"/>
  <c r="H2399" i="1"/>
  <c r="K2399" i="1"/>
  <c r="E2400" i="1"/>
  <c r="G2400" i="1"/>
  <c r="H2400" i="1"/>
  <c r="K2400" i="1"/>
  <c r="E2401" i="1"/>
  <c r="G2401" i="1"/>
  <c r="H2401" i="1"/>
  <c r="K2401" i="1"/>
  <c r="E2402" i="1"/>
  <c r="G2402" i="1"/>
  <c r="H2402" i="1"/>
  <c r="K2402" i="1"/>
  <c r="E2403" i="1"/>
  <c r="G2403" i="1"/>
  <c r="H2403" i="1"/>
  <c r="K2403" i="1"/>
  <c r="E2404" i="1"/>
  <c r="G2404" i="1"/>
  <c r="H2404" i="1"/>
  <c r="K2404" i="1"/>
  <c r="E2405" i="1"/>
  <c r="G2405" i="1"/>
  <c r="H2405" i="1"/>
  <c r="K2405" i="1"/>
  <c r="E2406" i="1"/>
  <c r="G2406" i="1"/>
  <c r="H2406" i="1"/>
  <c r="K2406" i="1"/>
  <c r="E2407" i="1"/>
  <c r="G2407" i="1"/>
  <c r="H2407" i="1"/>
  <c r="K2407" i="1"/>
  <c r="E2408" i="1"/>
  <c r="G2408" i="1"/>
  <c r="H2408" i="1"/>
  <c r="K2408" i="1"/>
  <c r="E2409" i="1"/>
  <c r="G2409" i="1"/>
  <c r="H2409" i="1"/>
  <c r="K2409" i="1"/>
  <c r="E2410" i="1"/>
  <c r="G2410" i="1"/>
  <c r="H2410" i="1"/>
  <c r="K2410" i="1"/>
  <c r="E2411" i="1"/>
  <c r="G2411" i="1"/>
  <c r="H2411" i="1"/>
  <c r="K2411" i="1"/>
  <c r="E2412" i="1"/>
  <c r="G2412" i="1"/>
  <c r="H2412" i="1"/>
  <c r="K2412" i="1"/>
  <c r="E2413" i="1"/>
  <c r="G2413" i="1"/>
  <c r="H2413" i="1"/>
  <c r="K2413" i="1"/>
  <c r="E2414" i="1"/>
  <c r="G2414" i="1"/>
  <c r="H2414" i="1"/>
  <c r="K2414" i="1"/>
  <c r="E2415" i="1"/>
  <c r="G2415" i="1"/>
  <c r="H2415" i="1"/>
  <c r="K2415" i="1"/>
  <c r="E2416" i="1"/>
  <c r="G2416" i="1"/>
  <c r="H2416" i="1"/>
  <c r="K2416" i="1"/>
  <c r="E2417" i="1"/>
  <c r="G2417" i="1"/>
  <c r="H2417" i="1"/>
  <c r="K2417" i="1"/>
  <c r="E2418" i="1"/>
  <c r="G2418" i="1"/>
  <c r="H2418" i="1"/>
  <c r="K2418" i="1"/>
  <c r="E2419" i="1"/>
  <c r="G2419" i="1"/>
  <c r="H2419" i="1"/>
  <c r="K2419" i="1"/>
  <c r="E2420" i="1"/>
  <c r="G2420" i="1"/>
  <c r="H2420" i="1"/>
  <c r="K2420" i="1"/>
  <c r="E2421" i="1"/>
  <c r="G2421" i="1"/>
  <c r="H2421" i="1"/>
  <c r="K2421" i="1"/>
  <c r="E2422" i="1"/>
  <c r="G2422" i="1"/>
  <c r="H2422" i="1"/>
  <c r="K2422" i="1"/>
  <c r="E2423" i="1"/>
  <c r="G2423" i="1"/>
  <c r="H2423" i="1"/>
  <c r="K2423" i="1"/>
  <c r="E2424" i="1"/>
  <c r="G2424" i="1"/>
  <c r="H2424" i="1"/>
  <c r="K2424" i="1"/>
  <c r="E2425" i="1"/>
  <c r="G2425" i="1"/>
  <c r="H2425" i="1"/>
  <c r="K2425" i="1"/>
  <c r="E2426" i="1"/>
  <c r="G2426" i="1"/>
  <c r="H2426" i="1"/>
  <c r="K2426" i="1"/>
  <c r="E2427" i="1"/>
  <c r="G2427" i="1"/>
  <c r="H2427" i="1"/>
  <c r="K2427" i="1"/>
  <c r="E2428" i="1"/>
  <c r="G2428" i="1"/>
  <c r="H2428" i="1"/>
  <c r="K2428" i="1"/>
  <c r="E2429" i="1"/>
  <c r="G2429" i="1"/>
  <c r="H2429" i="1"/>
  <c r="K2429" i="1"/>
  <c r="E2430" i="1"/>
  <c r="G2430" i="1"/>
  <c r="H2430" i="1"/>
  <c r="K2430" i="1"/>
  <c r="E2431" i="1"/>
  <c r="G2431" i="1"/>
  <c r="H2431" i="1"/>
  <c r="K2431" i="1"/>
  <c r="E2432" i="1"/>
  <c r="G2432" i="1"/>
  <c r="H2432" i="1"/>
  <c r="K2432" i="1"/>
  <c r="E2433" i="1"/>
  <c r="G2433" i="1"/>
  <c r="H2433" i="1"/>
  <c r="K2433" i="1"/>
  <c r="E2434" i="1"/>
  <c r="G2434" i="1"/>
  <c r="H2434" i="1"/>
  <c r="K2434" i="1"/>
  <c r="E2435" i="1"/>
  <c r="G2435" i="1"/>
  <c r="H2435" i="1"/>
  <c r="K2435" i="1"/>
  <c r="E2436" i="1"/>
  <c r="G2436" i="1"/>
  <c r="H2436" i="1"/>
  <c r="K2436" i="1"/>
  <c r="E2437" i="1"/>
  <c r="G2437" i="1"/>
  <c r="H2437" i="1"/>
  <c r="K2437" i="1"/>
  <c r="E2438" i="1"/>
  <c r="G2438" i="1"/>
  <c r="H2438" i="1"/>
  <c r="K2438" i="1"/>
  <c r="E2439" i="1"/>
  <c r="G2439" i="1"/>
  <c r="H2439" i="1"/>
  <c r="K2439" i="1"/>
  <c r="E2440" i="1"/>
  <c r="G2440" i="1"/>
  <c r="H2440" i="1"/>
  <c r="K2440" i="1"/>
  <c r="E2441" i="1"/>
  <c r="G2441" i="1"/>
  <c r="H2441" i="1"/>
  <c r="K2441" i="1"/>
  <c r="E2442" i="1"/>
  <c r="G2442" i="1"/>
  <c r="H2442" i="1"/>
  <c r="K2442" i="1"/>
  <c r="E2443" i="1"/>
  <c r="G2443" i="1"/>
  <c r="H2443" i="1"/>
  <c r="K2443" i="1"/>
  <c r="E2444" i="1"/>
  <c r="G2444" i="1"/>
  <c r="H2444" i="1"/>
  <c r="K2444" i="1"/>
  <c r="E2445" i="1"/>
  <c r="G2445" i="1"/>
  <c r="H2445" i="1"/>
  <c r="K2445" i="1"/>
  <c r="E2446" i="1"/>
  <c r="G2446" i="1"/>
  <c r="H2446" i="1"/>
  <c r="K2446" i="1"/>
  <c r="E2447" i="1"/>
  <c r="G2447" i="1"/>
  <c r="H2447" i="1"/>
  <c r="K2447" i="1"/>
  <c r="E2448" i="1"/>
  <c r="G2448" i="1"/>
  <c r="H2448" i="1"/>
  <c r="K2448" i="1"/>
  <c r="E2449" i="1"/>
  <c r="G2449" i="1"/>
  <c r="H2449" i="1"/>
  <c r="K2449" i="1"/>
  <c r="E2450" i="1"/>
  <c r="G2450" i="1"/>
  <c r="H2450" i="1"/>
  <c r="K2450" i="1"/>
  <c r="E2451" i="1"/>
  <c r="G2451" i="1"/>
  <c r="H2451" i="1"/>
  <c r="K2451" i="1"/>
  <c r="E2452" i="1"/>
  <c r="G2452" i="1"/>
  <c r="H2452" i="1"/>
  <c r="K2452" i="1"/>
  <c r="E2453" i="1"/>
  <c r="G2453" i="1"/>
  <c r="H2453" i="1"/>
  <c r="K2453" i="1"/>
  <c r="E2454" i="1"/>
  <c r="G2454" i="1"/>
  <c r="H2454" i="1"/>
  <c r="K2454" i="1"/>
  <c r="E2455" i="1"/>
  <c r="G2455" i="1"/>
  <c r="H2455" i="1"/>
  <c r="K2455" i="1"/>
  <c r="E2456" i="1"/>
  <c r="G2456" i="1"/>
  <c r="H2456" i="1"/>
  <c r="K2456" i="1"/>
  <c r="E2457" i="1"/>
  <c r="G2457" i="1"/>
  <c r="H2457" i="1"/>
  <c r="K2457" i="1"/>
  <c r="E2458" i="1"/>
  <c r="G2458" i="1"/>
  <c r="H2458" i="1"/>
  <c r="K2458" i="1"/>
  <c r="E2459" i="1"/>
  <c r="G2459" i="1"/>
  <c r="H2459" i="1"/>
  <c r="K2459" i="1"/>
  <c r="E2460" i="1"/>
  <c r="G2460" i="1"/>
  <c r="H2460" i="1"/>
  <c r="K2460" i="1"/>
  <c r="E2461" i="1"/>
  <c r="G2461" i="1"/>
  <c r="H2461" i="1"/>
  <c r="K2461" i="1"/>
  <c r="E2462" i="1"/>
  <c r="G2462" i="1"/>
  <c r="H2462" i="1"/>
  <c r="K2462" i="1"/>
  <c r="E2463" i="1"/>
  <c r="G2463" i="1"/>
  <c r="H2463" i="1"/>
  <c r="K2463" i="1"/>
  <c r="E2464" i="1"/>
  <c r="G2464" i="1"/>
  <c r="H2464" i="1"/>
  <c r="K2464" i="1"/>
  <c r="E2465" i="1"/>
  <c r="G2465" i="1"/>
  <c r="H2465" i="1"/>
  <c r="K2465" i="1"/>
  <c r="E2466" i="1"/>
  <c r="G2466" i="1"/>
  <c r="H2466" i="1"/>
  <c r="K2466" i="1"/>
  <c r="E2467" i="1"/>
  <c r="G2467" i="1"/>
  <c r="H2467" i="1"/>
  <c r="K2467" i="1"/>
  <c r="E2468" i="1"/>
  <c r="G2468" i="1"/>
  <c r="H2468" i="1"/>
  <c r="K2468" i="1"/>
  <c r="E2469" i="1"/>
  <c r="G2469" i="1"/>
  <c r="H2469" i="1"/>
  <c r="K2469" i="1"/>
  <c r="E2470" i="1"/>
  <c r="G2470" i="1"/>
  <c r="H2470" i="1"/>
  <c r="K2470" i="1"/>
  <c r="E2471" i="1"/>
  <c r="G2471" i="1"/>
  <c r="H2471" i="1"/>
  <c r="K2471" i="1"/>
  <c r="E2472" i="1"/>
  <c r="G2472" i="1"/>
  <c r="H2472" i="1"/>
  <c r="K2472" i="1"/>
  <c r="E2473" i="1"/>
  <c r="G2473" i="1"/>
  <c r="H2473" i="1"/>
  <c r="K2473" i="1"/>
  <c r="E2474" i="1"/>
  <c r="G2474" i="1"/>
  <c r="H2474" i="1"/>
  <c r="K2474" i="1"/>
  <c r="E2475" i="1"/>
  <c r="G2475" i="1"/>
  <c r="H2475" i="1"/>
  <c r="K2475" i="1"/>
  <c r="E2476" i="1"/>
  <c r="G2476" i="1"/>
  <c r="H2476" i="1"/>
  <c r="K2476" i="1"/>
  <c r="E2477" i="1"/>
  <c r="G2477" i="1"/>
  <c r="H2477" i="1"/>
  <c r="K2477" i="1"/>
  <c r="E2478" i="1"/>
  <c r="G2478" i="1"/>
  <c r="H2478" i="1"/>
  <c r="K2478" i="1"/>
  <c r="E2479" i="1"/>
  <c r="G2479" i="1"/>
  <c r="H2479" i="1"/>
  <c r="K2479" i="1"/>
  <c r="E2480" i="1"/>
  <c r="G2480" i="1"/>
  <c r="H2480" i="1"/>
  <c r="K2480" i="1"/>
  <c r="E2481" i="1"/>
  <c r="G2481" i="1"/>
  <c r="H2481" i="1"/>
  <c r="K2481" i="1"/>
  <c r="E2482" i="1"/>
  <c r="G2482" i="1"/>
  <c r="H2482" i="1"/>
  <c r="K2482" i="1"/>
  <c r="E2483" i="1"/>
  <c r="G2483" i="1"/>
  <c r="H2483" i="1"/>
  <c r="K2483" i="1"/>
  <c r="E2484" i="1"/>
  <c r="G2484" i="1"/>
  <c r="H2484" i="1"/>
  <c r="K2484" i="1"/>
  <c r="E2485" i="1"/>
  <c r="G2485" i="1"/>
  <c r="H2485" i="1"/>
  <c r="K2485" i="1"/>
  <c r="E2486" i="1"/>
  <c r="G2486" i="1"/>
  <c r="H2486" i="1"/>
  <c r="K2486" i="1"/>
  <c r="E2487" i="1"/>
  <c r="G2487" i="1"/>
  <c r="H2487" i="1"/>
  <c r="K2487" i="1"/>
  <c r="E2488" i="1"/>
  <c r="G2488" i="1"/>
  <c r="H2488" i="1"/>
  <c r="K2488" i="1"/>
  <c r="E2489" i="1"/>
  <c r="G2489" i="1"/>
  <c r="H2489" i="1"/>
  <c r="K2489" i="1"/>
  <c r="E2490" i="1"/>
  <c r="G2490" i="1"/>
  <c r="H2490" i="1"/>
  <c r="K2490" i="1"/>
  <c r="E2491" i="1"/>
  <c r="G2491" i="1"/>
  <c r="H2491" i="1"/>
  <c r="K2491" i="1"/>
  <c r="E2492" i="1"/>
  <c r="G2492" i="1"/>
  <c r="H2492" i="1"/>
  <c r="K2492" i="1"/>
  <c r="E2493" i="1"/>
  <c r="G2493" i="1"/>
  <c r="H2493" i="1"/>
  <c r="K2493" i="1"/>
  <c r="E2494" i="1"/>
  <c r="G2494" i="1"/>
  <c r="H2494" i="1"/>
  <c r="K2494" i="1"/>
  <c r="E2495" i="1"/>
  <c r="G2495" i="1"/>
  <c r="H2495" i="1"/>
  <c r="K2495" i="1"/>
  <c r="E2496" i="1"/>
  <c r="G2496" i="1"/>
  <c r="H2496" i="1"/>
  <c r="K2496" i="1"/>
  <c r="E2497" i="1"/>
  <c r="G2497" i="1"/>
  <c r="H2497" i="1"/>
  <c r="K2497" i="1"/>
  <c r="E2498" i="1"/>
  <c r="G2498" i="1"/>
  <c r="H2498" i="1"/>
  <c r="K2498" i="1"/>
  <c r="E2499" i="1"/>
  <c r="G2499" i="1"/>
  <c r="H2499" i="1"/>
  <c r="K2499" i="1"/>
  <c r="E2500" i="1"/>
  <c r="G2500" i="1"/>
  <c r="H2500" i="1"/>
  <c r="K2500" i="1"/>
  <c r="E2501" i="1"/>
  <c r="G2501" i="1"/>
  <c r="H2501" i="1"/>
  <c r="K2501" i="1"/>
  <c r="E2502" i="1"/>
  <c r="G2502" i="1"/>
  <c r="H2502" i="1"/>
  <c r="K2502" i="1"/>
  <c r="E2503" i="1"/>
  <c r="G2503" i="1"/>
  <c r="H2503" i="1"/>
  <c r="K2503" i="1"/>
  <c r="E2504" i="1"/>
  <c r="G2504" i="1"/>
  <c r="H2504" i="1"/>
  <c r="K2504" i="1"/>
  <c r="E2505" i="1"/>
  <c r="G2505" i="1"/>
  <c r="H2505" i="1"/>
  <c r="K2505" i="1"/>
  <c r="E2506" i="1"/>
  <c r="G2506" i="1"/>
  <c r="H2506" i="1"/>
  <c r="K2506" i="1"/>
  <c r="E2507" i="1"/>
  <c r="G2507" i="1"/>
  <c r="H2507" i="1"/>
  <c r="K2507" i="1"/>
  <c r="E2508" i="1"/>
  <c r="G2508" i="1"/>
  <c r="H2508" i="1"/>
  <c r="K2508" i="1"/>
  <c r="E2509" i="1"/>
  <c r="G2509" i="1"/>
  <c r="H2509" i="1"/>
  <c r="K2509" i="1"/>
  <c r="E2510" i="1"/>
  <c r="G2510" i="1"/>
  <c r="H2510" i="1"/>
  <c r="K2510" i="1"/>
  <c r="E2511" i="1"/>
  <c r="G2511" i="1"/>
  <c r="H2511" i="1"/>
  <c r="K2511" i="1"/>
  <c r="E2512" i="1"/>
  <c r="G2512" i="1"/>
  <c r="H2512" i="1"/>
  <c r="K2512" i="1"/>
  <c r="E2513" i="1"/>
  <c r="G2513" i="1"/>
  <c r="H2513" i="1"/>
  <c r="K2513" i="1"/>
  <c r="E2514" i="1"/>
  <c r="G2514" i="1"/>
  <c r="H2514" i="1"/>
  <c r="K2514" i="1"/>
  <c r="E2515" i="1"/>
  <c r="G2515" i="1"/>
  <c r="H2515" i="1"/>
  <c r="K2515" i="1"/>
  <c r="E2516" i="1"/>
  <c r="G2516" i="1"/>
  <c r="H2516" i="1"/>
  <c r="K2516" i="1"/>
  <c r="E2517" i="1"/>
  <c r="G2517" i="1"/>
  <c r="H2517" i="1"/>
  <c r="K2517" i="1"/>
  <c r="E2518" i="1"/>
  <c r="G2518" i="1"/>
  <c r="H2518" i="1"/>
  <c r="K2518" i="1"/>
  <c r="E2519" i="1"/>
  <c r="G2519" i="1"/>
  <c r="H2519" i="1"/>
  <c r="K2519" i="1"/>
  <c r="E2520" i="1"/>
  <c r="G2520" i="1"/>
  <c r="H2520" i="1"/>
  <c r="K2520" i="1"/>
  <c r="E2521" i="1"/>
  <c r="G2521" i="1"/>
  <c r="H2521" i="1"/>
  <c r="K2521" i="1"/>
  <c r="E2522" i="1"/>
  <c r="G2522" i="1"/>
  <c r="H2522" i="1"/>
  <c r="K2522" i="1"/>
  <c r="E2523" i="1"/>
  <c r="G2523" i="1"/>
  <c r="H2523" i="1"/>
  <c r="K2523" i="1"/>
  <c r="E2524" i="1"/>
  <c r="G2524" i="1"/>
  <c r="H2524" i="1"/>
  <c r="K2524" i="1"/>
  <c r="E2525" i="1"/>
  <c r="G2525" i="1"/>
  <c r="H2525" i="1"/>
  <c r="K2525" i="1"/>
  <c r="E2526" i="1"/>
  <c r="G2526" i="1"/>
  <c r="H2526" i="1"/>
  <c r="K2526" i="1"/>
  <c r="E2527" i="1"/>
  <c r="G2527" i="1"/>
  <c r="H2527" i="1"/>
  <c r="K2527" i="1"/>
  <c r="E2528" i="1"/>
  <c r="G2528" i="1"/>
  <c r="H2528" i="1"/>
  <c r="K2528" i="1"/>
  <c r="E2529" i="1"/>
  <c r="G2529" i="1"/>
  <c r="H2529" i="1"/>
  <c r="K2529" i="1"/>
  <c r="E2530" i="1"/>
  <c r="G2530" i="1"/>
  <c r="H2530" i="1"/>
  <c r="K2530" i="1"/>
  <c r="E2531" i="1"/>
  <c r="G2531" i="1"/>
  <c r="H2531" i="1"/>
  <c r="K2531" i="1"/>
  <c r="E2532" i="1"/>
  <c r="G2532" i="1"/>
  <c r="H2532" i="1"/>
  <c r="K2532" i="1"/>
  <c r="E2533" i="1"/>
  <c r="G2533" i="1"/>
  <c r="H2533" i="1"/>
  <c r="K2533" i="1"/>
  <c r="E2534" i="1"/>
  <c r="G2534" i="1"/>
  <c r="H2534" i="1"/>
  <c r="K2534" i="1"/>
  <c r="E2535" i="1"/>
  <c r="G2535" i="1"/>
  <c r="H2535" i="1"/>
  <c r="K2535" i="1"/>
  <c r="E2536" i="1"/>
  <c r="G2536" i="1"/>
  <c r="H2536" i="1"/>
  <c r="K2536" i="1"/>
  <c r="E2537" i="1"/>
  <c r="G2537" i="1"/>
  <c r="H2537" i="1"/>
  <c r="K2537" i="1"/>
  <c r="E2538" i="1"/>
  <c r="G2538" i="1"/>
  <c r="H2538" i="1"/>
  <c r="K2538" i="1"/>
  <c r="E2539" i="1"/>
  <c r="G2539" i="1"/>
  <c r="H2539" i="1"/>
  <c r="K2539" i="1"/>
  <c r="E2540" i="1"/>
  <c r="G2540" i="1"/>
  <c r="H2540" i="1"/>
  <c r="K2540" i="1"/>
  <c r="E2541" i="1"/>
  <c r="G2541" i="1"/>
  <c r="H2541" i="1"/>
  <c r="K2541" i="1"/>
  <c r="E2542" i="1"/>
  <c r="G2542" i="1"/>
  <c r="H2542" i="1"/>
  <c r="K2542" i="1"/>
  <c r="E2543" i="1"/>
  <c r="G2543" i="1"/>
  <c r="H2543" i="1"/>
  <c r="K2543" i="1"/>
  <c r="E2544" i="1"/>
  <c r="G2544" i="1"/>
  <c r="H2544" i="1"/>
  <c r="K2544" i="1"/>
  <c r="E2545" i="1"/>
  <c r="G2545" i="1"/>
  <c r="H2545" i="1"/>
  <c r="K2545" i="1"/>
  <c r="E2546" i="1"/>
  <c r="G2546" i="1"/>
  <c r="H2546" i="1"/>
  <c r="K2546" i="1"/>
  <c r="E2547" i="1"/>
  <c r="G2547" i="1"/>
  <c r="H2547" i="1"/>
  <c r="K2547" i="1"/>
  <c r="E2548" i="1"/>
  <c r="G2548" i="1"/>
  <c r="H2548" i="1"/>
  <c r="K2548" i="1"/>
  <c r="E2549" i="1"/>
  <c r="G2549" i="1"/>
  <c r="H2549" i="1"/>
  <c r="K2549" i="1"/>
  <c r="E2550" i="1"/>
  <c r="G2550" i="1"/>
  <c r="H2550" i="1"/>
  <c r="K2550" i="1"/>
  <c r="E2551" i="1"/>
  <c r="G2551" i="1"/>
  <c r="H2551" i="1"/>
  <c r="K2551" i="1"/>
  <c r="E2552" i="1"/>
  <c r="G2552" i="1"/>
  <c r="H2552" i="1"/>
  <c r="K2552" i="1"/>
  <c r="E2553" i="1"/>
  <c r="G2553" i="1"/>
  <c r="H2553" i="1"/>
  <c r="K2553" i="1"/>
  <c r="E2554" i="1"/>
  <c r="G2554" i="1"/>
  <c r="H2554" i="1"/>
  <c r="K2554" i="1"/>
  <c r="E2555" i="1"/>
  <c r="G2555" i="1"/>
  <c r="H2555" i="1"/>
  <c r="K2555" i="1"/>
  <c r="E2556" i="1"/>
  <c r="G2556" i="1"/>
  <c r="H2556" i="1"/>
  <c r="K2556" i="1"/>
  <c r="E2557" i="1"/>
  <c r="G2557" i="1"/>
  <c r="H2557" i="1"/>
  <c r="K2557" i="1"/>
  <c r="E2558" i="1"/>
  <c r="G2558" i="1"/>
  <c r="H2558" i="1"/>
  <c r="K2558" i="1"/>
  <c r="E2559" i="1"/>
  <c r="G2559" i="1"/>
  <c r="H2559" i="1"/>
  <c r="K2559" i="1"/>
  <c r="E2560" i="1"/>
  <c r="G2560" i="1"/>
  <c r="H2560" i="1"/>
  <c r="K2560" i="1"/>
  <c r="E2561" i="1"/>
  <c r="G2561" i="1"/>
  <c r="H2561" i="1"/>
  <c r="K2561" i="1"/>
  <c r="E2562" i="1"/>
  <c r="G2562" i="1"/>
  <c r="H2562" i="1"/>
  <c r="K2562" i="1"/>
  <c r="E2563" i="1"/>
  <c r="G2563" i="1"/>
  <c r="H2563" i="1"/>
  <c r="K2563" i="1"/>
  <c r="E2564" i="1"/>
  <c r="G2564" i="1"/>
  <c r="H2564" i="1"/>
  <c r="K2564" i="1"/>
  <c r="E2565" i="1"/>
  <c r="G2565" i="1"/>
  <c r="H2565" i="1"/>
  <c r="K2565" i="1"/>
  <c r="E2566" i="1"/>
  <c r="G2566" i="1"/>
  <c r="H2566" i="1"/>
  <c r="K2566" i="1"/>
  <c r="E2567" i="1"/>
  <c r="G2567" i="1"/>
  <c r="H2567" i="1"/>
  <c r="K2567" i="1"/>
  <c r="E2568" i="1"/>
  <c r="G2568" i="1"/>
  <c r="H2568" i="1"/>
  <c r="K2568" i="1"/>
  <c r="E2569" i="1"/>
  <c r="G2569" i="1"/>
  <c r="H2569" i="1"/>
  <c r="K2569" i="1"/>
  <c r="E2570" i="1"/>
  <c r="G2570" i="1"/>
  <c r="H2570" i="1"/>
  <c r="K2570" i="1"/>
  <c r="E2571" i="1"/>
  <c r="G2571" i="1"/>
  <c r="H2571" i="1"/>
  <c r="K2571" i="1"/>
  <c r="E2572" i="1"/>
  <c r="G2572" i="1"/>
  <c r="H2572" i="1"/>
  <c r="K2572" i="1"/>
  <c r="E2573" i="1"/>
  <c r="G2573" i="1"/>
  <c r="H2573" i="1"/>
  <c r="K2573" i="1"/>
  <c r="E2574" i="1"/>
  <c r="G2574" i="1"/>
  <c r="H2574" i="1"/>
  <c r="K2574" i="1"/>
  <c r="E2575" i="1"/>
  <c r="G2575" i="1"/>
  <c r="H2575" i="1"/>
  <c r="K2575" i="1"/>
  <c r="E2576" i="1"/>
  <c r="G2576" i="1"/>
  <c r="H2576" i="1"/>
  <c r="K2576" i="1"/>
  <c r="E2577" i="1"/>
  <c r="G2577" i="1"/>
  <c r="H2577" i="1"/>
  <c r="K2577" i="1"/>
  <c r="E2578" i="1"/>
  <c r="G2578" i="1"/>
  <c r="H2578" i="1"/>
  <c r="K2578" i="1"/>
  <c r="E2579" i="1"/>
  <c r="G2579" i="1"/>
  <c r="H2579" i="1"/>
  <c r="K2579" i="1"/>
  <c r="E2580" i="1"/>
  <c r="G2580" i="1"/>
  <c r="H2580" i="1"/>
  <c r="K2580" i="1"/>
  <c r="E2581" i="1"/>
  <c r="G2581" i="1"/>
  <c r="H2581" i="1"/>
  <c r="K2581" i="1"/>
  <c r="E2582" i="1"/>
  <c r="G2582" i="1"/>
  <c r="H2582" i="1"/>
  <c r="K2582" i="1"/>
  <c r="E2583" i="1"/>
  <c r="G2583" i="1"/>
  <c r="H2583" i="1"/>
  <c r="K2583" i="1"/>
  <c r="E2584" i="1"/>
  <c r="G2584" i="1"/>
  <c r="H2584" i="1"/>
  <c r="K2584" i="1"/>
  <c r="E2585" i="1"/>
  <c r="G2585" i="1"/>
  <c r="H2585" i="1"/>
  <c r="K2585" i="1"/>
  <c r="E2586" i="1"/>
  <c r="G2586" i="1"/>
  <c r="H2586" i="1"/>
  <c r="K2586" i="1"/>
  <c r="E2587" i="1"/>
  <c r="G2587" i="1"/>
  <c r="H2587" i="1"/>
  <c r="K2587" i="1"/>
  <c r="E2588" i="1"/>
  <c r="G2588" i="1"/>
  <c r="H2588" i="1"/>
  <c r="K2588" i="1"/>
  <c r="E2589" i="1"/>
  <c r="G2589" i="1"/>
  <c r="H2589" i="1"/>
  <c r="K2589" i="1"/>
  <c r="E2590" i="1"/>
  <c r="G2590" i="1"/>
  <c r="H2590" i="1"/>
  <c r="K2590" i="1"/>
  <c r="E2591" i="1"/>
  <c r="G2591" i="1"/>
  <c r="H2591" i="1"/>
  <c r="K2591" i="1"/>
  <c r="E2592" i="1"/>
  <c r="G2592" i="1"/>
  <c r="H2592" i="1"/>
  <c r="K2592" i="1"/>
  <c r="E2593" i="1"/>
  <c r="G2593" i="1"/>
  <c r="H2593" i="1"/>
  <c r="K2593" i="1"/>
  <c r="E2594" i="1"/>
  <c r="G2594" i="1"/>
  <c r="H2594" i="1"/>
  <c r="K2594" i="1"/>
  <c r="E2595" i="1"/>
  <c r="G2595" i="1"/>
  <c r="H2595" i="1"/>
  <c r="K2595" i="1"/>
  <c r="E2596" i="1"/>
  <c r="G2596" i="1"/>
  <c r="H2596" i="1"/>
  <c r="K2596" i="1"/>
  <c r="E2597" i="1"/>
  <c r="G2597" i="1"/>
  <c r="H2597" i="1"/>
  <c r="K2597" i="1"/>
  <c r="E2598" i="1"/>
  <c r="G2598" i="1"/>
  <c r="H2598" i="1"/>
  <c r="K2598" i="1"/>
  <c r="E2599" i="1"/>
  <c r="G2599" i="1"/>
  <c r="H2599" i="1"/>
  <c r="K2599" i="1"/>
  <c r="E2600" i="1"/>
  <c r="G2600" i="1"/>
  <c r="H2600" i="1"/>
  <c r="K2600" i="1"/>
  <c r="E2601" i="1"/>
  <c r="G2601" i="1"/>
  <c r="H2601" i="1"/>
  <c r="K2601" i="1"/>
  <c r="E2602" i="1"/>
  <c r="G2602" i="1"/>
  <c r="H2602" i="1"/>
  <c r="K2602" i="1"/>
  <c r="E2603" i="1"/>
  <c r="G2603" i="1"/>
  <c r="H2603" i="1"/>
  <c r="K2603" i="1"/>
  <c r="E2604" i="1"/>
  <c r="G2604" i="1"/>
  <c r="H2604" i="1"/>
  <c r="K2604" i="1"/>
  <c r="E2605" i="1"/>
  <c r="G2605" i="1"/>
  <c r="H2605" i="1"/>
  <c r="K2605" i="1"/>
  <c r="E2606" i="1"/>
  <c r="G2606" i="1"/>
  <c r="H2606" i="1"/>
  <c r="K2606" i="1"/>
  <c r="E2607" i="1"/>
  <c r="G2607" i="1"/>
  <c r="H2607" i="1"/>
  <c r="K2607" i="1"/>
  <c r="E2608" i="1"/>
  <c r="G2608" i="1"/>
  <c r="H2608" i="1"/>
  <c r="K2608" i="1"/>
  <c r="E2609" i="1"/>
  <c r="G2609" i="1"/>
  <c r="H2609" i="1"/>
  <c r="K2609" i="1"/>
  <c r="E2610" i="1"/>
  <c r="G2610" i="1"/>
  <c r="H2610" i="1"/>
  <c r="K2610" i="1"/>
  <c r="E2611" i="1"/>
  <c r="G2611" i="1"/>
  <c r="H2611" i="1"/>
  <c r="K2611" i="1"/>
  <c r="E2612" i="1"/>
  <c r="G2612" i="1"/>
  <c r="H2612" i="1"/>
  <c r="K2612" i="1"/>
  <c r="E2613" i="1"/>
  <c r="G2613" i="1"/>
  <c r="H2613" i="1"/>
  <c r="K2613" i="1"/>
  <c r="E2614" i="1"/>
  <c r="G2614" i="1"/>
  <c r="H2614" i="1"/>
  <c r="K2614" i="1"/>
  <c r="E2615" i="1"/>
  <c r="G2615" i="1"/>
  <c r="H2615" i="1"/>
  <c r="K2615" i="1"/>
  <c r="E2616" i="1"/>
  <c r="G2616" i="1"/>
  <c r="H2616" i="1"/>
  <c r="K2616" i="1"/>
  <c r="E2617" i="1"/>
  <c r="G2617" i="1"/>
  <c r="K2617" i="1"/>
  <c r="E2618" i="1"/>
  <c r="G2618" i="1"/>
  <c r="H2618" i="1"/>
  <c r="K2618" i="1"/>
  <c r="E2619" i="1"/>
  <c r="G2619" i="1"/>
  <c r="H2619" i="1"/>
  <c r="K2619" i="1"/>
  <c r="E2620" i="1"/>
  <c r="G2620" i="1"/>
  <c r="H2620" i="1"/>
  <c r="K2620" i="1"/>
  <c r="E2621" i="1"/>
  <c r="G2621" i="1"/>
  <c r="H2621" i="1"/>
  <c r="K2621" i="1"/>
  <c r="E2622" i="1"/>
  <c r="G2622" i="1"/>
  <c r="H2622" i="1"/>
  <c r="K2622" i="1"/>
  <c r="E2623" i="1"/>
  <c r="G2623" i="1"/>
  <c r="H2623" i="1"/>
  <c r="K2623" i="1"/>
  <c r="E2624" i="1"/>
  <c r="G2624" i="1"/>
  <c r="H2624" i="1"/>
  <c r="K2624" i="1"/>
  <c r="E2625" i="1"/>
  <c r="G2625" i="1"/>
  <c r="H2625" i="1"/>
  <c r="K2625" i="1"/>
  <c r="E2626" i="1"/>
  <c r="G2626" i="1"/>
  <c r="H2626" i="1"/>
  <c r="K2626" i="1"/>
  <c r="E2627" i="1"/>
  <c r="G2627" i="1"/>
  <c r="H2627" i="1"/>
  <c r="K2627" i="1"/>
  <c r="E2628" i="1"/>
  <c r="G2628" i="1"/>
  <c r="H2628" i="1"/>
  <c r="K2628" i="1"/>
  <c r="E2629" i="1"/>
  <c r="G2629" i="1"/>
  <c r="H2629" i="1"/>
  <c r="K2629" i="1"/>
  <c r="E2630" i="1"/>
  <c r="G2630" i="1"/>
  <c r="H2630" i="1"/>
  <c r="K2630" i="1"/>
  <c r="E2631" i="1"/>
  <c r="G2631" i="1"/>
  <c r="H2631" i="1"/>
  <c r="K2631" i="1"/>
  <c r="E2632" i="1"/>
  <c r="G2632" i="1"/>
  <c r="H2632" i="1"/>
  <c r="K2632" i="1"/>
  <c r="E2633" i="1"/>
  <c r="G2633" i="1"/>
  <c r="H2633" i="1"/>
  <c r="K2633" i="1"/>
  <c r="E2634" i="1"/>
  <c r="G2634" i="1"/>
  <c r="H2634" i="1"/>
  <c r="K2634" i="1"/>
  <c r="E2635" i="1"/>
  <c r="G2635" i="1"/>
  <c r="H2635" i="1"/>
  <c r="K2635" i="1"/>
  <c r="E2636" i="1"/>
  <c r="G2636" i="1"/>
  <c r="H2636" i="1"/>
  <c r="K2636" i="1"/>
  <c r="R5" i="1"/>
  <c r="D3" i="2"/>
  <c r="E3" i="2"/>
  <c r="D4" i="2"/>
  <c r="E4" i="2"/>
  <c r="D5" i="2"/>
  <c r="E5" i="2"/>
  <c r="D6" i="2"/>
  <c r="E6" i="2"/>
  <c r="D7" i="2"/>
  <c r="E7" i="2"/>
  <c r="D8" i="2"/>
  <c r="E8" i="2"/>
  <c r="D2" i="2"/>
  <c r="E2" i="2"/>
  <c r="C3" i="2"/>
  <c r="C4" i="2"/>
  <c r="C5" i="2"/>
  <c r="C6" i="2"/>
  <c r="C7" i="2"/>
  <c r="C8" i="2"/>
  <c r="C2" i="2"/>
  <c r="J2" i="1"/>
  <c r="N4" i="1"/>
  <c r="W4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F8" i="1"/>
  <c r="AE8" i="1"/>
  <c r="AD8" i="1"/>
  <c r="W5" i="1"/>
  <c r="L147" i="1"/>
  <c r="J147" i="1"/>
  <c r="J3" i="1"/>
  <c r="L8" i="1"/>
  <c r="J8" i="1"/>
  <c r="L9" i="1"/>
  <c r="J9" i="1"/>
  <c r="L10" i="1"/>
  <c r="J10" i="1"/>
  <c r="L11" i="1"/>
  <c r="J11" i="1"/>
  <c r="L12" i="1"/>
  <c r="J12" i="1"/>
  <c r="L13" i="1"/>
  <c r="J13" i="1"/>
  <c r="L14" i="1"/>
  <c r="J14" i="1"/>
  <c r="L15" i="1"/>
  <c r="J15" i="1"/>
  <c r="L16" i="1"/>
  <c r="J16" i="1"/>
  <c r="L17" i="1"/>
  <c r="J17" i="1"/>
  <c r="L18" i="1"/>
  <c r="J18" i="1"/>
  <c r="L19" i="1"/>
  <c r="J19" i="1"/>
  <c r="L20" i="1"/>
  <c r="J20" i="1"/>
  <c r="L21" i="1"/>
  <c r="J21" i="1"/>
  <c r="L22" i="1"/>
  <c r="J22" i="1"/>
  <c r="L23" i="1"/>
  <c r="J23" i="1"/>
  <c r="L24" i="1"/>
  <c r="J24" i="1"/>
  <c r="L25" i="1"/>
  <c r="J25" i="1"/>
  <c r="L26" i="1"/>
  <c r="J26" i="1"/>
  <c r="L27" i="1"/>
  <c r="J27" i="1"/>
  <c r="L28" i="1"/>
  <c r="J28" i="1"/>
  <c r="L29" i="1"/>
  <c r="J29" i="1"/>
  <c r="L30" i="1"/>
  <c r="J30" i="1"/>
  <c r="L31" i="1"/>
  <c r="J31" i="1"/>
  <c r="L32" i="1"/>
  <c r="J32" i="1"/>
  <c r="L33" i="1"/>
  <c r="J33" i="1"/>
  <c r="L34" i="1"/>
  <c r="J34" i="1"/>
  <c r="L35" i="1"/>
  <c r="J35" i="1"/>
  <c r="L36" i="1"/>
  <c r="J36" i="1"/>
  <c r="L37" i="1"/>
  <c r="J37" i="1"/>
  <c r="L38" i="1"/>
  <c r="J38" i="1"/>
  <c r="L39" i="1"/>
  <c r="J39" i="1"/>
  <c r="L40" i="1"/>
  <c r="J40" i="1"/>
  <c r="L41" i="1"/>
  <c r="J41" i="1"/>
  <c r="L42" i="1"/>
  <c r="J42" i="1"/>
  <c r="L43" i="1"/>
  <c r="J43" i="1"/>
  <c r="L44" i="1"/>
  <c r="J44" i="1"/>
  <c r="L45" i="1"/>
  <c r="J45" i="1"/>
  <c r="L46" i="1"/>
  <c r="J46" i="1"/>
  <c r="L47" i="1"/>
  <c r="J47" i="1"/>
  <c r="L48" i="1"/>
  <c r="J48" i="1"/>
  <c r="L49" i="1"/>
  <c r="J49" i="1"/>
  <c r="L50" i="1"/>
  <c r="J50" i="1"/>
  <c r="L51" i="1"/>
  <c r="J51" i="1"/>
  <c r="L52" i="1"/>
  <c r="J52" i="1"/>
  <c r="L53" i="1"/>
  <c r="J53" i="1"/>
  <c r="L54" i="1"/>
  <c r="J54" i="1"/>
  <c r="L55" i="1"/>
  <c r="J55" i="1"/>
  <c r="L56" i="1"/>
  <c r="J56" i="1"/>
  <c r="L57" i="1"/>
  <c r="J57" i="1"/>
  <c r="L58" i="1"/>
  <c r="J58" i="1"/>
  <c r="L59" i="1"/>
  <c r="J59" i="1"/>
  <c r="L60" i="1"/>
  <c r="J60" i="1"/>
  <c r="L61" i="1"/>
  <c r="J61" i="1"/>
  <c r="L62" i="1"/>
  <c r="J62" i="1"/>
  <c r="L63" i="1"/>
  <c r="J63" i="1"/>
  <c r="L64" i="1"/>
  <c r="J64" i="1"/>
  <c r="L65" i="1"/>
  <c r="J65" i="1"/>
  <c r="L66" i="1"/>
  <c r="J66" i="1"/>
  <c r="L67" i="1"/>
  <c r="J67" i="1"/>
  <c r="L68" i="1"/>
  <c r="J68" i="1"/>
  <c r="L69" i="1"/>
  <c r="J69" i="1"/>
  <c r="L70" i="1"/>
  <c r="J70" i="1"/>
  <c r="L71" i="1"/>
  <c r="J71" i="1"/>
  <c r="L72" i="1"/>
  <c r="J72" i="1"/>
  <c r="L73" i="1"/>
  <c r="J73" i="1"/>
  <c r="L74" i="1"/>
  <c r="J74" i="1"/>
  <c r="L75" i="1"/>
  <c r="J75" i="1"/>
  <c r="L76" i="1"/>
  <c r="J76" i="1"/>
  <c r="L77" i="1"/>
  <c r="J77" i="1"/>
  <c r="L78" i="1"/>
  <c r="J78" i="1"/>
  <c r="L79" i="1"/>
  <c r="J79" i="1"/>
  <c r="L80" i="1"/>
  <c r="J80" i="1"/>
  <c r="L81" i="1"/>
  <c r="J81" i="1"/>
  <c r="L82" i="1"/>
  <c r="J82" i="1"/>
  <c r="L83" i="1"/>
  <c r="J83" i="1"/>
  <c r="L84" i="1"/>
  <c r="J84" i="1"/>
  <c r="L85" i="1"/>
  <c r="J85" i="1"/>
  <c r="L86" i="1"/>
  <c r="J86" i="1"/>
  <c r="L87" i="1"/>
  <c r="J87" i="1"/>
  <c r="L88" i="1"/>
  <c r="J88" i="1"/>
  <c r="L89" i="1"/>
  <c r="J89" i="1"/>
  <c r="L90" i="1"/>
  <c r="J90" i="1"/>
  <c r="L91" i="1"/>
  <c r="J91" i="1"/>
  <c r="L92" i="1"/>
  <c r="J92" i="1"/>
  <c r="L93" i="1"/>
  <c r="J93" i="1"/>
  <c r="L94" i="1"/>
  <c r="J94" i="1"/>
  <c r="L95" i="1"/>
  <c r="J95" i="1"/>
  <c r="L96" i="1"/>
  <c r="J96" i="1"/>
  <c r="L97" i="1"/>
  <c r="J97" i="1"/>
  <c r="L98" i="1"/>
  <c r="J98" i="1"/>
  <c r="L99" i="1"/>
  <c r="J99" i="1"/>
  <c r="L100" i="1"/>
  <c r="J100" i="1"/>
  <c r="L101" i="1"/>
  <c r="J101" i="1"/>
  <c r="L102" i="1"/>
  <c r="J102" i="1"/>
  <c r="L103" i="1"/>
  <c r="J103" i="1"/>
  <c r="L104" i="1"/>
  <c r="J104" i="1"/>
  <c r="L105" i="1"/>
  <c r="J105" i="1"/>
  <c r="L106" i="1"/>
  <c r="J106" i="1"/>
  <c r="L107" i="1"/>
  <c r="J107" i="1"/>
  <c r="L108" i="1"/>
  <c r="J108" i="1"/>
  <c r="L109" i="1"/>
  <c r="J109" i="1"/>
  <c r="L110" i="1"/>
  <c r="J110" i="1"/>
  <c r="L111" i="1"/>
  <c r="J111" i="1"/>
  <c r="L112" i="1"/>
  <c r="J112" i="1"/>
  <c r="L113" i="1"/>
  <c r="J113" i="1"/>
  <c r="L114" i="1"/>
  <c r="J114" i="1"/>
  <c r="L115" i="1"/>
  <c r="J115" i="1"/>
  <c r="L116" i="1"/>
  <c r="J116" i="1"/>
  <c r="L117" i="1"/>
  <c r="J117" i="1"/>
  <c r="L118" i="1"/>
  <c r="J118" i="1"/>
  <c r="L119" i="1"/>
  <c r="J119" i="1"/>
  <c r="L120" i="1"/>
  <c r="J120" i="1"/>
  <c r="L121" i="1"/>
  <c r="J121" i="1"/>
  <c r="L122" i="1"/>
  <c r="J122" i="1"/>
  <c r="L123" i="1"/>
  <c r="J123" i="1"/>
  <c r="L124" i="1"/>
  <c r="J124" i="1"/>
  <c r="L125" i="1"/>
  <c r="J125" i="1"/>
  <c r="L126" i="1"/>
  <c r="J126" i="1"/>
  <c r="L127" i="1"/>
  <c r="J127" i="1"/>
  <c r="L128" i="1"/>
  <c r="J128" i="1"/>
  <c r="L129" i="1"/>
  <c r="J129" i="1"/>
  <c r="L130" i="1"/>
  <c r="J130" i="1"/>
  <c r="L131" i="1"/>
  <c r="J131" i="1"/>
  <c r="L132" i="1"/>
  <c r="J132" i="1"/>
  <c r="L133" i="1"/>
  <c r="J133" i="1"/>
  <c r="L134" i="1"/>
  <c r="J134" i="1"/>
  <c r="L135" i="1"/>
  <c r="J135" i="1"/>
  <c r="L136" i="1"/>
  <c r="J136" i="1"/>
  <c r="L137" i="1"/>
  <c r="J137" i="1"/>
  <c r="L138" i="1"/>
  <c r="J138" i="1"/>
  <c r="L139" i="1"/>
  <c r="J139" i="1"/>
  <c r="L140" i="1"/>
  <c r="J140" i="1"/>
  <c r="L141" i="1"/>
  <c r="J141" i="1"/>
  <c r="L142" i="1"/>
  <c r="J142" i="1"/>
  <c r="L143" i="1"/>
  <c r="J143" i="1"/>
  <c r="L144" i="1"/>
  <c r="J144" i="1"/>
  <c r="L145" i="1"/>
  <c r="J145" i="1"/>
  <c r="L146" i="1"/>
  <c r="J146" i="1"/>
  <c r="AC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C149" i="1"/>
  <c r="AB150" i="1"/>
  <c r="AC150" i="1"/>
  <c r="AB151" i="1"/>
  <c r="AC151" i="1"/>
  <c r="AB152" i="1"/>
  <c r="AC152" i="1"/>
  <c r="AB153" i="1"/>
  <c r="AC153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W3" i="1"/>
  <c r="W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L148" i="1"/>
  <c r="I148" i="1"/>
  <c r="L149" i="1"/>
  <c r="I149" i="1"/>
  <c r="L150" i="1"/>
  <c r="I150" i="1"/>
  <c r="L151" i="1"/>
  <c r="I151" i="1"/>
  <c r="L152" i="1"/>
  <c r="I152" i="1"/>
  <c r="L153" i="1"/>
  <c r="I153" i="1"/>
  <c r="L154" i="1"/>
  <c r="I154" i="1"/>
  <c r="L155" i="1"/>
  <c r="I155" i="1"/>
  <c r="L156" i="1"/>
  <c r="I156" i="1"/>
  <c r="L157" i="1"/>
  <c r="I157" i="1"/>
  <c r="L158" i="1"/>
  <c r="I158" i="1"/>
  <c r="L159" i="1"/>
  <c r="I159" i="1"/>
  <c r="L160" i="1"/>
  <c r="I160" i="1"/>
  <c r="L161" i="1"/>
  <c r="I161" i="1"/>
  <c r="L162" i="1"/>
  <c r="I162" i="1"/>
  <c r="L163" i="1"/>
  <c r="I163" i="1"/>
  <c r="L164" i="1"/>
  <c r="I164" i="1"/>
  <c r="L165" i="1"/>
  <c r="I165" i="1"/>
  <c r="L166" i="1"/>
  <c r="I166" i="1"/>
  <c r="L167" i="1"/>
  <c r="I167" i="1"/>
  <c r="L168" i="1"/>
  <c r="I168" i="1"/>
  <c r="L169" i="1"/>
  <c r="I169" i="1"/>
  <c r="L170" i="1"/>
  <c r="I170" i="1"/>
  <c r="L171" i="1"/>
  <c r="I171" i="1"/>
  <c r="L172" i="1"/>
  <c r="I172" i="1"/>
  <c r="L173" i="1"/>
  <c r="I173" i="1"/>
  <c r="L174" i="1"/>
  <c r="I174" i="1"/>
  <c r="L175" i="1"/>
  <c r="I175" i="1"/>
  <c r="L176" i="1"/>
  <c r="I176" i="1"/>
  <c r="L177" i="1"/>
  <c r="I177" i="1"/>
  <c r="L178" i="1"/>
  <c r="I178" i="1"/>
  <c r="L179" i="1"/>
  <c r="I179" i="1"/>
  <c r="L180" i="1"/>
  <c r="I180" i="1"/>
  <c r="L181" i="1"/>
  <c r="I181" i="1"/>
  <c r="L182" i="1"/>
  <c r="I182" i="1"/>
  <c r="L183" i="1"/>
  <c r="I183" i="1"/>
  <c r="L184" i="1"/>
  <c r="I184" i="1"/>
  <c r="L185" i="1"/>
  <c r="I185" i="1"/>
  <c r="L186" i="1"/>
  <c r="I186" i="1"/>
  <c r="L187" i="1"/>
  <c r="I187" i="1"/>
  <c r="L188" i="1"/>
  <c r="I188" i="1"/>
  <c r="L189" i="1"/>
  <c r="I189" i="1"/>
  <c r="L190" i="1"/>
  <c r="I190" i="1"/>
  <c r="L191" i="1"/>
  <c r="I191" i="1"/>
  <c r="L192" i="1"/>
  <c r="I192" i="1"/>
  <c r="L193" i="1"/>
  <c r="I193" i="1"/>
  <c r="L194" i="1"/>
  <c r="I194" i="1"/>
  <c r="L195" i="1"/>
  <c r="I195" i="1"/>
  <c r="L196" i="1"/>
  <c r="I196" i="1"/>
  <c r="L197" i="1"/>
  <c r="I197" i="1"/>
  <c r="L198" i="1"/>
  <c r="I198" i="1"/>
  <c r="L199" i="1"/>
  <c r="I199" i="1"/>
  <c r="L200" i="1"/>
  <c r="I200" i="1"/>
  <c r="L201" i="1"/>
  <c r="I201" i="1"/>
  <c r="L202" i="1"/>
  <c r="I202" i="1"/>
  <c r="L203" i="1"/>
  <c r="I203" i="1"/>
  <c r="L204" i="1"/>
  <c r="I204" i="1"/>
  <c r="L205" i="1"/>
  <c r="I205" i="1"/>
  <c r="L206" i="1"/>
  <c r="I206" i="1"/>
  <c r="L207" i="1"/>
  <c r="I207" i="1"/>
  <c r="L208" i="1"/>
  <c r="I208" i="1"/>
  <c r="L209" i="1"/>
  <c r="I209" i="1"/>
  <c r="L210" i="1"/>
  <c r="I210" i="1"/>
  <c r="L211" i="1"/>
  <c r="I211" i="1"/>
  <c r="L212" i="1"/>
  <c r="I212" i="1"/>
  <c r="L213" i="1"/>
  <c r="I213" i="1"/>
  <c r="L214" i="1"/>
  <c r="I214" i="1"/>
  <c r="L215" i="1"/>
  <c r="I215" i="1"/>
  <c r="L216" i="1"/>
  <c r="I216" i="1"/>
  <c r="L217" i="1"/>
  <c r="I217" i="1"/>
  <c r="L218" i="1"/>
  <c r="I218" i="1"/>
  <c r="L219" i="1"/>
  <c r="I219" i="1"/>
  <c r="L220" i="1"/>
  <c r="I220" i="1"/>
  <c r="L221" i="1"/>
  <c r="I221" i="1"/>
  <c r="L222" i="1"/>
  <c r="I222" i="1"/>
  <c r="L223" i="1"/>
  <c r="I223" i="1"/>
  <c r="L224" i="1"/>
  <c r="I224" i="1"/>
  <c r="L225" i="1"/>
  <c r="I225" i="1"/>
  <c r="L226" i="1"/>
  <c r="I226" i="1"/>
  <c r="L227" i="1"/>
  <c r="I227" i="1"/>
  <c r="L228" i="1"/>
  <c r="I228" i="1"/>
  <c r="L229" i="1"/>
  <c r="I229" i="1"/>
  <c r="L230" i="1"/>
  <c r="I230" i="1"/>
  <c r="L231" i="1"/>
  <c r="I231" i="1"/>
  <c r="L232" i="1"/>
  <c r="I232" i="1"/>
  <c r="L233" i="1"/>
  <c r="I233" i="1"/>
  <c r="L234" i="1"/>
  <c r="I234" i="1"/>
  <c r="L235" i="1"/>
  <c r="I235" i="1"/>
  <c r="L236" i="1"/>
  <c r="I236" i="1"/>
  <c r="L237" i="1"/>
  <c r="I237" i="1"/>
  <c r="L238" i="1"/>
  <c r="I238" i="1"/>
  <c r="L239" i="1"/>
  <c r="I239" i="1"/>
  <c r="L240" i="1"/>
  <c r="I240" i="1"/>
  <c r="L241" i="1"/>
  <c r="I241" i="1"/>
  <c r="L242" i="1"/>
  <c r="I242" i="1"/>
  <c r="L243" i="1"/>
  <c r="I243" i="1"/>
  <c r="L244" i="1"/>
  <c r="I244" i="1"/>
  <c r="L245" i="1"/>
  <c r="I245" i="1"/>
  <c r="L246" i="1"/>
  <c r="I246" i="1"/>
  <c r="L247" i="1"/>
  <c r="I247" i="1"/>
  <c r="L248" i="1"/>
  <c r="I248" i="1"/>
  <c r="L249" i="1"/>
  <c r="I249" i="1"/>
  <c r="L250" i="1"/>
  <c r="I250" i="1"/>
  <c r="L251" i="1"/>
  <c r="I251" i="1"/>
  <c r="L252" i="1"/>
  <c r="I252" i="1"/>
  <c r="L253" i="1"/>
  <c r="I253" i="1"/>
  <c r="L254" i="1"/>
  <c r="I254" i="1"/>
  <c r="L255" i="1"/>
  <c r="I255" i="1"/>
  <c r="L256" i="1"/>
  <c r="I256" i="1"/>
  <c r="L257" i="1"/>
  <c r="I257" i="1"/>
  <c r="L258" i="1"/>
  <c r="I258" i="1"/>
  <c r="L259" i="1"/>
  <c r="I259" i="1"/>
  <c r="L260" i="1"/>
  <c r="I260" i="1"/>
  <c r="L261" i="1"/>
  <c r="I261" i="1"/>
  <c r="L262" i="1"/>
  <c r="I262" i="1"/>
  <c r="L263" i="1"/>
  <c r="I263" i="1"/>
  <c r="L264" i="1"/>
  <c r="I264" i="1"/>
  <c r="L265" i="1"/>
  <c r="I265" i="1"/>
  <c r="L266" i="1"/>
  <c r="I266" i="1"/>
  <c r="L267" i="1"/>
  <c r="I267" i="1"/>
  <c r="L268" i="1"/>
  <c r="I268" i="1"/>
  <c r="L269" i="1"/>
  <c r="I269" i="1"/>
  <c r="L270" i="1"/>
  <c r="I270" i="1"/>
  <c r="L271" i="1"/>
  <c r="I271" i="1"/>
  <c r="L272" i="1"/>
  <c r="I272" i="1"/>
  <c r="L273" i="1"/>
  <c r="I273" i="1"/>
  <c r="L274" i="1"/>
  <c r="I274" i="1"/>
  <c r="L275" i="1"/>
  <c r="I275" i="1"/>
  <c r="L276" i="1"/>
  <c r="I276" i="1"/>
  <c r="L277" i="1"/>
  <c r="I277" i="1"/>
  <c r="L278" i="1"/>
  <c r="I278" i="1"/>
  <c r="L279" i="1"/>
  <c r="I279" i="1"/>
  <c r="L280" i="1"/>
  <c r="I280" i="1"/>
  <c r="L281" i="1"/>
  <c r="I281" i="1"/>
  <c r="L282" i="1"/>
  <c r="I282" i="1"/>
  <c r="L283" i="1"/>
  <c r="I283" i="1"/>
  <c r="L284" i="1"/>
  <c r="I284" i="1"/>
  <c r="L285" i="1"/>
  <c r="I285" i="1"/>
  <c r="L286" i="1"/>
  <c r="I286" i="1"/>
  <c r="L287" i="1"/>
  <c r="I287" i="1"/>
  <c r="L288" i="1"/>
  <c r="I288" i="1"/>
  <c r="L289" i="1"/>
  <c r="I289" i="1"/>
  <c r="L290" i="1"/>
  <c r="I290" i="1"/>
  <c r="L291" i="1"/>
  <c r="I291" i="1"/>
  <c r="L292" i="1"/>
  <c r="I292" i="1"/>
  <c r="L293" i="1"/>
  <c r="I293" i="1"/>
  <c r="L294" i="1"/>
  <c r="I294" i="1"/>
  <c r="L295" i="1"/>
  <c r="I295" i="1"/>
  <c r="L296" i="1"/>
  <c r="I296" i="1"/>
  <c r="L297" i="1"/>
  <c r="I297" i="1"/>
  <c r="L298" i="1"/>
  <c r="I298" i="1"/>
  <c r="L299" i="1"/>
  <c r="I299" i="1"/>
  <c r="L300" i="1"/>
  <c r="I300" i="1"/>
  <c r="L301" i="1"/>
  <c r="I301" i="1"/>
  <c r="L302" i="1"/>
  <c r="I302" i="1"/>
  <c r="L303" i="1"/>
  <c r="I303" i="1"/>
  <c r="L304" i="1"/>
  <c r="I304" i="1"/>
  <c r="L305" i="1"/>
  <c r="I305" i="1"/>
  <c r="L306" i="1"/>
  <c r="I306" i="1"/>
  <c r="L307" i="1"/>
  <c r="I307" i="1"/>
  <c r="L308" i="1"/>
  <c r="I308" i="1"/>
  <c r="L309" i="1"/>
  <c r="I309" i="1"/>
  <c r="L310" i="1"/>
  <c r="I310" i="1"/>
  <c r="L311" i="1"/>
  <c r="I311" i="1"/>
  <c r="L312" i="1"/>
  <c r="I312" i="1"/>
  <c r="L313" i="1"/>
  <c r="I313" i="1"/>
  <c r="L314" i="1"/>
  <c r="I314" i="1"/>
  <c r="L315" i="1"/>
  <c r="I315" i="1"/>
  <c r="L316" i="1"/>
  <c r="I316" i="1"/>
  <c r="L317" i="1"/>
  <c r="I317" i="1"/>
  <c r="L318" i="1"/>
  <c r="I318" i="1"/>
  <c r="L319" i="1"/>
  <c r="I319" i="1"/>
  <c r="L320" i="1"/>
  <c r="I320" i="1"/>
  <c r="L321" i="1"/>
  <c r="I321" i="1"/>
  <c r="L322" i="1"/>
  <c r="I322" i="1"/>
  <c r="L323" i="1"/>
  <c r="I323" i="1"/>
  <c r="L324" i="1"/>
  <c r="I324" i="1"/>
  <c r="L325" i="1"/>
  <c r="I325" i="1"/>
  <c r="L326" i="1"/>
  <c r="I326" i="1"/>
  <c r="L327" i="1"/>
  <c r="I327" i="1"/>
  <c r="L328" i="1"/>
  <c r="I328" i="1"/>
  <c r="L329" i="1"/>
  <c r="I329" i="1"/>
  <c r="L330" i="1"/>
  <c r="I330" i="1"/>
  <c r="L331" i="1"/>
  <c r="I331" i="1"/>
  <c r="L332" i="1"/>
  <c r="I332" i="1"/>
  <c r="L333" i="1"/>
  <c r="I333" i="1"/>
  <c r="L334" i="1"/>
  <c r="I334" i="1"/>
  <c r="L335" i="1"/>
  <c r="I335" i="1"/>
  <c r="L336" i="1"/>
  <c r="I336" i="1"/>
  <c r="L337" i="1"/>
  <c r="I337" i="1"/>
  <c r="L338" i="1"/>
  <c r="I338" i="1"/>
  <c r="L339" i="1"/>
  <c r="I339" i="1"/>
  <c r="L340" i="1"/>
  <c r="I340" i="1"/>
  <c r="L341" i="1"/>
  <c r="I341" i="1"/>
  <c r="L342" i="1"/>
  <c r="I342" i="1"/>
  <c r="L343" i="1"/>
  <c r="I343" i="1"/>
  <c r="L344" i="1"/>
  <c r="I344" i="1"/>
  <c r="L345" i="1"/>
  <c r="I345" i="1"/>
  <c r="L346" i="1"/>
  <c r="I346" i="1"/>
  <c r="L347" i="1"/>
  <c r="I347" i="1"/>
  <c r="L348" i="1"/>
  <c r="I348" i="1"/>
  <c r="L349" i="1"/>
  <c r="I349" i="1"/>
  <c r="L350" i="1"/>
  <c r="I350" i="1"/>
  <c r="L351" i="1"/>
  <c r="I351" i="1"/>
  <c r="L352" i="1"/>
  <c r="I352" i="1"/>
  <c r="L353" i="1"/>
  <c r="I353" i="1"/>
  <c r="L354" i="1"/>
  <c r="I354" i="1"/>
  <c r="L355" i="1"/>
  <c r="I355" i="1"/>
  <c r="L356" i="1"/>
  <c r="I356" i="1"/>
  <c r="L357" i="1"/>
  <c r="I357" i="1"/>
  <c r="L358" i="1"/>
  <c r="I358" i="1"/>
  <c r="L359" i="1"/>
  <c r="I359" i="1"/>
  <c r="L360" i="1"/>
  <c r="I360" i="1"/>
  <c r="L361" i="1"/>
  <c r="I361" i="1"/>
  <c r="L362" i="1"/>
  <c r="I362" i="1"/>
  <c r="L363" i="1"/>
  <c r="I363" i="1"/>
  <c r="L364" i="1"/>
  <c r="I364" i="1"/>
  <c r="L365" i="1"/>
  <c r="I365" i="1"/>
  <c r="L366" i="1"/>
  <c r="I366" i="1"/>
  <c r="L367" i="1"/>
  <c r="I367" i="1"/>
  <c r="L368" i="1"/>
  <c r="I368" i="1"/>
  <c r="L369" i="1"/>
  <c r="I369" i="1"/>
  <c r="L370" i="1"/>
  <c r="I370" i="1"/>
  <c r="L371" i="1"/>
  <c r="I371" i="1"/>
  <c r="L372" i="1"/>
  <c r="I372" i="1"/>
  <c r="L373" i="1"/>
  <c r="I373" i="1"/>
  <c r="L374" i="1"/>
  <c r="I374" i="1"/>
  <c r="L375" i="1"/>
  <c r="I375" i="1"/>
  <c r="L376" i="1"/>
  <c r="I376" i="1"/>
  <c r="L377" i="1"/>
  <c r="I377" i="1"/>
  <c r="L378" i="1"/>
  <c r="I378" i="1"/>
  <c r="L379" i="1"/>
  <c r="I379" i="1"/>
  <c r="L380" i="1"/>
  <c r="I380" i="1"/>
  <c r="L381" i="1"/>
  <c r="I381" i="1"/>
  <c r="L382" i="1"/>
  <c r="I382" i="1"/>
  <c r="L383" i="1"/>
  <c r="I383" i="1"/>
  <c r="L384" i="1"/>
  <c r="I384" i="1"/>
  <c r="L385" i="1"/>
  <c r="I385" i="1"/>
  <c r="L386" i="1"/>
  <c r="I386" i="1"/>
  <c r="L387" i="1"/>
  <c r="I387" i="1"/>
  <c r="L388" i="1"/>
  <c r="I388" i="1"/>
  <c r="L389" i="1"/>
  <c r="I389" i="1"/>
  <c r="L390" i="1"/>
  <c r="I390" i="1"/>
  <c r="L391" i="1"/>
  <c r="I391" i="1"/>
  <c r="L392" i="1"/>
  <c r="I392" i="1"/>
  <c r="L393" i="1"/>
  <c r="I393" i="1"/>
  <c r="L394" i="1"/>
  <c r="I394" i="1"/>
  <c r="L395" i="1"/>
  <c r="I395" i="1"/>
  <c r="L396" i="1"/>
  <c r="I396" i="1"/>
  <c r="L397" i="1"/>
  <c r="I397" i="1"/>
  <c r="L398" i="1"/>
  <c r="I398" i="1"/>
  <c r="L399" i="1"/>
  <c r="I399" i="1"/>
  <c r="L400" i="1"/>
  <c r="I400" i="1"/>
  <c r="L401" i="1"/>
  <c r="I401" i="1"/>
  <c r="L402" i="1"/>
  <c r="I402" i="1"/>
  <c r="L403" i="1"/>
  <c r="I403" i="1"/>
  <c r="L404" i="1"/>
  <c r="I404" i="1"/>
  <c r="L405" i="1"/>
  <c r="I405" i="1"/>
  <c r="L406" i="1"/>
  <c r="I406" i="1"/>
  <c r="L407" i="1"/>
  <c r="I407" i="1"/>
  <c r="L408" i="1"/>
  <c r="I408" i="1"/>
  <c r="L409" i="1"/>
  <c r="I409" i="1"/>
  <c r="L410" i="1"/>
  <c r="I410" i="1"/>
  <c r="L411" i="1"/>
  <c r="I411" i="1"/>
  <c r="L412" i="1"/>
  <c r="I412" i="1"/>
  <c r="L413" i="1"/>
  <c r="I413" i="1"/>
  <c r="L414" i="1"/>
  <c r="I414" i="1"/>
  <c r="L415" i="1"/>
  <c r="I415" i="1"/>
  <c r="L416" i="1"/>
  <c r="I416" i="1"/>
  <c r="L417" i="1"/>
  <c r="I417" i="1"/>
  <c r="L418" i="1"/>
  <c r="I418" i="1"/>
  <c r="L419" i="1"/>
  <c r="I419" i="1"/>
  <c r="L420" i="1"/>
  <c r="I420" i="1"/>
  <c r="L421" i="1"/>
  <c r="I421" i="1"/>
  <c r="L422" i="1"/>
  <c r="I422" i="1"/>
  <c r="L423" i="1"/>
  <c r="I423" i="1"/>
  <c r="L424" i="1"/>
  <c r="I424" i="1"/>
  <c r="L425" i="1"/>
  <c r="I425" i="1"/>
  <c r="L426" i="1"/>
  <c r="I426" i="1"/>
  <c r="L427" i="1"/>
  <c r="I427" i="1"/>
  <c r="L428" i="1"/>
  <c r="I428" i="1"/>
  <c r="L429" i="1"/>
  <c r="I429" i="1"/>
  <c r="L430" i="1"/>
  <c r="I430" i="1"/>
  <c r="L431" i="1"/>
  <c r="I431" i="1"/>
  <c r="L432" i="1"/>
  <c r="I432" i="1"/>
  <c r="L433" i="1"/>
  <c r="I433" i="1"/>
  <c r="L434" i="1"/>
  <c r="I434" i="1"/>
  <c r="L435" i="1"/>
  <c r="I435" i="1"/>
  <c r="L436" i="1"/>
  <c r="I436" i="1"/>
  <c r="L437" i="1"/>
  <c r="I437" i="1"/>
  <c r="L438" i="1"/>
  <c r="I438" i="1"/>
  <c r="L439" i="1"/>
  <c r="I439" i="1"/>
  <c r="L440" i="1"/>
  <c r="I440" i="1"/>
  <c r="L441" i="1"/>
  <c r="I441" i="1"/>
  <c r="L442" i="1"/>
  <c r="I442" i="1"/>
  <c r="L443" i="1"/>
  <c r="I443" i="1"/>
  <c r="L444" i="1"/>
  <c r="I444" i="1"/>
  <c r="L445" i="1"/>
  <c r="I445" i="1"/>
  <c r="L446" i="1"/>
  <c r="I446" i="1"/>
  <c r="L447" i="1"/>
  <c r="I447" i="1"/>
  <c r="L448" i="1"/>
  <c r="I448" i="1"/>
  <c r="L449" i="1"/>
  <c r="I449" i="1"/>
  <c r="L450" i="1"/>
  <c r="I450" i="1"/>
  <c r="L451" i="1"/>
  <c r="I451" i="1"/>
  <c r="L452" i="1"/>
  <c r="I452" i="1"/>
  <c r="L453" i="1"/>
  <c r="I453" i="1"/>
  <c r="L454" i="1"/>
  <c r="I454" i="1"/>
  <c r="L455" i="1"/>
  <c r="I455" i="1"/>
  <c r="L456" i="1"/>
  <c r="I456" i="1"/>
  <c r="L457" i="1"/>
  <c r="I457" i="1"/>
  <c r="L458" i="1"/>
  <c r="I458" i="1"/>
  <c r="L459" i="1"/>
  <c r="I459" i="1"/>
  <c r="L460" i="1"/>
  <c r="I460" i="1"/>
  <c r="L461" i="1"/>
  <c r="I461" i="1"/>
  <c r="L462" i="1"/>
  <c r="I462" i="1"/>
  <c r="L463" i="1"/>
  <c r="I463" i="1"/>
  <c r="L464" i="1"/>
  <c r="I464" i="1"/>
  <c r="L465" i="1"/>
  <c r="I465" i="1"/>
  <c r="L466" i="1"/>
  <c r="I466" i="1"/>
  <c r="L467" i="1"/>
  <c r="I467" i="1"/>
  <c r="L468" i="1"/>
  <c r="I468" i="1"/>
  <c r="L469" i="1"/>
  <c r="I469" i="1"/>
  <c r="L470" i="1"/>
  <c r="I470" i="1"/>
  <c r="L471" i="1"/>
  <c r="I471" i="1"/>
  <c r="L472" i="1"/>
  <c r="I472" i="1"/>
  <c r="L473" i="1"/>
  <c r="I473" i="1"/>
  <c r="L474" i="1"/>
  <c r="I474" i="1"/>
  <c r="L475" i="1"/>
  <c r="I475" i="1"/>
  <c r="L476" i="1"/>
  <c r="I476" i="1"/>
  <c r="L477" i="1"/>
  <c r="I477" i="1"/>
  <c r="L478" i="1"/>
  <c r="I478" i="1"/>
  <c r="L479" i="1"/>
  <c r="I479" i="1"/>
  <c r="L480" i="1"/>
  <c r="I480" i="1"/>
  <c r="L481" i="1"/>
  <c r="I481" i="1"/>
  <c r="L482" i="1"/>
  <c r="I482" i="1"/>
  <c r="L483" i="1"/>
  <c r="I483" i="1"/>
  <c r="L484" i="1"/>
  <c r="I484" i="1"/>
  <c r="L485" i="1"/>
  <c r="I485" i="1"/>
  <c r="L486" i="1"/>
  <c r="I486" i="1"/>
  <c r="L487" i="1"/>
  <c r="I487" i="1"/>
  <c r="L488" i="1"/>
  <c r="I488" i="1"/>
  <c r="L489" i="1"/>
  <c r="I489" i="1"/>
  <c r="L490" i="1"/>
  <c r="I490" i="1"/>
  <c r="L491" i="1"/>
  <c r="I491" i="1"/>
  <c r="L492" i="1"/>
  <c r="I492" i="1"/>
  <c r="L493" i="1"/>
  <c r="I493" i="1"/>
  <c r="L494" i="1"/>
  <c r="I494" i="1"/>
  <c r="L495" i="1"/>
  <c r="I495" i="1"/>
  <c r="L496" i="1"/>
  <c r="I496" i="1"/>
  <c r="L497" i="1"/>
  <c r="I497" i="1"/>
  <c r="L498" i="1"/>
  <c r="I498" i="1"/>
  <c r="L499" i="1"/>
  <c r="I499" i="1"/>
  <c r="L500" i="1"/>
  <c r="I500" i="1"/>
  <c r="L501" i="1"/>
  <c r="I501" i="1"/>
  <c r="L502" i="1"/>
  <c r="I502" i="1"/>
  <c r="L503" i="1"/>
  <c r="I503" i="1"/>
  <c r="L504" i="1"/>
  <c r="I504" i="1"/>
  <c r="L505" i="1"/>
  <c r="I505" i="1"/>
  <c r="L506" i="1"/>
  <c r="I506" i="1"/>
  <c r="L507" i="1"/>
  <c r="I507" i="1"/>
  <c r="L508" i="1"/>
  <c r="I508" i="1"/>
  <c r="L509" i="1"/>
  <c r="I509" i="1"/>
  <c r="L510" i="1"/>
  <c r="I510" i="1"/>
  <c r="L511" i="1"/>
  <c r="I511" i="1"/>
  <c r="L512" i="1"/>
  <c r="I512" i="1"/>
  <c r="L513" i="1"/>
  <c r="I513" i="1"/>
  <c r="L514" i="1"/>
  <c r="I514" i="1"/>
  <c r="L515" i="1"/>
  <c r="I515" i="1"/>
  <c r="L516" i="1"/>
  <c r="I516" i="1"/>
  <c r="L517" i="1"/>
  <c r="I517" i="1"/>
  <c r="L518" i="1"/>
  <c r="I518" i="1"/>
  <c r="L519" i="1"/>
  <c r="I519" i="1"/>
  <c r="L520" i="1"/>
  <c r="I520" i="1"/>
  <c r="L521" i="1"/>
  <c r="I521" i="1"/>
  <c r="L522" i="1"/>
  <c r="I522" i="1"/>
  <c r="L523" i="1"/>
  <c r="I523" i="1"/>
  <c r="L524" i="1"/>
  <c r="I524" i="1"/>
  <c r="L525" i="1"/>
  <c r="I525" i="1"/>
  <c r="L526" i="1"/>
  <c r="I526" i="1"/>
  <c r="L527" i="1"/>
  <c r="I527" i="1"/>
  <c r="L528" i="1"/>
  <c r="I528" i="1"/>
  <c r="L529" i="1"/>
  <c r="I529" i="1"/>
  <c r="L530" i="1"/>
  <c r="I530" i="1"/>
  <c r="L531" i="1"/>
  <c r="I531" i="1"/>
  <c r="L532" i="1"/>
  <c r="I532" i="1"/>
  <c r="L533" i="1"/>
  <c r="I533" i="1"/>
  <c r="L534" i="1"/>
  <c r="I534" i="1"/>
  <c r="L535" i="1"/>
  <c r="I535" i="1"/>
  <c r="L536" i="1"/>
  <c r="I536" i="1"/>
  <c r="L537" i="1"/>
  <c r="I537" i="1"/>
  <c r="L538" i="1"/>
  <c r="I538" i="1"/>
  <c r="L539" i="1"/>
  <c r="I539" i="1"/>
  <c r="L540" i="1"/>
  <c r="I540" i="1"/>
  <c r="L541" i="1"/>
  <c r="I541" i="1"/>
  <c r="L542" i="1"/>
  <c r="I542" i="1"/>
  <c r="L543" i="1"/>
  <c r="I543" i="1"/>
  <c r="L544" i="1"/>
  <c r="I544" i="1"/>
  <c r="L545" i="1"/>
  <c r="I545" i="1"/>
  <c r="L546" i="1"/>
  <c r="I546" i="1"/>
  <c r="L547" i="1"/>
  <c r="I547" i="1"/>
  <c r="L548" i="1"/>
  <c r="I548" i="1"/>
  <c r="L549" i="1"/>
  <c r="I549" i="1"/>
  <c r="L550" i="1"/>
  <c r="I550" i="1"/>
  <c r="L551" i="1"/>
  <c r="I551" i="1"/>
  <c r="L552" i="1"/>
  <c r="I552" i="1"/>
  <c r="L553" i="1"/>
  <c r="I553" i="1"/>
  <c r="L554" i="1"/>
  <c r="I554" i="1"/>
  <c r="L555" i="1"/>
  <c r="I555" i="1"/>
  <c r="L556" i="1"/>
  <c r="I556" i="1"/>
  <c r="L557" i="1"/>
  <c r="I557" i="1"/>
  <c r="L558" i="1"/>
  <c r="I558" i="1"/>
  <c r="L559" i="1"/>
  <c r="I559" i="1"/>
  <c r="L560" i="1"/>
  <c r="I560" i="1"/>
  <c r="L561" i="1"/>
  <c r="I561" i="1"/>
  <c r="L562" i="1"/>
  <c r="I562" i="1"/>
  <c r="L563" i="1"/>
  <c r="I563" i="1"/>
  <c r="L564" i="1"/>
  <c r="I564" i="1"/>
  <c r="L565" i="1"/>
  <c r="I565" i="1"/>
  <c r="L566" i="1"/>
  <c r="I566" i="1"/>
  <c r="L567" i="1"/>
  <c r="I567" i="1"/>
  <c r="L568" i="1"/>
  <c r="I568" i="1"/>
  <c r="L569" i="1"/>
  <c r="I569" i="1"/>
  <c r="L570" i="1"/>
  <c r="I570" i="1"/>
  <c r="L571" i="1"/>
  <c r="I571" i="1"/>
  <c r="L572" i="1"/>
  <c r="I572" i="1"/>
  <c r="L573" i="1"/>
  <c r="I573" i="1"/>
  <c r="L574" i="1"/>
  <c r="I574" i="1"/>
  <c r="L575" i="1"/>
  <c r="I575" i="1"/>
  <c r="L576" i="1"/>
  <c r="I576" i="1"/>
  <c r="L577" i="1"/>
  <c r="I577" i="1"/>
  <c r="L578" i="1"/>
  <c r="I578" i="1"/>
  <c r="L579" i="1"/>
  <c r="I579" i="1"/>
  <c r="L580" i="1"/>
  <c r="I580" i="1"/>
  <c r="L581" i="1"/>
  <c r="I581" i="1"/>
  <c r="L582" i="1"/>
  <c r="I582" i="1"/>
  <c r="L583" i="1"/>
  <c r="I583" i="1"/>
  <c r="L584" i="1"/>
  <c r="I584" i="1"/>
  <c r="L585" i="1"/>
  <c r="I585" i="1"/>
  <c r="L586" i="1"/>
  <c r="I586" i="1"/>
  <c r="L587" i="1"/>
  <c r="I587" i="1"/>
  <c r="L588" i="1"/>
  <c r="I588" i="1"/>
  <c r="L589" i="1"/>
  <c r="I589" i="1"/>
  <c r="L590" i="1"/>
  <c r="I590" i="1"/>
  <c r="L591" i="1"/>
  <c r="I591" i="1"/>
  <c r="L592" i="1"/>
  <c r="I592" i="1"/>
  <c r="L593" i="1"/>
  <c r="I593" i="1"/>
  <c r="L594" i="1"/>
  <c r="I594" i="1"/>
  <c r="L595" i="1"/>
  <c r="I595" i="1"/>
  <c r="L596" i="1"/>
  <c r="I596" i="1"/>
  <c r="L597" i="1"/>
  <c r="I597" i="1"/>
  <c r="L598" i="1"/>
  <c r="I598" i="1"/>
  <c r="L599" i="1"/>
  <c r="I599" i="1"/>
  <c r="L600" i="1"/>
  <c r="I600" i="1"/>
  <c r="L601" i="1"/>
  <c r="I601" i="1"/>
  <c r="L602" i="1"/>
  <c r="I602" i="1"/>
  <c r="L603" i="1"/>
  <c r="I603" i="1"/>
  <c r="L604" i="1"/>
  <c r="I604" i="1"/>
  <c r="L605" i="1"/>
  <c r="I605" i="1"/>
  <c r="L606" i="1"/>
  <c r="I606" i="1"/>
  <c r="L607" i="1"/>
  <c r="I607" i="1"/>
  <c r="L608" i="1"/>
  <c r="I608" i="1"/>
  <c r="L609" i="1"/>
  <c r="I609" i="1"/>
  <c r="L610" i="1"/>
  <c r="I610" i="1"/>
  <c r="L611" i="1"/>
  <c r="I611" i="1"/>
  <c r="L612" i="1"/>
  <c r="I612" i="1"/>
  <c r="L613" i="1"/>
  <c r="I613" i="1"/>
  <c r="L614" i="1"/>
  <c r="I614" i="1"/>
  <c r="L615" i="1"/>
  <c r="I615" i="1"/>
  <c r="L616" i="1"/>
  <c r="I616" i="1"/>
  <c r="L617" i="1"/>
  <c r="I617" i="1"/>
  <c r="L618" i="1"/>
  <c r="I618" i="1"/>
  <c r="L619" i="1"/>
  <c r="I619" i="1"/>
  <c r="L620" i="1"/>
  <c r="I620" i="1"/>
  <c r="L621" i="1"/>
  <c r="I621" i="1"/>
  <c r="L622" i="1"/>
  <c r="I622" i="1"/>
  <c r="L623" i="1"/>
  <c r="I623" i="1"/>
  <c r="L624" i="1"/>
  <c r="I624" i="1"/>
  <c r="L625" i="1"/>
  <c r="I625" i="1"/>
  <c r="L626" i="1"/>
  <c r="I626" i="1"/>
  <c r="L627" i="1"/>
  <c r="I627" i="1"/>
  <c r="L628" i="1"/>
  <c r="I628" i="1"/>
  <c r="L629" i="1"/>
  <c r="I629" i="1"/>
  <c r="L630" i="1"/>
  <c r="I630" i="1"/>
  <c r="L631" i="1"/>
  <c r="I631" i="1"/>
  <c r="L632" i="1"/>
  <c r="I632" i="1"/>
  <c r="L633" i="1"/>
  <c r="I633" i="1"/>
  <c r="L634" i="1"/>
  <c r="I634" i="1"/>
  <c r="L635" i="1"/>
  <c r="I635" i="1"/>
  <c r="L636" i="1"/>
  <c r="I636" i="1"/>
  <c r="L637" i="1"/>
  <c r="I637" i="1"/>
  <c r="L638" i="1"/>
  <c r="I638" i="1"/>
  <c r="L639" i="1"/>
  <c r="I639" i="1"/>
  <c r="L640" i="1"/>
  <c r="I640" i="1"/>
  <c r="L641" i="1"/>
  <c r="I641" i="1"/>
  <c r="L642" i="1"/>
  <c r="I642" i="1"/>
  <c r="L643" i="1"/>
  <c r="I643" i="1"/>
  <c r="L644" i="1"/>
  <c r="I644" i="1"/>
  <c r="L645" i="1"/>
  <c r="I645" i="1"/>
  <c r="L646" i="1"/>
  <c r="I646" i="1"/>
  <c r="L647" i="1"/>
  <c r="I647" i="1"/>
  <c r="L648" i="1"/>
  <c r="I648" i="1"/>
  <c r="L649" i="1"/>
  <c r="I649" i="1"/>
  <c r="L650" i="1"/>
  <c r="I650" i="1"/>
  <c r="L651" i="1"/>
  <c r="I651" i="1"/>
  <c r="L652" i="1"/>
  <c r="I652" i="1"/>
  <c r="L653" i="1"/>
  <c r="I653" i="1"/>
  <c r="L654" i="1"/>
  <c r="I654" i="1"/>
  <c r="L655" i="1"/>
  <c r="I655" i="1"/>
  <c r="L656" i="1"/>
  <c r="I656" i="1"/>
  <c r="L657" i="1"/>
  <c r="I657" i="1"/>
  <c r="L658" i="1"/>
  <c r="I658" i="1"/>
  <c r="L659" i="1"/>
  <c r="I659" i="1"/>
  <c r="L660" i="1"/>
  <c r="I660" i="1"/>
  <c r="L661" i="1"/>
  <c r="I661" i="1"/>
  <c r="L662" i="1"/>
  <c r="I662" i="1"/>
  <c r="L663" i="1"/>
  <c r="I663" i="1"/>
  <c r="L664" i="1"/>
  <c r="I664" i="1"/>
  <c r="L665" i="1"/>
  <c r="I665" i="1"/>
  <c r="L666" i="1"/>
  <c r="I666" i="1"/>
  <c r="L667" i="1"/>
  <c r="I667" i="1"/>
  <c r="L668" i="1"/>
  <c r="I668" i="1"/>
  <c r="L669" i="1"/>
  <c r="I669" i="1"/>
  <c r="L670" i="1"/>
  <c r="I670" i="1"/>
  <c r="L671" i="1"/>
  <c r="I671" i="1"/>
  <c r="L672" i="1"/>
  <c r="I672" i="1"/>
  <c r="L673" i="1"/>
  <c r="I673" i="1"/>
  <c r="L674" i="1"/>
  <c r="I674" i="1"/>
  <c r="L675" i="1"/>
  <c r="I675" i="1"/>
  <c r="L676" i="1"/>
  <c r="I676" i="1"/>
  <c r="L677" i="1"/>
  <c r="I677" i="1"/>
  <c r="L678" i="1"/>
  <c r="I678" i="1"/>
  <c r="L679" i="1"/>
  <c r="I679" i="1"/>
  <c r="L680" i="1"/>
  <c r="I680" i="1"/>
  <c r="L681" i="1"/>
  <c r="I681" i="1"/>
  <c r="L682" i="1"/>
  <c r="I682" i="1"/>
  <c r="L683" i="1"/>
  <c r="I683" i="1"/>
  <c r="L684" i="1"/>
  <c r="I684" i="1"/>
  <c r="L685" i="1"/>
  <c r="I685" i="1"/>
  <c r="L686" i="1"/>
  <c r="I686" i="1"/>
  <c r="L687" i="1"/>
  <c r="I687" i="1"/>
  <c r="L688" i="1"/>
  <c r="I688" i="1"/>
  <c r="L689" i="1"/>
  <c r="I689" i="1"/>
  <c r="L690" i="1"/>
  <c r="I690" i="1"/>
  <c r="L691" i="1"/>
  <c r="I691" i="1"/>
  <c r="L692" i="1"/>
  <c r="I692" i="1"/>
  <c r="L693" i="1"/>
  <c r="I693" i="1"/>
  <c r="L694" i="1"/>
  <c r="I694" i="1"/>
  <c r="L695" i="1"/>
  <c r="I695" i="1"/>
  <c r="L696" i="1"/>
  <c r="I696" i="1"/>
  <c r="L697" i="1"/>
  <c r="I697" i="1"/>
  <c r="L698" i="1"/>
  <c r="I698" i="1"/>
  <c r="L699" i="1"/>
  <c r="I699" i="1"/>
  <c r="L700" i="1"/>
  <c r="I700" i="1"/>
  <c r="L701" i="1"/>
  <c r="I701" i="1"/>
  <c r="L702" i="1"/>
  <c r="I702" i="1"/>
  <c r="L703" i="1"/>
  <c r="I703" i="1"/>
  <c r="L704" i="1"/>
  <c r="I704" i="1"/>
  <c r="L705" i="1"/>
  <c r="I705" i="1"/>
  <c r="L706" i="1"/>
  <c r="I706" i="1"/>
  <c r="L707" i="1"/>
  <c r="I707" i="1"/>
  <c r="L708" i="1"/>
  <c r="I708" i="1"/>
  <c r="L709" i="1"/>
  <c r="I709" i="1"/>
  <c r="L710" i="1"/>
  <c r="I710" i="1"/>
  <c r="L711" i="1"/>
  <c r="I711" i="1"/>
  <c r="L712" i="1"/>
  <c r="I712" i="1"/>
  <c r="L713" i="1"/>
  <c r="I713" i="1"/>
  <c r="L714" i="1"/>
  <c r="I714" i="1"/>
  <c r="L715" i="1"/>
  <c r="I715" i="1"/>
  <c r="L716" i="1"/>
  <c r="I716" i="1"/>
  <c r="L717" i="1"/>
  <c r="I717" i="1"/>
  <c r="L718" i="1"/>
  <c r="I718" i="1"/>
  <c r="L719" i="1"/>
  <c r="I719" i="1"/>
  <c r="L720" i="1"/>
  <c r="I720" i="1"/>
  <c r="L721" i="1"/>
  <c r="I721" i="1"/>
  <c r="L722" i="1"/>
  <c r="I722" i="1"/>
  <c r="L723" i="1"/>
  <c r="I723" i="1"/>
  <c r="L724" i="1"/>
  <c r="I724" i="1"/>
  <c r="L725" i="1"/>
  <c r="I725" i="1"/>
  <c r="L726" i="1"/>
  <c r="I726" i="1"/>
  <c r="L727" i="1"/>
  <c r="I727" i="1"/>
  <c r="L728" i="1"/>
  <c r="I728" i="1"/>
  <c r="L729" i="1"/>
  <c r="I729" i="1"/>
  <c r="L730" i="1"/>
  <c r="I730" i="1"/>
  <c r="L731" i="1"/>
  <c r="I731" i="1"/>
  <c r="L732" i="1"/>
  <c r="I732" i="1"/>
  <c r="L733" i="1"/>
  <c r="I733" i="1"/>
  <c r="L734" i="1"/>
  <c r="I734" i="1"/>
  <c r="L735" i="1"/>
  <c r="I735" i="1"/>
  <c r="L736" i="1"/>
  <c r="I736" i="1"/>
  <c r="L737" i="1"/>
  <c r="I737" i="1"/>
  <c r="L738" i="1"/>
  <c r="I738" i="1"/>
  <c r="L739" i="1"/>
  <c r="I739" i="1"/>
  <c r="L740" i="1"/>
  <c r="I740" i="1"/>
  <c r="L741" i="1"/>
  <c r="I741" i="1"/>
  <c r="L742" i="1"/>
  <c r="I742" i="1"/>
  <c r="L743" i="1"/>
  <c r="I743" i="1"/>
  <c r="L744" i="1"/>
  <c r="I744" i="1"/>
  <c r="L745" i="1"/>
  <c r="I745" i="1"/>
  <c r="L746" i="1"/>
  <c r="I746" i="1"/>
  <c r="L747" i="1"/>
  <c r="I747" i="1"/>
  <c r="L748" i="1"/>
  <c r="I748" i="1"/>
  <c r="L749" i="1"/>
  <c r="I749" i="1"/>
  <c r="L750" i="1"/>
  <c r="I750" i="1"/>
  <c r="L751" i="1"/>
  <c r="I751" i="1"/>
  <c r="L752" i="1"/>
  <c r="I752" i="1"/>
  <c r="L753" i="1"/>
  <c r="I753" i="1"/>
  <c r="L754" i="1"/>
  <c r="I754" i="1"/>
  <c r="L755" i="1"/>
  <c r="I755" i="1"/>
  <c r="L756" i="1"/>
  <c r="I756" i="1"/>
  <c r="L757" i="1"/>
  <c r="I757" i="1"/>
  <c r="L758" i="1"/>
  <c r="I758" i="1"/>
  <c r="L759" i="1"/>
  <c r="I759" i="1"/>
  <c r="L760" i="1"/>
  <c r="I760" i="1"/>
  <c r="L761" i="1"/>
  <c r="I761" i="1"/>
  <c r="L762" i="1"/>
  <c r="I762" i="1"/>
  <c r="L763" i="1"/>
  <c r="I763" i="1"/>
  <c r="L764" i="1"/>
  <c r="I764" i="1"/>
  <c r="L765" i="1"/>
  <c r="I765" i="1"/>
  <c r="L766" i="1"/>
  <c r="I766" i="1"/>
  <c r="L767" i="1"/>
  <c r="I767" i="1"/>
  <c r="L768" i="1"/>
  <c r="I768" i="1"/>
  <c r="L769" i="1"/>
  <c r="I769" i="1"/>
  <c r="L770" i="1"/>
  <c r="I770" i="1"/>
  <c r="L771" i="1"/>
  <c r="I771" i="1"/>
  <c r="L772" i="1"/>
  <c r="I772" i="1"/>
  <c r="L773" i="1"/>
  <c r="I773" i="1"/>
  <c r="L774" i="1"/>
  <c r="I774" i="1"/>
  <c r="L775" i="1"/>
  <c r="I775" i="1"/>
  <c r="L776" i="1"/>
  <c r="I776" i="1"/>
  <c r="L777" i="1"/>
  <c r="I777" i="1"/>
  <c r="L778" i="1"/>
  <c r="I778" i="1"/>
  <c r="L779" i="1"/>
  <c r="I779" i="1"/>
  <c r="L780" i="1"/>
  <c r="I780" i="1"/>
  <c r="L781" i="1"/>
  <c r="I781" i="1"/>
  <c r="L782" i="1"/>
  <c r="I782" i="1"/>
  <c r="L783" i="1"/>
  <c r="I783" i="1"/>
  <c r="L784" i="1"/>
  <c r="I784" i="1"/>
  <c r="L785" i="1"/>
  <c r="I785" i="1"/>
  <c r="L786" i="1"/>
  <c r="I786" i="1"/>
  <c r="L787" i="1"/>
  <c r="I787" i="1"/>
  <c r="L788" i="1"/>
  <c r="I788" i="1"/>
  <c r="L789" i="1"/>
  <c r="I789" i="1"/>
  <c r="L790" i="1"/>
  <c r="I790" i="1"/>
  <c r="L791" i="1"/>
  <c r="I791" i="1"/>
  <c r="L792" i="1"/>
  <c r="I792" i="1"/>
  <c r="L793" i="1"/>
  <c r="I793" i="1"/>
  <c r="L794" i="1"/>
  <c r="I794" i="1"/>
  <c r="L795" i="1"/>
  <c r="I795" i="1"/>
  <c r="L796" i="1"/>
  <c r="I796" i="1"/>
  <c r="L797" i="1"/>
  <c r="I797" i="1"/>
  <c r="L798" i="1"/>
  <c r="I798" i="1"/>
  <c r="L799" i="1"/>
  <c r="I799" i="1"/>
  <c r="L800" i="1"/>
  <c r="I800" i="1"/>
  <c r="L801" i="1"/>
  <c r="I801" i="1"/>
  <c r="L802" i="1"/>
  <c r="I802" i="1"/>
  <c r="L803" i="1"/>
  <c r="I803" i="1"/>
  <c r="L804" i="1"/>
  <c r="I804" i="1"/>
  <c r="L805" i="1"/>
  <c r="I805" i="1"/>
  <c r="L806" i="1"/>
  <c r="I806" i="1"/>
  <c r="L807" i="1"/>
  <c r="I807" i="1"/>
  <c r="L808" i="1"/>
  <c r="I808" i="1"/>
  <c r="L809" i="1"/>
  <c r="I809" i="1"/>
  <c r="L810" i="1"/>
  <c r="I810" i="1"/>
  <c r="L811" i="1"/>
  <c r="I811" i="1"/>
  <c r="L812" i="1"/>
  <c r="I812" i="1"/>
  <c r="L813" i="1"/>
  <c r="I813" i="1"/>
  <c r="L814" i="1"/>
  <c r="I814" i="1"/>
  <c r="L815" i="1"/>
  <c r="I815" i="1"/>
  <c r="L816" i="1"/>
  <c r="I816" i="1"/>
  <c r="L817" i="1"/>
  <c r="I817" i="1"/>
  <c r="L818" i="1"/>
  <c r="I818" i="1"/>
  <c r="L819" i="1"/>
  <c r="I819" i="1"/>
  <c r="L820" i="1"/>
  <c r="I820" i="1"/>
  <c r="L821" i="1"/>
  <c r="I821" i="1"/>
  <c r="L822" i="1"/>
  <c r="I822" i="1"/>
  <c r="L823" i="1"/>
  <c r="I823" i="1"/>
  <c r="L824" i="1"/>
  <c r="I824" i="1"/>
  <c r="L825" i="1"/>
  <c r="I825" i="1"/>
  <c r="L826" i="1"/>
  <c r="I826" i="1"/>
  <c r="L827" i="1"/>
  <c r="I827" i="1"/>
  <c r="L828" i="1"/>
  <c r="I828" i="1"/>
  <c r="L829" i="1"/>
  <c r="I829" i="1"/>
  <c r="L830" i="1"/>
  <c r="I830" i="1"/>
  <c r="L831" i="1"/>
  <c r="I831" i="1"/>
  <c r="L832" i="1"/>
  <c r="I832" i="1"/>
  <c r="L833" i="1"/>
  <c r="I833" i="1"/>
  <c r="L834" i="1"/>
  <c r="I834" i="1"/>
  <c r="L835" i="1"/>
  <c r="I835" i="1"/>
  <c r="L836" i="1"/>
  <c r="I836" i="1"/>
  <c r="L837" i="1"/>
  <c r="I837" i="1"/>
  <c r="L838" i="1"/>
  <c r="I838" i="1"/>
  <c r="L839" i="1"/>
  <c r="I839" i="1"/>
  <c r="L840" i="1"/>
  <c r="I840" i="1"/>
  <c r="L841" i="1"/>
  <c r="I841" i="1"/>
  <c r="L842" i="1"/>
  <c r="I842" i="1"/>
  <c r="L843" i="1"/>
  <c r="I843" i="1"/>
  <c r="L844" i="1"/>
  <c r="I844" i="1"/>
  <c r="L845" i="1"/>
  <c r="I845" i="1"/>
  <c r="L846" i="1"/>
  <c r="I846" i="1"/>
  <c r="L847" i="1"/>
  <c r="I847" i="1"/>
  <c r="L848" i="1"/>
  <c r="I848" i="1"/>
  <c r="L849" i="1"/>
  <c r="I849" i="1"/>
  <c r="L850" i="1"/>
  <c r="I850" i="1"/>
  <c r="L851" i="1"/>
  <c r="I851" i="1"/>
  <c r="L852" i="1"/>
  <c r="I852" i="1"/>
  <c r="L853" i="1"/>
  <c r="I853" i="1"/>
  <c r="L854" i="1"/>
  <c r="I854" i="1"/>
  <c r="L855" i="1"/>
  <c r="I855" i="1"/>
  <c r="L856" i="1"/>
  <c r="I856" i="1"/>
  <c r="L857" i="1"/>
  <c r="I857" i="1"/>
  <c r="L858" i="1"/>
  <c r="I858" i="1"/>
  <c r="L859" i="1"/>
  <c r="I859" i="1"/>
  <c r="L860" i="1"/>
  <c r="I860" i="1"/>
  <c r="L861" i="1"/>
  <c r="I861" i="1"/>
  <c r="L862" i="1"/>
  <c r="I862" i="1"/>
  <c r="L863" i="1"/>
  <c r="I863" i="1"/>
  <c r="L864" i="1"/>
  <c r="I864" i="1"/>
  <c r="L865" i="1"/>
  <c r="I865" i="1"/>
  <c r="L866" i="1"/>
  <c r="I866" i="1"/>
  <c r="L867" i="1"/>
  <c r="I867" i="1"/>
  <c r="L868" i="1"/>
  <c r="I868" i="1"/>
  <c r="L869" i="1"/>
  <c r="I869" i="1"/>
  <c r="L870" i="1"/>
  <c r="I870" i="1"/>
  <c r="L871" i="1"/>
  <c r="I871" i="1"/>
  <c r="L872" i="1"/>
  <c r="I872" i="1"/>
  <c r="L873" i="1"/>
  <c r="I873" i="1"/>
  <c r="L874" i="1"/>
  <c r="I874" i="1"/>
  <c r="L875" i="1"/>
  <c r="I875" i="1"/>
  <c r="L876" i="1"/>
  <c r="I876" i="1"/>
  <c r="L877" i="1"/>
  <c r="I877" i="1"/>
  <c r="L878" i="1"/>
  <c r="I878" i="1"/>
  <c r="L879" i="1"/>
  <c r="I879" i="1"/>
  <c r="L880" i="1"/>
  <c r="I880" i="1"/>
  <c r="L881" i="1"/>
  <c r="I881" i="1"/>
  <c r="L882" i="1"/>
  <c r="I882" i="1"/>
  <c r="L883" i="1"/>
  <c r="I883" i="1"/>
  <c r="L884" i="1"/>
  <c r="I884" i="1"/>
  <c r="L885" i="1"/>
  <c r="I885" i="1"/>
  <c r="L886" i="1"/>
  <c r="I886" i="1"/>
  <c r="L887" i="1"/>
  <c r="I887" i="1"/>
  <c r="L888" i="1"/>
  <c r="I888" i="1"/>
  <c r="L889" i="1"/>
  <c r="I889" i="1"/>
  <c r="L890" i="1"/>
  <c r="I890" i="1"/>
  <c r="L891" i="1"/>
  <c r="I891" i="1"/>
  <c r="L892" i="1"/>
  <c r="I892" i="1"/>
  <c r="L893" i="1"/>
  <c r="I893" i="1"/>
  <c r="L894" i="1"/>
  <c r="I894" i="1"/>
  <c r="L895" i="1"/>
  <c r="I895" i="1"/>
  <c r="L896" i="1"/>
  <c r="I896" i="1"/>
  <c r="L897" i="1"/>
  <c r="I897" i="1"/>
  <c r="L898" i="1"/>
  <c r="I898" i="1"/>
  <c r="L899" i="1"/>
  <c r="I899" i="1"/>
  <c r="L900" i="1"/>
  <c r="I900" i="1"/>
  <c r="L901" i="1"/>
  <c r="I901" i="1"/>
  <c r="L902" i="1"/>
  <c r="I902" i="1"/>
  <c r="L903" i="1"/>
  <c r="I903" i="1"/>
  <c r="L904" i="1"/>
  <c r="I904" i="1"/>
  <c r="L905" i="1"/>
  <c r="I905" i="1"/>
  <c r="L906" i="1"/>
  <c r="I906" i="1"/>
  <c r="L907" i="1"/>
  <c r="I907" i="1"/>
  <c r="L908" i="1"/>
  <c r="I908" i="1"/>
  <c r="L909" i="1"/>
  <c r="I909" i="1"/>
  <c r="L910" i="1"/>
  <c r="I910" i="1"/>
  <c r="L911" i="1"/>
  <c r="I911" i="1"/>
  <c r="L912" i="1"/>
  <c r="I912" i="1"/>
  <c r="L913" i="1"/>
  <c r="I913" i="1"/>
  <c r="L914" i="1"/>
  <c r="I914" i="1"/>
  <c r="L915" i="1"/>
  <c r="I915" i="1"/>
  <c r="L916" i="1"/>
  <c r="I916" i="1"/>
  <c r="L917" i="1"/>
  <c r="I917" i="1"/>
  <c r="L918" i="1"/>
  <c r="I918" i="1"/>
  <c r="L919" i="1"/>
  <c r="I919" i="1"/>
  <c r="L920" i="1"/>
  <c r="I920" i="1"/>
  <c r="L921" i="1"/>
  <c r="I921" i="1"/>
  <c r="L922" i="1"/>
  <c r="I922" i="1"/>
  <c r="L923" i="1"/>
  <c r="I923" i="1"/>
  <c r="L924" i="1"/>
  <c r="I924" i="1"/>
  <c r="L925" i="1"/>
  <c r="I925" i="1"/>
  <c r="L926" i="1"/>
  <c r="I926" i="1"/>
  <c r="L927" i="1"/>
  <c r="I927" i="1"/>
  <c r="L928" i="1"/>
  <c r="I928" i="1"/>
  <c r="L929" i="1"/>
  <c r="I929" i="1"/>
  <c r="L930" i="1"/>
  <c r="I930" i="1"/>
  <c r="L931" i="1"/>
  <c r="I931" i="1"/>
  <c r="L932" i="1"/>
  <c r="I932" i="1"/>
  <c r="L933" i="1"/>
  <c r="I933" i="1"/>
  <c r="L934" i="1"/>
  <c r="I934" i="1"/>
  <c r="L935" i="1"/>
  <c r="I935" i="1"/>
  <c r="L936" i="1"/>
  <c r="I936" i="1"/>
  <c r="L937" i="1"/>
  <c r="I937" i="1"/>
  <c r="L938" i="1"/>
  <c r="I938" i="1"/>
  <c r="L939" i="1"/>
  <c r="I939" i="1"/>
  <c r="L940" i="1"/>
  <c r="I940" i="1"/>
  <c r="L941" i="1"/>
  <c r="I941" i="1"/>
  <c r="L942" i="1"/>
  <c r="I942" i="1"/>
  <c r="L943" i="1"/>
  <c r="I943" i="1"/>
  <c r="L944" i="1"/>
  <c r="I944" i="1"/>
  <c r="L945" i="1"/>
  <c r="I945" i="1"/>
  <c r="L946" i="1"/>
  <c r="I946" i="1"/>
  <c r="L947" i="1"/>
  <c r="I947" i="1"/>
  <c r="L948" i="1"/>
  <c r="I948" i="1"/>
  <c r="L949" i="1"/>
  <c r="I949" i="1"/>
  <c r="L950" i="1"/>
  <c r="I950" i="1"/>
  <c r="L951" i="1"/>
  <c r="I951" i="1"/>
  <c r="L952" i="1"/>
  <c r="I952" i="1"/>
  <c r="L953" i="1"/>
  <c r="I953" i="1"/>
  <c r="L954" i="1"/>
  <c r="I954" i="1"/>
  <c r="L955" i="1"/>
  <c r="I955" i="1"/>
  <c r="L956" i="1"/>
  <c r="I956" i="1"/>
  <c r="L957" i="1"/>
  <c r="I957" i="1"/>
  <c r="L958" i="1"/>
  <c r="I958" i="1"/>
  <c r="L959" i="1"/>
  <c r="I959" i="1"/>
  <c r="L960" i="1"/>
  <c r="I960" i="1"/>
  <c r="L961" i="1"/>
  <c r="I961" i="1"/>
  <c r="L962" i="1"/>
  <c r="I962" i="1"/>
  <c r="L963" i="1"/>
  <c r="I963" i="1"/>
  <c r="L964" i="1"/>
  <c r="I964" i="1"/>
  <c r="L965" i="1"/>
  <c r="I965" i="1"/>
  <c r="L966" i="1"/>
  <c r="I966" i="1"/>
  <c r="L967" i="1"/>
  <c r="I967" i="1"/>
  <c r="L968" i="1"/>
  <c r="I968" i="1"/>
  <c r="L969" i="1"/>
  <c r="I969" i="1"/>
  <c r="L970" i="1"/>
  <c r="I970" i="1"/>
  <c r="L971" i="1"/>
  <c r="I971" i="1"/>
  <c r="L972" i="1"/>
  <c r="I972" i="1"/>
  <c r="L973" i="1"/>
  <c r="I973" i="1"/>
  <c r="L974" i="1"/>
  <c r="I974" i="1"/>
  <c r="L975" i="1"/>
  <c r="I975" i="1"/>
  <c r="L976" i="1"/>
  <c r="I976" i="1"/>
  <c r="L977" i="1"/>
  <c r="I977" i="1"/>
  <c r="L978" i="1"/>
  <c r="I978" i="1"/>
  <c r="L979" i="1"/>
  <c r="I979" i="1"/>
  <c r="L980" i="1"/>
  <c r="I980" i="1"/>
  <c r="L981" i="1"/>
  <c r="I981" i="1"/>
  <c r="L982" i="1"/>
  <c r="I982" i="1"/>
  <c r="L983" i="1"/>
  <c r="I983" i="1"/>
  <c r="L984" i="1"/>
  <c r="I984" i="1"/>
  <c r="L985" i="1"/>
  <c r="I985" i="1"/>
  <c r="L986" i="1"/>
  <c r="I986" i="1"/>
  <c r="L987" i="1"/>
  <c r="I987" i="1"/>
  <c r="L988" i="1"/>
  <c r="I988" i="1"/>
  <c r="L989" i="1"/>
  <c r="I989" i="1"/>
  <c r="L990" i="1"/>
  <c r="I990" i="1"/>
  <c r="L991" i="1"/>
  <c r="I991" i="1"/>
  <c r="L992" i="1"/>
  <c r="I992" i="1"/>
  <c r="L993" i="1"/>
  <c r="I993" i="1"/>
  <c r="L994" i="1"/>
  <c r="I994" i="1"/>
  <c r="L995" i="1"/>
  <c r="I995" i="1"/>
  <c r="L996" i="1"/>
  <c r="I996" i="1"/>
  <c r="L997" i="1"/>
  <c r="I997" i="1"/>
  <c r="L998" i="1"/>
  <c r="I998" i="1"/>
  <c r="L999" i="1"/>
  <c r="I999" i="1"/>
  <c r="L1000" i="1"/>
  <c r="I1000" i="1"/>
  <c r="L1001" i="1"/>
  <c r="I1001" i="1"/>
  <c r="L1002" i="1"/>
  <c r="I1002" i="1"/>
  <c r="L1003" i="1"/>
  <c r="I1003" i="1"/>
  <c r="L1004" i="1"/>
  <c r="I1004" i="1"/>
  <c r="L1005" i="1"/>
  <c r="I1005" i="1"/>
  <c r="L1006" i="1"/>
  <c r="I1006" i="1"/>
  <c r="L1007" i="1"/>
  <c r="I1007" i="1"/>
  <c r="L1008" i="1"/>
  <c r="I1008" i="1"/>
  <c r="L1009" i="1"/>
  <c r="I1009" i="1"/>
  <c r="L1010" i="1"/>
  <c r="I1010" i="1"/>
  <c r="L1011" i="1"/>
  <c r="I1011" i="1"/>
  <c r="L1012" i="1"/>
  <c r="I1012" i="1"/>
  <c r="L1013" i="1"/>
  <c r="I1013" i="1"/>
  <c r="L1014" i="1"/>
  <c r="I1014" i="1"/>
  <c r="L1015" i="1"/>
  <c r="I1015" i="1"/>
  <c r="L1016" i="1"/>
  <c r="I1016" i="1"/>
  <c r="L1017" i="1"/>
  <c r="I1017" i="1"/>
  <c r="L1018" i="1"/>
  <c r="I1018" i="1"/>
  <c r="L1019" i="1"/>
  <c r="I1019" i="1"/>
  <c r="L1020" i="1"/>
  <c r="I1020" i="1"/>
  <c r="L1021" i="1"/>
  <c r="I1021" i="1"/>
  <c r="L1022" i="1"/>
  <c r="I1022" i="1"/>
  <c r="L1023" i="1"/>
  <c r="I1023" i="1"/>
  <c r="L1024" i="1"/>
  <c r="I1024" i="1"/>
  <c r="L1025" i="1"/>
  <c r="I1025" i="1"/>
  <c r="L1026" i="1"/>
  <c r="I1026" i="1"/>
  <c r="L1027" i="1"/>
  <c r="I1027" i="1"/>
  <c r="L1028" i="1"/>
  <c r="I1028" i="1"/>
  <c r="L1029" i="1"/>
  <c r="I1029" i="1"/>
  <c r="L1030" i="1"/>
  <c r="I1030" i="1"/>
  <c r="L1031" i="1"/>
  <c r="I1031" i="1"/>
  <c r="L1032" i="1"/>
  <c r="I1032" i="1"/>
  <c r="L1033" i="1"/>
  <c r="I1033" i="1"/>
  <c r="L1034" i="1"/>
  <c r="I1034" i="1"/>
  <c r="L1035" i="1"/>
  <c r="I1035" i="1"/>
  <c r="L1036" i="1"/>
  <c r="I1036" i="1"/>
  <c r="L1037" i="1"/>
  <c r="I1037" i="1"/>
  <c r="L1038" i="1"/>
  <c r="I1038" i="1"/>
  <c r="L1039" i="1"/>
  <c r="I1039" i="1"/>
  <c r="L1040" i="1"/>
  <c r="I1040" i="1"/>
  <c r="L1041" i="1"/>
  <c r="I1041" i="1"/>
  <c r="L1042" i="1"/>
  <c r="I1042" i="1"/>
  <c r="L1043" i="1"/>
  <c r="I1043" i="1"/>
  <c r="L1044" i="1"/>
  <c r="I1044" i="1"/>
  <c r="L1045" i="1"/>
  <c r="I1045" i="1"/>
  <c r="L1046" i="1"/>
  <c r="I1046" i="1"/>
  <c r="L1047" i="1"/>
  <c r="I1047" i="1"/>
  <c r="L1048" i="1"/>
  <c r="I1048" i="1"/>
  <c r="L1049" i="1"/>
  <c r="I1049" i="1"/>
  <c r="L1050" i="1"/>
  <c r="I1050" i="1"/>
  <c r="L1051" i="1"/>
  <c r="I1051" i="1"/>
  <c r="L1052" i="1"/>
  <c r="I1052" i="1"/>
  <c r="L1053" i="1"/>
  <c r="I1053" i="1"/>
  <c r="L1054" i="1"/>
  <c r="I1054" i="1"/>
  <c r="L1055" i="1"/>
  <c r="I1055" i="1"/>
  <c r="L1056" i="1"/>
  <c r="I1056" i="1"/>
  <c r="L1057" i="1"/>
  <c r="I1057" i="1"/>
  <c r="L1058" i="1"/>
  <c r="I1058" i="1"/>
  <c r="L1059" i="1"/>
  <c r="I1059" i="1"/>
  <c r="L1060" i="1"/>
  <c r="I1060" i="1"/>
  <c r="L1061" i="1"/>
  <c r="I1061" i="1"/>
  <c r="L1062" i="1"/>
  <c r="I1062" i="1"/>
  <c r="L1063" i="1"/>
  <c r="I1063" i="1"/>
  <c r="L1064" i="1"/>
  <c r="I1064" i="1"/>
  <c r="L1065" i="1"/>
  <c r="I1065" i="1"/>
  <c r="L1066" i="1"/>
  <c r="I1066" i="1"/>
  <c r="L1067" i="1"/>
  <c r="I1067" i="1"/>
  <c r="L1068" i="1"/>
  <c r="I1068" i="1"/>
  <c r="L1069" i="1"/>
  <c r="I1069" i="1"/>
  <c r="L1070" i="1"/>
  <c r="I1070" i="1"/>
  <c r="L1071" i="1"/>
  <c r="I1071" i="1"/>
  <c r="L1072" i="1"/>
  <c r="I1072" i="1"/>
  <c r="L1073" i="1"/>
  <c r="I1073" i="1"/>
  <c r="L1074" i="1"/>
  <c r="I1074" i="1"/>
  <c r="L1075" i="1"/>
  <c r="I1075" i="1"/>
  <c r="L1076" i="1"/>
  <c r="I1076" i="1"/>
  <c r="L1077" i="1"/>
  <c r="I1077" i="1"/>
  <c r="L1078" i="1"/>
  <c r="I1078" i="1"/>
  <c r="L1079" i="1"/>
  <c r="I1079" i="1"/>
  <c r="L1080" i="1"/>
  <c r="I1080" i="1"/>
  <c r="L1081" i="1"/>
  <c r="I1081" i="1"/>
  <c r="L1082" i="1"/>
  <c r="I1082" i="1"/>
  <c r="L1083" i="1"/>
  <c r="I1083" i="1"/>
  <c r="L1084" i="1"/>
  <c r="I1084" i="1"/>
  <c r="L1085" i="1"/>
  <c r="I1085" i="1"/>
  <c r="L1086" i="1"/>
  <c r="I1086" i="1"/>
  <c r="L1087" i="1"/>
  <c r="I1087" i="1"/>
  <c r="L1088" i="1"/>
  <c r="I1088" i="1"/>
  <c r="L1089" i="1"/>
  <c r="I1089" i="1"/>
  <c r="L1090" i="1"/>
  <c r="I1090" i="1"/>
  <c r="L1091" i="1"/>
  <c r="I1091" i="1"/>
  <c r="L1092" i="1"/>
  <c r="I1092" i="1"/>
  <c r="L1093" i="1"/>
  <c r="I1093" i="1"/>
  <c r="L1094" i="1"/>
  <c r="I1094" i="1"/>
  <c r="L1095" i="1"/>
  <c r="I1095" i="1"/>
  <c r="L1096" i="1"/>
  <c r="I1096" i="1"/>
  <c r="L1097" i="1"/>
  <c r="I1097" i="1"/>
  <c r="L1098" i="1"/>
  <c r="I1098" i="1"/>
  <c r="L1099" i="1"/>
  <c r="I1099" i="1"/>
  <c r="L1100" i="1"/>
  <c r="I1100" i="1"/>
  <c r="L1101" i="1"/>
  <c r="I1101" i="1"/>
  <c r="L1102" i="1"/>
  <c r="I1102" i="1"/>
  <c r="L1103" i="1"/>
  <c r="I1103" i="1"/>
  <c r="L1104" i="1"/>
  <c r="I1104" i="1"/>
  <c r="L1105" i="1"/>
  <c r="I1105" i="1"/>
  <c r="L1106" i="1"/>
  <c r="I1106" i="1"/>
  <c r="L1107" i="1"/>
  <c r="I1107" i="1"/>
  <c r="L1108" i="1"/>
  <c r="I1108" i="1"/>
  <c r="L1109" i="1"/>
  <c r="I1109" i="1"/>
  <c r="L1110" i="1"/>
  <c r="I1110" i="1"/>
  <c r="L1111" i="1"/>
  <c r="I1111" i="1"/>
  <c r="L1112" i="1"/>
  <c r="I1112" i="1"/>
  <c r="L1113" i="1"/>
  <c r="I1113" i="1"/>
  <c r="L1114" i="1"/>
  <c r="I1114" i="1"/>
  <c r="L1115" i="1"/>
  <c r="I1115" i="1"/>
  <c r="L1116" i="1"/>
  <c r="I1116" i="1"/>
  <c r="L1117" i="1"/>
  <c r="I1117" i="1"/>
  <c r="L1118" i="1"/>
  <c r="I1118" i="1"/>
  <c r="L1119" i="1"/>
  <c r="I1119" i="1"/>
  <c r="L1120" i="1"/>
  <c r="I1120" i="1"/>
  <c r="L1121" i="1"/>
  <c r="I1121" i="1"/>
  <c r="L1122" i="1"/>
  <c r="I1122" i="1"/>
  <c r="L1123" i="1"/>
  <c r="I1123" i="1"/>
  <c r="L1124" i="1"/>
  <c r="I1124" i="1"/>
  <c r="L1125" i="1"/>
  <c r="I1125" i="1"/>
  <c r="L1126" i="1"/>
  <c r="I1126" i="1"/>
  <c r="L1127" i="1"/>
  <c r="I1127" i="1"/>
  <c r="L1128" i="1"/>
  <c r="I1128" i="1"/>
  <c r="L1129" i="1"/>
  <c r="I1129" i="1"/>
  <c r="L1130" i="1"/>
  <c r="I1130" i="1"/>
  <c r="L1131" i="1"/>
  <c r="I1131" i="1"/>
  <c r="L1132" i="1"/>
  <c r="I1132" i="1"/>
  <c r="L1133" i="1"/>
  <c r="I1133" i="1"/>
  <c r="L1134" i="1"/>
  <c r="I1134" i="1"/>
  <c r="L1135" i="1"/>
  <c r="I1135" i="1"/>
  <c r="L1136" i="1"/>
  <c r="I1136" i="1"/>
  <c r="L1137" i="1"/>
  <c r="I1137" i="1"/>
  <c r="L1138" i="1"/>
  <c r="I1138" i="1"/>
  <c r="L1139" i="1"/>
  <c r="I1139" i="1"/>
  <c r="L1140" i="1"/>
  <c r="I1140" i="1"/>
  <c r="L1141" i="1"/>
  <c r="I1141" i="1"/>
  <c r="L1142" i="1"/>
  <c r="I1142" i="1"/>
  <c r="L1143" i="1"/>
  <c r="I1143" i="1"/>
  <c r="L1144" i="1"/>
  <c r="I1144" i="1"/>
  <c r="L1145" i="1"/>
  <c r="I1145" i="1"/>
  <c r="L1146" i="1"/>
  <c r="I1146" i="1"/>
  <c r="L1147" i="1"/>
  <c r="I1147" i="1"/>
  <c r="L1148" i="1"/>
  <c r="I1148" i="1"/>
  <c r="L1149" i="1"/>
  <c r="I1149" i="1"/>
  <c r="L1150" i="1"/>
  <c r="I1150" i="1"/>
  <c r="L1151" i="1"/>
  <c r="I1151" i="1"/>
  <c r="L1152" i="1"/>
  <c r="I1152" i="1"/>
  <c r="L1153" i="1"/>
  <c r="I1153" i="1"/>
  <c r="L1154" i="1"/>
  <c r="I1154" i="1"/>
  <c r="L1155" i="1"/>
  <c r="I1155" i="1"/>
  <c r="L1156" i="1"/>
  <c r="I1156" i="1"/>
  <c r="L1157" i="1"/>
  <c r="I1157" i="1"/>
  <c r="L1158" i="1"/>
  <c r="I1158" i="1"/>
  <c r="L1159" i="1"/>
  <c r="I1159" i="1"/>
  <c r="L1160" i="1"/>
  <c r="I1160" i="1"/>
  <c r="L1161" i="1"/>
  <c r="I1161" i="1"/>
  <c r="L1162" i="1"/>
  <c r="I1162" i="1"/>
  <c r="L1163" i="1"/>
  <c r="I1163" i="1"/>
  <c r="L1164" i="1"/>
  <c r="I1164" i="1"/>
  <c r="L1165" i="1"/>
  <c r="I1165" i="1"/>
  <c r="L1166" i="1"/>
  <c r="I1166" i="1"/>
  <c r="L1167" i="1"/>
  <c r="I1167" i="1"/>
  <c r="L1168" i="1"/>
  <c r="I1168" i="1"/>
  <c r="L1169" i="1"/>
  <c r="I1169" i="1"/>
  <c r="L1170" i="1"/>
  <c r="I1170" i="1"/>
  <c r="L1171" i="1"/>
  <c r="I1171" i="1"/>
  <c r="L1172" i="1"/>
  <c r="I1172" i="1"/>
  <c r="L1173" i="1"/>
  <c r="I1173" i="1"/>
  <c r="L1174" i="1"/>
  <c r="I1174" i="1"/>
  <c r="L1175" i="1"/>
  <c r="I1175" i="1"/>
  <c r="L1176" i="1"/>
  <c r="I1176" i="1"/>
  <c r="L1177" i="1"/>
  <c r="I1177" i="1"/>
  <c r="L1178" i="1"/>
  <c r="I1178" i="1"/>
  <c r="L1179" i="1"/>
  <c r="I1179" i="1"/>
  <c r="L1180" i="1"/>
  <c r="I1180" i="1"/>
  <c r="L1181" i="1"/>
  <c r="I1181" i="1"/>
  <c r="L1182" i="1"/>
  <c r="I1182" i="1"/>
  <c r="L1183" i="1"/>
  <c r="I1183" i="1"/>
  <c r="L1184" i="1"/>
  <c r="I1184" i="1"/>
  <c r="L1185" i="1"/>
  <c r="I1185" i="1"/>
  <c r="L1186" i="1"/>
  <c r="I1186" i="1"/>
  <c r="L1187" i="1"/>
  <c r="I1187" i="1"/>
  <c r="L1188" i="1"/>
  <c r="I1188" i="1"/>
  <c r="L1189" i="1"/>
  <c r="I1189" i="1"/>
  <c r="L1190" i="1"/>
  <c r="I1190" i="1"/>
  <c r="L1191" i="1"/>
  <c r="I1191" i="1"/>
  <c r="L1192" i="1"/>
  <c r="I1192" i="1"/>
  <c r="L1193" i="1"/>
  <c r="I1193" i="1"/>
  <c r="L1194" i="1"/>
  <c r="I1194" i="1"/>
  <c r="L1195" i="1"/>
  <c r="I1195" i="1"/>
  <c r="L1196" i="1"/>
  <c r="I1196" i="1"/>
  <c r="L1197" i="1"/>
  <c r="I1197" i="1"/>
  <c r="L1198" i="1"/>
  <c r="I1198" i="1"/>
  <c r="L1199" i="1"/>
  <c r="I1199" i="1"/>
  <c r="L1200" i="1"/>
  <c r="I1200" i="1"/>
  <c r="L1201" i="1"/>
  <c r="I1201" i="1"/>
  <c r="L1202" i="1"/>
  <c r="I1202" i="1"/>
  <c r="L1203" i="1"/>
  <c r="I1203" i="1"/>
  <c r="L1204" i="1"/>
  <c r="I1204" i="1"/>
  <c r="L1205" i="1"/>
  <c r="I1205" i="1"/>
  <c r="L1206" i="1"/>
  <c r="I1206" i="1"/>
  <c r="L1207" i="1"/>
  <c r="I1207" i="1"/>
  <c r="L1208" i="1"/>
  <c r="I1208" i="1"/>
  <c r="L1209" i="1"/>
  <c r="I1209" i="1"/>
  <c r="L1210" i="1"/>
  <c r="I1210" i="1"/>
  <c r="L1211" i="1"/>
  <c r="I1211" i="1"/>
  <c r="L1212" i="1"/>
  <c r="I1212" i="1"/>
  <c r="L1213" i="1"/>
  <c r="I1213" i="1"/>
  <c r="L1214" i="1"/>
  <c r="I1214" i="1"/>
  <c r="L1215" i="1"/>
  <c r="I1215" i="1"/>
  <c r="L1216" i="1"/>
  <c r="I1216" i="1"/>
  <c r="L1217" i="1"/>
  <c r="I1217" i="1"/>
  <c r="L1218" i="1"/>
  <c r="I1218" i="1"/>
  <c r="L1219" i="1"/>
  <c r="I1219" i="1"/>
  <c r="L1220" i="1"/>
  <c r="I1220" i="1"/>
  <c r="L1221" i="1"/>
  <c r="I1221" i="1"/>
  <c r="L1222" i="1"/>
  <c r="I1222" i="1"/>
  <c r="L1223" i="1"/>
  <c r="I1223" i="1"/>
  <c r="L1224" i="1"/>
  <c r="I1224" i="1"/>
  <c r="L1225" i="1"/>
  <c r="I1225" i="1"/>
  <c r="L1226" i="1"/>
  <c r="I1226" i="1"/>
  <c r="L1227" i="1"/>
  <c r="I1227" i="1"/>
  <c r="L1228" i="1"/>
  <c r="I1228" i="1"/>
  <c r="L1229" i="1"/>
  <c r="I1229" i="1"/>
  <c r="L1230" i="1"/>
  <c r="I1230" i="1"/>
  <c r="L1231" i="1"/>
  <c r="I1231" i="1"/>
  <c r="L1232" i="1"/>
  <c r="I1232" i="1"/>
  <c r="L1233" i="1"/>
  <c r="I1233" i="1"/>
  <c r="L1234" i="1"/>
  <c r="I1234" i="1"/>
  <c r="L1235" i="1"/>
  <c r="I1235" i="1"/>
  <c r="L1236" i="1"/>
  <c r="I1236" i="1"/>
  <c r="L1237" i="1"/>
  <c r="I1237" i="1"/>
  <c r="L1238" i="1"/>
  <c r="I1238" i="1"/>
  <c r="L1239" i="1"/>
  <c r="I1239" i="1"/>
  <c r="L1240" i="1"/>
  <c r="I1240" i="1"/>
  <c r="L1241" i="1"/>
  <c r="I1241" i="1"/>
  <c r="L1242" i="1"/>
  <c r="I1242" i="1"/>
  <c r="L1243" i="1"/>
  <c r="I1243" i="1"/>
  <c r="L1244" i="1"/>
  <c r="I1244" i="1"/>
  <c r="L1245" i="1"/>
  <c r="I1245" i="1"/>
  <c r="L1246" i="1"/>
  <c r="I1246" i="1"/>
  <c r="L1247" i="1"/>
  <c r="I1247" i="1"/>
  <c r="L1248" i="1"/>
  <c r="I1248" i="1"/>
  <c r="L1249" i="1"/>
  <c r="I1249" i="1"/>
  <c r="L1250" i="1"/>
  <c r="I1250" i="1"/>
  <c r="L1251" i="1"/>
  <c r="I1251" i="1"/>
  <c r="L1252" i="1"/>
  <c r="I1252" i="1"/>
  <c r="L1253" i="1"/>
  <c r="I1253" i="1"/>
  <c r="L1254" i="1"/>
  <c r="I1254" i="1"/>
  <c r="L1255" i="1"/>
  <c r="I1255" i="1"/>
  <c r="L1256" i="1"/>
  <c r="I1256" i="1"/>
  <c r="L1257" i="1"/>
  <c r="I1257" i="1"/>
  <c r="L1258" i="1"/>
  <c r="I1258" i="1"/>
  <c r="L1259" i="1"/>
  <c r="I1259" i="1"/>
  <c r="L1260" i="1"/>
  <c r="I1260" i="1"/>
  <c r="L1261" i="1"/>
  <c r="I1261" i="1"/>
  <c r="L1262" i="1"/>
  <c r="I1262" i="1"/>
  <c r="L1263" i="1"/>
  <c r="I1263" i="1"/>
  <c r="L1264" i="1"/>
  <c r="I1264" i="1"/>
  <c r="L1265" i="1"/>
  <c r="I1265" i="1"/>
  <c r="L1266" i="1"/>
  <c r="I1266" i="1"/>
  <c r="L1267" i="1"/>
  <c r="I1267" i="1"/>
  <c r="L1268" i="1"/>
  <c r="I1268" i="1"/>
  <c r="L1269" i="1"/>
  <c r="I1269" i="1"/>
  <c r="L1270" i="1"/>
  <c r="I1270" i="1"/>
  <c r="L1271" i="1"/>
  <c r="I1271" i="1"/>
  <c r="L1272" i="1"/>
  <c r="I1272" i="1"/>
  <c r="L1273" i="1"/>
  <c r="I1273" i="1"/>
  <c r="L1274" i="1"/>
  <c r="I1274" i="1"/>
  <c r="L1275" i="1"/>
  <c r="I1275" i="1"/>
  <c r="L1276" i="1"/>
  <c r="I1276" i="1"/>
  <c r="L1277" i="1"/>
  <c r="I1277" i="1"/>
  <c r="L1278" i="1"/>
  <c r="I1278" i="1"/>
  <c r="L1279" i="1"/>
  <c r="I1279" i="1"/>
  <c r="L1280" i="1"/>
  <c r="I1280" i="1"/>
  <c r="L1281" i="1"/>
  <c r="I1281" i="1"/>
  <c r="L1282" i="1"/>
  <c r="I1282" i="1"/>
  <c r="L1283" i="1"/>
  <c r="I1283" i="1"/>
  <c r="L1284" i="1"/>
  <c r="I1284" i="1"/>
  <c r="L1285" i="1"/>
  <c r="I1285" i="1"/>
  <c r="L1286" i="1"/>
  <c r="I1286" i="1"/>
  <c r="L1287" i="1"/>
  <c r="I1287" i="1"/>
  <c r="L1288" i="1"/>
  <c r="I1288" i="1"/>
  <c r="L1289" i="1"/>
  <c r="I1289" i="1"/>
  <c r="L1290" i="1"/>
  <c r="I1290" i="1"/>
  <c r="L1291" i="1"/>
  <c r="I1291" i="1"/>
  <c r="L1292" i="1"/>
  <c r="I1292" i="1"/>
  <c r="L1293" i="1"/>
  <c r="I1293" i="1"/>
  <c r="L1294" i="1"/>
  <c r="I1294" i="1"/>
  <c r="L1295" i="1"/>
  <c r="I1295" i="1"/>
  <c r="L1296" i="1"/>
  <c r="I1296" i="1"/>
  <c r="L1297" i="1"/>
  <c r="I1297" i="1"/>
  <c r="L1298" i="1"/>
  <c r="I1298" i="1"/>
  <c r="L1299" i="1"/>
  <c r="I1299" i="1"/>
  <c r="L1300" i="1"/>
  <c r="I1300" i="1"/>
  <c r="L1301" i="1"/>
  <c r="I1301" i="1"/>
  <c r="L1302" i="1"/>
  <c r="I1302" i="1"/>
  <c r="L1303" i="1"/>
  <c r="I1303" i="1"/>
  <c r="L1304" i="1"/>
  <c r="I1304" i="1"/>
  <c r="L1305" i="1"/>
  <c r="I1305" i="1"/>
  <c r="L1306" i="1"/>
  <c r="I1306" i="1"/>
  <c r="L1307" i="1"/>
  <c r="I1307" i="1"/>
  <c r="L1308" i="1"/>
  <c r="I1308" i="1"/>
  <c r="L1309" i="1"/>
  <c r="I1309" i="1"/>
  <c r="L1310" i="1"/>
  <c r="I1310" i="1"/>
  <c r="L1311" i="1"/>
  <c r="I1311" i="1"/>
  <c r="L1312" i="1"/>
  <c r="I1312" i="1"/>
  <c r="L1313" i="1"/>
  <c r="I1313" i="1"/>
  <c r="L1314" i="1"/>
  <c r="I1314" i="1"/>
  <c r="L1315" i="1"/>
  <c r="I1315" i="1"/>
  <c r="L1316" i="1"/>
  <c r="I1316" i="1"/>
  <c r="L1317" i="1"/>
  <c r="I1317" i="1"/>
  <c r="L1318" i="1"/>
  <c r="I1318" i="1"/>
  <c r="L1319" i="1"/>
  <c r="I1319" i="1"/>
  <c r="L1320" i="1"/>
  <c r="I1320" i="1"/>
  <c r="L1321" i="1"/>
  <c r="I1321" i="1"/>
  <c r="L1322" i="1"/>
  <c r="I1322" i="1"/>
  <c r="L1323" i="1"/>
  <c r="I1323" i="1"/>
  <c r="L1324" i="1"/>
  <c r="I1324" i="1"/>
  <c r="L1325" i="1"/>
  <c r="I1325" i="1"/>
  <c r="L1326" i="1"/>
  <c r="I1326" i="1"/>
  <c r="L1327" i="1"/>
  <c r="I1327" i="1"/>
  <c r="L1328" i="1"/>
  <c r="I1328" i="1"/>
  <c r="L1329" i="1"/>
  <c r="I1329" i="1"/>
  <c r="L1330" i="1"/>
  <c r="I1330" i="1"/>
  <c r="L1331" i="1"/>
  <c r="I1331" i="1"/>
  <c r="L1332" i="1"/>
  <c r="I1332" i="1"/>
  <c r="L1333" i="1"/>
  <c r="I1333" i="1"/>
  <c r="L1334" i="1"/>
  <c r="I1334" i="1"/>
  <c r="L1335" i="1"/>
  <c r="I1335" i="1"/>
  <c r="L1336" i="1"/>
  <c r="I1336" i="1"/>
  <c r="L1337" i="1"/>
  <c r="I1337" i="1"/>
  <c r="L1338" i="1"/>
  <c r="I1338" i="1"/>
  <c r="L1339" i="1"/>
  <c r="I1339" i="1"/>
  <c r="L1340" i="1"/>
  <c r="I1340" i="1"/>
  <c r="L1341" i="1"/>
  <c r="I1341" i="1"/>
  <c r="L1342" i="1"/>
  <c r="I1342" i="1"/>
  <c r="L1343" i="1"/>
  <c r="I1343" i="1"/>
  <c r="L1344" i="1"/>
  <c r="I1344" i="1"/>
  <c r="L1345" i="1"/>
  <c r="I1345" i="1"/>
  <c r="L1346" i="1"/>
  <c r="I1346" i="1"/>
  <c r="L1347" i="1"/>
  <c r="I1347" i="1"/>
  <c r="L1348" i="1"/>
  <c r="I1348" i="1"/>
  <c r="L1349" i="1"/>
  <c r="I1349" i="1"/>
  <c r="L1350" i="1"/>
  <c r="I1350" i="1"/>
  <c r="L1351" i="1"/>
  <c r="I1351" i="1"/>
  <c r="L1352" i="1"/>
  <c r="I1352" i="1"/>
  <c r="L1353" i="1"/>
  <c r="I1353" i="1"/>
  <c r="L1354" i="1"/>
  <c r="I1354" i="1"/>
  <c r="L1355" i="1"/>
  <c r="I1355" i="1"/>
  <c r="L1356" i="1"/>
  <c r="I1356" i="1"/>
  <c r="L1357" i="1"/>
  <c r="I1357" i="1"/>
  <c r="L1358" i="1"/>
  <c r="I1358" i="1"/>
  <c r="L1359" i="1"/>
  <c r="I1359" i="1"/>
  <c r="L1360" i="1"/>
  <c r="I1360" i="1"/>
  <c r="L1361" i="1"/>
  <c r="I1361" i="1"/>
  <c r="L1362" i="1"/>
  <c r="I1362" i="1"/>
  <c r="L1363" i="1"/>
  <c r="I1363" i="1"/>
  <c r="L1364" i="1"/>
  <c r="I1364" i="1"/>
  <c r="L1365" i="1"/>
  <c r="I1365" i="1"/>
  <c r="L1366" i="1"/>
  <c r="I1366" i="1"/>
  <c r="L1367" i="1"/>
  <c r="I1367" i="1"/>
  <c r="L1368" i="1"/>
  <c r="I1368" i="1"/>
  <c r="L1369" i="1"/>
  <c r="I1369" i="1"/>
  <c r="L1370" i="1"/>
  <c r="I1370" i="1"/>
  <c r="L1371" i="1"/>
  <c r="I1371" i="1"/>
  <c r="L1372" i="1"/>
  <c r="I1372" i="1"/>
  <c r="L1373" i="1"/>
  <c r="I1373" i="1"/>
  <c r="L1374" i="1"/>
  <c r="I1374" i="1"/>
  <c r="L1375" i="1"/>
  <c r="I1375" i="1"/>
  <c r="L1376" i="1"/>
  <c r="I1376" i="1"/>
  <c r="L1377" i="1"/>
  <c r="I1377" i="1"/>
  <c r="L1378" i="1"/>
  <c r="I1378" i="1"/>
  <c r="L1379" i="1"/>
  <c r="I1379" i="1"/>
  <c r="L1380" i="1"/>
  <c r="I1380" i="1"/>
  <c r="L1381" i="1"/>
  <c r="I1381" i="1"/>
  <c r="L1382" i="1"/>
  <c r="I1382" i="1"/>
  <c r="L1383" i="1"/>
  <c r="I1383" i="1"/>
  <c r="L1384" i="1"/>
  <c r="I1384" i="1"/>
  <c r="L1385" i="1"/>
  <c r="I1385" i="1"/>
  <c r="L1386" i="1"/>
  <c r="I1386" i="1"/>
  <c r="L1387" i="1"/>
  <c r="I1387" i="1"/>
  <c r="L1388" i="1"/>
  <c r="I1388" i="1"/>
  <c r="L1389" i="1"/>
  <c r="I1389" i="1"/>
  <c r="L1390" i="1"/>
  <c r="I1390" i="1"/>
  <c r="L1391" i="1"/>
  <c r="I1391" i="1"/>
  <c r="L1392" i="1"/>
  <c r="I1392" i="1"/>
  <c r="L1393" i="1"/>
  <c r="I1393" i="1"/>
  <c r="L1394" i="1"/>
  <c r="I1394" i="1"/>
  <c r="L1395" i="1"/>
  <c r="I1395" i="1"/>
  <c r="L1396" i="1"/>
  <c r="I1396" i="1"/>
  <c r="L1397" i="1"/>
  <c r="I1397" i="1"/>
  <c r="L1398" i="1"/>
  <c r="I1398" i="1"/>
  <c r="L1399" i="1"/>
  <c r="I1399" i="1"/>
  <c r="L1400" i="1"/>
  <c r="I1400" i="1"/>
  <c r="L1401" i="1"/>
  <c r="I1401" i="1"/>
  <c r="L1402" i="1"/>
  <c r="I1402" i="1"/>
  <c r="L1403" i="1"/>
  <c r="I1403" i="1"/>
  <c r="L1404" i="1"/>
  <c r="I1404" i="1"/>
  <c r="L1405" i="1"/>
  <c r="I1405" i="1"/>
  <c r="L1406" i="1"/>
  <c r="I1406" i="1"/>
  <c r="L1407" i="1"/>
  <c r="I1407" i="1"/>
  <c r="L1408" i="1"/>
  <c r="I1408" i="1"/>
  <c r="L1409" i="1"/>
  <c r="I1409" i="1"/>
  <c r="L1410" i="1"/>
  <c r="I1410" i="1"/>
  <c r="L1411" i="1"/>
  <c r="I1411" i="1"/>
  <c r="L1412" i="1"/>
  <c r="I1412" i="1"/>
  <c r="L1413" i="1"/>
  <c r="I1413" i="1"/>
  <c r="L1414" i="1"/>
  <c r="I1414" i="1"/>
  <c r="L1415" i="1"/>
  <c r="I1415" i="1"/>
  <c r="L1416" i="1"/>
  <c r="I1416" i="1"/>
  <c r="L1417" i="1"/>
  <c r="I1417" i="1"/>
  <c r="L1418" i="1"/>
  <c r="I1418" i="1"/>
  <c r="L1419" i="1"/>
  <c r="I1419" i="1"/>
  <c r="L1420" i="1"/>
  <c r="I1420" i="1"/>
  <c r="L1421" i="1"/>
  <c r="I1421" i="1"/>
  <c r="L1422" i="1"/>
  <c r="I1422" i="1"/>
  <c r="L1423" i="1"/>
  <c r="I1423" i="1"/>
  <c r="L1424" i="1"/>
  <c r="I1424" i="1"/>
  <c r="L1425" i="1"/>
  <c r="I1425" i="1"/>
  <c r="L1426" i="1"/>
  <c r="I1426" i="1"/>
  <c r="L1427" i="1"/>
  <c r="I1427" i="1"/>
  <c r="L1428" i="1"/>
  <c r="I1428" i="1"/>
  <c r="L1429" i="1"/>
  <c r="I1429" i="1"/>
  <c r="L1430" i="1"/>
  <c r="I1430" i="1"/>
  <c r="L1431" i="1"/>
  <c r="I1431" i="1"/>
  <c r="L1432" i="1"/>
  <c r="I1432" i="1"/>
  <c r="L1433" i="1"/>
  <c r="I1433" i="1"/>
  <c r="L1434" i="1"/>
  <c r="I1434" i="1"/>
  <c r="L1435" i="1"/>
  <c r="I1435" i="1"/>
  <c r="L1436" i="1"/>
  <c r="I1436" i="1"/>
  <c r="L1437" i="1"/>
  <c r="I1437" i="1"/>
  <c r="L1438" i="1"/>
  <c r="I1438" i="1"/>
  <c r="L1439" i="1"/>
  <c r="I1439" i="1"/>
  <c r="L1440" i="1"/>
  <c r="I1440" i="1"/>
  <c r="L1441" i="1"/>
  <c r="I1441" i="1"/>
  <c r="L1442" i="1"/>
  <c r="I1442" i="1"/>
  <c r="L1443" i="1"/>
  <c r="I1443" i="1"/>
  <c r="L1444" i="1"/>
  <c r="I1444" i="1"/>
  <c r="L1445" i="1"/>
  <c r="I1445" i="1"/>
  <c r="L1446" i="1"/>
  <c r="I1446" i="1"/>
  <c r="L1447" i="1"/>
  <c r="I1447" i="1"/>
  <c r="L1448" i="1"/>
  <c r="I1448" i="1"/>
  <c r="L1449" i="1"/>
  <c r="I1449" i="1"/>
  <c r="L1450" i="1"/>
  <c r="I1450" i="1"/>
  <c r="L1451" i="1"/>
  <c r="I1451" i="1"/>
  <c r="L1452" i="1"/>
  <c r="I1452" i="1"/>
  <c r="L1453" i="1"/>
  <c r="I1453" i="1"/>
  <c r="L1454" i="1"/>
  <c r="I1454" i="1"/>
  <c r="L1455" i="1"/>
  <c r="I1455" i="1"/>
  <c r="L1456" i="1"/>
  <c r="I1456" i="1"/>
  <c r="L1457" i="1"/>
  <c r="I1457" i="1"/>
  <c r="L1458" i="1"/>
  <c r="I1458" i="1"/>
  <c r="L1459" i="1"/>
  <c r="I1459" i="1"/>
  <c r="L1460" i="1"/>
  <c r="I1460" i="1"/>
  <c r="L1461" i="1"/>
  <c r="I1461" i="1"/>
  <c r="L1462" i="1"/>
  <c r="I1462" i="1"/>
  <c r="L1463" i="1"/>
  <c r="I1463" i="1"/>
  <c r="L1464" i="1"/>
  <c r="I1464" i="1"/>
  <c r="L1465" i="1"/>
  <c r="I1465" i="1"/>
  <c r="L1466" i="1"/>
  <c r="I1466" i="1"/>
  <c r="L1467" i="1"/>
  <c r="I1467" i="1"/>
  <c r="L1468" i="1"/>
  <c r="I1468" i="1"/>
  <c r="L1469" i="1"/>
  <c r="I1469" i="1"/>
  <c r="L1470" i="1"/>
  <c r="I1470" i="1"/>
  <c r="L1471" i="1"/>
  <c r="I1471" i="1"/>
  <c r="L1472" i="1"/>
  <c r="I1472" i="1"/>
  <c r="L1473" i="1"/>
  <c r="I1473" i="1"/>
  <c r="L1474" i="1"/>
  <c r="I1474" i="1"/>
  <c r="L1475" i="1"/>
  <c r="I1475" i="1"/>
  <c r="L1476" i="1"/>
  <c r="I1476" i="1"/>
  <c r="L1477" i="1"/>
  <c r="I1477" i="1"/>
  <c r="L1478" i="1"/>
  <c r="I1478" i="1"/>
  <c r="L1479" i="1"/>
  <c r="I1479" i="1"/>
  <c r="L1480" i="1"/>
  <c r="I1480" i="1"/>
  <c r="L1481" i="1"/>
  <c r="I1481" i="1"/>
  <c r="L1482" i="1"/>
  <c r="I1482" i="1"/>
  <c r="L1483" i="1"/>
  <c r="I1483" i="1"/>
  <c r="L1484" i="1"/>
  <c r="I1484" i="1"/>
  <c r="L1485" i="1"/>
  <c r="I1485" i="1"/>
  <c r="L1486" i="1"/>
  <c r="I1486" i="1"/>
  <c r="L1487" i="1"/>
  <c r="I1487" i="1"/>
  <c r="L1488" i="1"/>
  <c r="I1488" i="1"/>
  <c r="L1489" i="1"/>
  <c r="I1489" i="1"/>
  <c r="L1490" i="1"/>
  <c r="I1490" i="1"/>
  <c r="L1491" i="1"/>
  <c r="I1491" i="1"/>
  <c r="L1492" i="1"/>
  <c r="I1492" i="1"/>
  <c r="L1493" i="1"/>
  <c r="I1493" i="1"/>
  <c r="L1494" i="1"/>
  <c r="I1494" i="1"/>
  <c r="L1495" i="1"/>
  <c r="I1495" i="1"/>
  <c r="L1496" i="1"/>
  <c r="I1496" i="1"/>
  <c r="L1497" i="1"/>
  <c r="I1497" i="1"/>
  <c r="L1498" i="1"/>
  <c r="I1498" i="1"/>
  <c r="L1499" i="1"/>
  <c r="I1499" i="1"/>
  <c r="L1500" i="1"/>
  <c r="I1500" i="1"/>
  <c r="L1501" i="1"/>
  <c r="I1501" i="1"/>
  <c r="L1502" i="1"/>
  <c r="I1502" i="1"/>
  <c r="L1503" i="1"/>
  <c r="I1503" i="1"/>
  <c r="L1504" i="1"/>
  <c r="I1504" i="1"/>
  <c r="L1505" i="1"/>
  <c r="I1505" i="1"/>
  <c r="L1506" i="1"/>
  <c r="I1506" i="1"/>
  <c r="L1507" i="1"/>
  <c r="I1507" i="1"/>
  <c r="L1508" i="1"/>
  <c r="I1508" i="1"/>
  <c r="L1509" i="1"/>
  <c r="I1509" i="1"/>
  <c r="L1510" i="1"/>
  <c r="I1510" i="1"/>
  <c r="L1511" i="1"/>
  <c r="I1511" i="1"/>
  <c r="L1512" i="1"/>
  <c r="I1512" i="1"/>
  <c r="L1513" i="1"/>
  <c r="I1513" i="1"/>
  <c r="L1514" i="1"/>
  <c r="I1514" i="1"/>
  <c r="L1515" i="1"/>
  <c r="I1515" i="1"/>
  <c r="L1516" i="1"/>
  <c r="I1516" i="1"/>
  <c r="L1517" i="1"/>
  <c r="I1517" i="1"/>
  <c r="L1518" i="1"/>
  <c r="I1518" i="1"/>
  <c r="L1519" i="1"/>
  <c r="I1519" i="1"/>
  <c r="L1520" i="1"/>
  <c r="I1520" i="1"/>
  <c r="L1521" i="1"/>
  <c r="I1521" i="1"/>
  <c r="L1522" i="1"/>
  <c r="I1522" i="1"/>
  <c r="L1523" i="1"/>
  <c r="I1523" i="1"/>
  <c r="L1524" i="1"/>
  <c r="I1524" i="1"/>
  <c r="L1525" i="1"/>
  <c r="I1525" i="1"/>
  <c r="L1526" i="1"/>
  <c r="I1526" i="1"/>
  <c r="L1527" i="1"/>
  <c r="I1527" i="1"/>
  <c r="L1528" i="1"/>
  <c r="I1528" i="1"/>
  <c r="L1529" i="1"/>
  <c r="I1529" i="1"/>
  <c r="L1530" i="1"/>
  <c r="I1530" i="1"/>
  <c r="L1531" i="1"/>
  <c r="I1531" i="1"/>
  <c r="L1532" i="1"/>
  <c r="I1532" i="1"/>
  <c r="L1533" i="1"/>
  <c r="I1533" i="1"/>
  <c r="L1534" i="1"/>
  <c r="I1534" i="1"/>
  <c r="L1535" i="1"/>
  <c r="I1535" i="1"/>
  <c r="L1536" i="1"/>
  <c r="I1536" i="1"/>
  <c r="L1537" i="1"/>
  <c r="I1537" i="1"/>
  <c r="L1538" i="1"/>
  <c r="I1538" i="1"/>
  <c r="L1539" i="1"/>
  <c r="I1539" i="1"/>
  <c r="L1540" i="1"/>
  <c r="I1540" i="1"/>
  <c r="L1541" i="1"/>
  <c r="I1541" i="1"/>
  <c r="L1542" i="1"/>
  <c r="I1542" i="1"/>
  <c r="L1543" i="1"/>
  <c r="I1543" i="1"/>
  <c r="L1544" i="1"/>
  <c r="I1544" i="1"/>
  <c r="L1545" i="1"/>
  <c r="I1545" i="1"/>
  <c r="L1546" i="1"/>
  <c r="I1546" i="1"/>
  <c r="L1547" i="1"/>
  <c r="I1547" i="1"/>
  <c r="L1548" i="1"/>
  <c r="I1548" i="1"/>
  <c r="L1549" i="1"/>
  <c r="I1549" i="1"/>
  <c r="L1550" i="1"/>
  <c r="I1550" i="1"/>
  <c r="L1551" i="1"/>
  <c r="I1551" i="1"/>
  <c r="L1552" i="1"/>
  <c r="I1552" i="1"/>
  <c r="L1553" i="1"/>
  <c r="I1553" i="1"/>
  <c r="L1554" i="1"/>
  <c r="I1554" i="1"/>
  <c r="L1555" i="1"/>
  <c r="I1555" i="1"/>
  <c r="L1556" i="1"/>
  <c r="I1556" i="1"/>
  <c r="L1557" i="1"/>
  <c r="I1557" i="1"/>
  <c r="L1558" i="1"/>
  <c r="I1558" i="1"/>
  <c r="L1559" i="1"/>
  <c r="I1559" i="1"/>
  <c r="L1560" i="1"/>
  <c r="I1560" i="1"/>
  <c r="L1561" i="1"/>
  <c r="I1561" i="1"/>
  <c r="L1562" i="1"/>
  <c r="I1562" i="1"/>
  <c r="L1563" i="1"/>
  <c r="I1563" i="1"/>
  <c r="L1564" i="1"/>
  <c r="I1564" i="1"/>
  <c r="L1565" i="1"/>
  <c r="I1565" i="1"/>
  <c r="L1566" i="1"/>
  <c r="I1566" i="1"/>
  <c r="L1567" i="1"/>
  <c r="I1567" i="1"/>
  <c r="L1568" i="1"/>
  <c r="I1568" i="1"/>
  <c r="L1569" i="1"/>
  <c r="I1569" i="1"/>
  <c r="L1570" i="1"/>
  <c r="I1570" i="1"/>
  <c r="L1571" i="1"/>
  <c r="I1571" i="1"/>
  <c r="L1572" i="1"/>
  <c r="I1572" i="1"/>
  <c r="L1573" i="1"/>
  <c r="I1573" i="1"/>
  <c r="L1574" i="1"/>
  <c r="I1574" i="1"/>
  <c r="L1575" i="1"/>
  <c r="I1575" i="1"/>
  <c r="L1576" i="1"/>
  <c r="I1576" i="1"/>
  <c r="L1577" i="1"/>
  <c r="I1577" i="1"/>
  <c r="L1578" i="1"/>
  <c r="I1578" i="1"/>
  <c r="L1579" i="1"/>
  <c r="I1579" i="1"/>
  <c r="L1580" i="1"/>
  <c r="I1580" i="1"/>
  <c r="L1581" i="1"/>
  <c r="I1581" i="1"/>
  <c r="L1582" i="1"/>
  <c r="I1582" i="1"/>
  <c r="L1583" i="1"/>
  <c r="I1583" i="1"/>
  <c r="L1584" i="1"/>
  <c r="I1584" i="1"/>
  <c r="L1585" i="1"/>
  <c r="I1585" i="1"/>
  <c r="L1586" i="1"/>
  <c r="I1586" i="1"/>
  <c r="L1587" i="1"/>
  <c r="I1587" i="1"/>
  <c r="L1588" i="1"/>
  <c r="I1588" i="1"/>
  <c r="L1589" i="1"/>
  <c r="I1589" i="1"/>
  <c r="L1590" i="1"/>
  <c r="I1590" i="1"/>
  <c r="L1591" i="1"/>
  <c r="I1591" i="1"/>
  <c r="L1592" i="1"/>
  <c r="I1592" i="1"/>
  <c r="L1593" i="1"/>
  <c r="I1593" i="1"/>
  <c r="L1594" i="1"/>
  <c r="I1594" i="1"/>
  <c r="L1595" i="1"/>
  <c r="I1595" i="1"/>
  <c r="L1596" i="1"/>
  <c r="I1596" i="1"/>
  <c r="L1597" i="1"/>
  <c r="I1597" i="1"/>
  <c r="L1598" i="1"/>
  <c r="I1598" i="1"/>
  <c r="L1599" i="1"/>
  <c r="I1599" i="1"/>
  <c r="L1600" i="1"/>
  <c r="I1600" i="1"/>
  <c r="L1601" i="1"/>
  <c r="I1601" i="1"/>
  <c r="L1602" i="1"/>
  <c r="I1602" i="1"/>
  <c r="L1603" i="1"/>
  <c r="I1603" i="1"/>
  <c r="L1604" i="1"/>
  <c r="I1604" i="1"/>
  <c r="L1605" i="1"/>
  <c r="I1605" i="1"/>
  <c r="L1606" i="1"/>
  <c r="I1606" i="1"/>
  <c r="L1607" i="1"/>
  <c r="I1607" i="1"/>
  <c r="L1608" i="1"/>
  <c r="I1608" i="1"/>
  <c r="L1609" i="1"/>
  <c r="I1609" i="1"/>
  <c r="L1610" i="1"/>
  <c r="I1610" i="1"/>
  <c r="L1611" i="1"/>
  <c r="I1611" i="1"/>
  <c r="L1612" i="1"/>
  <c r="I1612" i="1"/>
  <c r="L1613" i="1"/>
  <c r="I1613" i="1"/>
  <c r="L1614" i="1"/>
  <c r="I1614" i="1"/>
  <c r="L1615" i="1"/>
  <c r="I1615" i="1"/>
  <c r="L1616" i="1"/>
  <c r="I1616" i="1"/>
  <c r="L1617" i="1"/>
  <c r="I1617" i="1"/>
  <c r="L1618" i="1"/>
  <c r="I1618" i="1"/>
  <c r="L1619" i="1"/>
  <c r="I1619" i="1"/>
  <c r="L1620" i="1"/>
  <c r="I1620" i="1"/>
  <c r="L1621" i="1"/>
  <c r="I1621" i="1"/>
  <c r="L1622" i="1"/>
  <c r="I1622" i="1"/>
  <c r="L1623" i="1"/>
  <c r="I1623" i="1"/>
  <c r="L1624" i="1"/>
  <c r="I1624" i="1"/>
  <c r="L1625" i="1"/>
  <c r="I1625" i="1"/>
  <c r="L1626" i="1"/>
  <c r="I1626" i="1"/>
  <c r="L1627" i="1"/>
  <c r="I1627" i="1"/>
  <c r="L1628" i="1"/>
  <c r="I1628" i="1"/>
  <c r="L1629" i="1"/>
  <c r="I1629" i="1"/>
  <c r="L1630" i="1"/>
  <c r="I1630" i="1"/>
  <c r="L1631" i="1"/>
  <c r="I1631" i="1"/>
  <c r="L1632" i="1"/>
  <c r="I1632" i="1"/>
  <c r="L1633" i="1"/>
  <c r="I1633" i="1"/>
  <c r="L1634" i="1"/>
  <c r="I1634" i="1"/>
  <c r="L1635" i="1"/>
  <c r="I1635" i="1"/>
  <c r="L1636" i="1"/>
  <c r="I1636" i="1"/>
  <c r="L1637" i="1"/>
  <c r="I1637" i="1"/>
  <c r="L1638" i="1"/>
  <c r="I1638" i="1"/>
  <c r="L1639" i="1"/>
  <c r="I1639" i="1"/>
  <c r="L1640" i="1"/>
  <c r="I1640" i="1"/>
  <c r="L1641" i="1"/>
  <c r="I1641" i="1"/>
  <c r="L1642" i="1"/>
  <c r="I1642" i="1"/>
  <c r="L1643" i="1"/>
  <c r="I1643" i="1"/>
  <c r="L1644" i="1"/>
  <c r="I1644" i="1"/>
  <c r="L1645" i="1"/>
  <c r="I1645" i="1"/>
  <c r="L1646" i="1"/>
  <c r="I1646" i="1"/>
  <c r="L1647" i="1"/>
  <c r="I1647" i="1"/>
  <c r="L1648" i="1"/>
  <c r="I1648" i="1"/>
  <c r="L1649" i="1"/>
  <c r="I1649" i="1"/>
  <c r="L1650" i="1"/>
  <c r="I1650" i="1"/>
  <c r="L1651" i="1"/>
  <c r="I1651" i="1"/>
  <c r="L1652" i="1"/>
  <c r="I1652" i="1"/>
  <c r="L1653" i="1"/>
  <c r="I1653" i="1"/>
  <c r="L1654" i="1"/>
  <c r="I1654" i="1"/>
  <c r="L1655" i="1"/>
  <c r="I1655" i="1"/>
  <c r="L1656" i="1"/>
  <c r="I1656" i="1"/>
  <c r="L1657" i="1"/>
  <c r="I1657" i="1"/>
  <c r="L1658" i="1"/>
  <c r="I1658" i="1"/>
  <c r="L1659" i="1"/>
  <c r="I1659" i="1"/>
  <c r="L1660" i="1"/>
  <c r="I1660" i="1"/>
  <c r="L1661" i="1"/>
  <c r="I1661" i="1"/>
  <c r="L1662" i="1"/>
  <c r="I1662" i="1"/>
  <c r="L1663" i="1"/>
  <c r="I1663" i="1"/>
  <c r="L1664" i="1"/>
  <c r="I1664" i="1"/>
  <c r="L1665" i="1"/>
  <c r="I1665" i="1"/>
  <c r="L1666" i="1"/>
  <c r="I1666" i="1"/>
  <c r="L1667" i="1"/>
  <c r="I1667" i="1"/>
  <c r="L1668" i="1"/>
  <c r="I1668" i="1"/>
  <c r="L1669" i="1"/>
  <c r="I1669" i="1"/>
  <c r="L1670" i="1"/>
  <c r="I1670" i="1"/>
  <c r="L1671" i="1"/>
  <c r="I1671" i="1"/>
  <c r="L1672" i="1"/>
  <c r="I1672" i="1"/>
  <c r="L1673" i="1"/>
  <c r="I1673" i="1"/>
  <c r="L1674" i="1"/>
  <c r="I1674" i="1"/>
  <c r="L1675" i="1"/>
  <c r="I1675" i="1"/>
  <c r="L1676" i="1"/>
  <c r="I1676" i="1"/>
  <c r="L1677" i="1"/>
  <c r="I1677" i="1"/>
  <c r="L1678" i="1"/>
  <c r="I1678" i="1"/>
  <c r="L1679" i="1"/>
  <c r="I1679" i="1"/>
  <c r="L1680" i="1"/>
  <c r="I1680" i="1"/>
  <c r="L1681" i="1"/>
  <c r="I1681" i="1"/>
  <c r="L1682" i="1"/>
  <c r="I1682" i="1"/>
  <c r="L1683" i="1"/>
  <c r="I1683" i="1"/>
  <c r="L1684" i="1"/>
  <c r="I1684" i="1"/>
  <c r="L1685" i="1"/>
  <c r="I1685" i="1"/>
  <c r="L1686" i="1"/>
  <c r="I1686" i="1"/>
  <c r="L1687" i="1"/>
  <c r="I1687" i="1"/>
  <c r="L1688" i="1"/>
  <c r="I1688" i="1"/>
  <c r="L1689" i="1"/>
  <c r="I1689" i="1"/>
  <c r="L1690" i="1"/>
  <c r="I1690" i="1"/>
  <c r="L1691" i="1"/>
  <c r="I1691" i="1"/>
  <c r="L1692" i="1"/>
  <c r="I1692" i="1"/>
  <c r="L1693" i="1"/>
  <c r="I1693" i="1"/>
  <c r="L1694" i="1"/>
  <c r="I1694" i="1"/>
  <c r="L1695" i="1"/>
  <c r="I1695" i="1"/>
  <c r="L1696" i="1"/>
  <c r="I1696" i="1"/>
  <c r="L1697" i="1"/>
  <c r="I1697" i="1"/>
  <c r="L1698" i="1"/>
  <c r="I1698" i="1"/>
  <c r="L1699" i="1"/>
  <c r="I1699" i="1"/>
  <c r="L1700" i="1"/>
  <c r="I1700" i="1"/>
  <c r="L1701" i="1"/>
  <c r="I1701" i="1"/>
  <c r="L1702" i="1"/>
  <c r="I1702" i="1"/>
  <c r="L1703" i="1"/>
  <c r="I1703" i="1"/>
  <c r="L1704" i="1"/>
  <c r="I1704" i="1"/>
  <c r="L1705" i="1"/>
  <c r="I1705" i="1"/>
  <c r="L1706" i="1"/>
  <c r="I1706" i="1"/>
  <c r="L1707" i="1"/>
  <c r="I1707" i="1"/>
  <c r="L1708" i="1"/>
  <c r="I1708" i="1"/>
  <c r="L1709" i="1"/>
  <c r="I1709" i="1"/>
  <c r="L1710" i="1"/>
  <c r="I1710" i="1"/>
  <c r="L1711" i="1"/>
  <c r="I1711" i="1"/>
  <c r="L1712" i="1"/>
  <c r="I1712" i="1"/>
  <c r="L1713" i="1"/>
  <c r="I1713" i="1"/>
  <c r="L1714" i="1"/>
  <c r="I1714" i="1"/>
  <c r="L1715" i="1"/>
  <c r="I1715" i="1"/>
  <c r="L1716" i="1"/>
  <c r="I1716" i="1"/>
  <c r="L1717" i="1"/>
  <c r="I1717" i="1"/>
  <c r="L1718" i="1"/>
  <c r="I1718" i="1"/>
  <c r="L1719" i="1"/>
  <c r="I1719" i="1"/>
  <c r="L1720" i="1"/>
  <c r="I1720" i="1"/>
  <c r="L1721" i="1"/>
  <c r="I1721" i="1"/>
  <c r="L1722" i="1"/>
  <c r="I1722" i="1"/>
  <c r="L1723" i="1"/>
  <c r="I1723" i="1"/>
  <c r="L1724" i="1"/>
  <c r="I1724" i="1"/>
  <c r="L1725" i="1"/>
  <c r="I1725" i="1"/>
  <c r="L1726" i="1"/>
  <c r="I1726" i="1"/>
  <c r="L1727" i="1"/>
  <c r="I1727" i="1"/>
  <c r="L1728" i="1"/>
  <c r="I1728" i="1"/>
  <c r="L1729" i="1"/>
  <c r="I1729" i="1"/>
  <c r="L1730" i="1"/>
  <c r="I1730" i="1"/>
  <c r="L1731" i="1"/>
  <c r="I1731" i="1"/>
  <c r="L1732" i="1"/>
  <c r="I1732" i="1"/>
  <c r="L1733" i="1"/>
  <c r="I1733" i="1"/>
  <c r="L1734" i="1"/>
  <c r="I1734" i="1"/>
  <c r="L1735" i="1"/>
  <c r="I1735" i="1"/>
  <c r="L1736" i="1"/>
  <c r="I1736" i="1"/>
  <c r="L1737" i="1"/>
  <c r="I1737" i="1"/>
  <c r="L1738" i="1"/>
  <c r="I1738" i="1"/>
  <c r="L1739" i="1"/>
  <c r="I1739" i="1"/>
  <c r="L1740" i="1"/>
  <c r="I1740" i="1"/>
  <c r="L1741" i="1"/>
  <c r="I1741" i="1"/>
  <c r="L1742" i="1"/>
  <c r="I1742" i="1"/>
  <c r="L1743" i="1"/>
  <c r="I1743" i="1"/>
  <c r="L1744" i="1"/>
  <c r="I1744" i="1"/>
  <c r="L1745" i="1"/>
  <c r="I1745" i="1"/>
  <c r="L1746" i="1"/>
  <c r="I1746" i="1"/>
  <c r="L1747" i="1"/>
  <c r="I1747" i="1"/>
  <c r="L1748" i="1"/>
  <c r="I1748" i="1"/>
  <c r="L1749" i="1"/>
  <c r="I1749" i="1"/>
  <c r="L1750" i="1"/>
  <c r="I1750" i="1"/>
  <c r="L1751" i="1"/>
  <c r="I1751" i="1"/>
  <c r="L1752" i="1"/>
  <c r="I1752" i="1"/>
  <c r="L1753" i="1"/>
  <c r="I1753" i="1"/>
  <c r="L1754" i="1"/>
  <c r="I1754" i="1"/>
  <c r="L1755" i="1"/>
  <c r="I1755" i="1"/>
  <c r="L1756" i="1"/>
  <c r="I1756" i="1"/>
  <c r="L1757" i="1"/>
  <c r="I1757" i="1"/>
  <c r="L1758" i="1"/>
  <c r="I1758" i="1"/>
  <c r="L1759" i="1"/>
  <c r="I1759" i="1"/>
  <c r="L1760" i="1"/>
  <c r="I1760" i="1"/>
  <c r="L1761" i="1"/>
  <c r="I1761" i="1"/>
  <c r="L1762" i="1"/>
  <c r="I1762" i="1"/>
  <c r="L1763" i="1"/>
  <c r="I1763" i="1"/>
  <c r="L1764" i="1"/>
  <c r="I1764" i="1"/>
  <c r="L1765" i="1"/>
  <c r="I1765" i="1"/>
  <c r="L1766" i="1"/>
  <c r="I1766" i="1"/>
  <c r="L1767" i="1"/>
  <c r="I1767" i="1"/>
  <c r="L1768" i="1"/>
  <c r="I1768" i="1"/>
  <c r="L1769" i="1"/>
  <c r="I1769" i="1"/>
  <c r="L1770" i="1"/>
  <c r="I1770" i="1"/>
  <c r="L1771" i="1"/>
  <c r="I1771" i="1"/>
  <c r="L1772" i="1"/>
  <c r="I1772" i="1"/>
  <c r="L1773" i="1"/>
  <c r="I1773" i="1"/>
  <c r="L1774" i="1"/>
  <c r="I1774" i="1"/>
  <c r="L1775" i="1"/>
  <c r="I1775" i="1"/>
  <c r="L1776" i="1"/>
  <c r="I1776" i="1"/>
  <c r="L1777" i="1"/>
  <c r="I1777" i="1"/>
  <c r="L1778" i="1"/>
  <c r="I1778" i="1"/>
  <c r="L1779" i="1"/>
  <c r="I1779" i="1"/>
  <c r="L1780" i="1"/>
  <c r="I1780" i="1"/>
  <c r="L1781" i="1"/>
  <c r="I1781" i="1"/>
  <c r="L1782" i="1"/>
  <c r="I1782" i="1"/>
  <c r="L1783" i="1"/>
  <c r="I1783" i="1"/>
  <c r="L1784" i="1"/>
  <c r="I1784" i="1"/>
  <c r="L1785" i="1"/>
  <c r="I1785" i="1"/>
  <c r="L1786" i="1"/>
  <c r="I1786" i="1"/>
  <c r="L1787" i="1"/>
  <c r="I1787" i="1"/>
  <c r="L1788" i="1"/>
  <c r="I1788" i="1"/>
  <c r="L1789" i="1"/>
  <c r="I1789" i="1"/>
  <c r="L1790" i="1"/>
  <c r="I1790" i="1"/>
  <c r="L1791" i="1"/>
  <c r="I1791" i="1"/>
  <c r="L1792" i="1"/>
  <c r="I1792" i="1"/>
  <c r="L1793" i="1"/>
  <c r="I1793" i="1"/>
  <c r="L1794" i="1"/>
  <c r="I1794" i="1"/>
  <c r="L1795" i="1"/>
  <c r="I1795" i="1"/>
  <c r="L1796" i="1"/>
  <c r="I1796" i="1"/>
  <c r="L1797" i="1"/>
  <c r="I1797" i="1"/>
  <c r="L1798" i="1"/>
  <c r="I1798" i="1"/>
  <c r="L1799" i="1"/>
  <c r="I1799" i="1"/>
  <c r="L1800" i="1"/>
  <c r="I1800" i="1"/>
  <c r="L1801" i="1"/>
  <c r="I1801" i="1"/>
  <c r="L1802" i="1"/>
  <c r="I1802" i="1"/>
  <c r="L1803" i="1"/>
  <c r="I1803" i="1"/>
  <c r="L1804" i="1"/>
  <c r="I1804" i="1"/>
  <c r="L1805" i="1"/>
  <c r="I1805" i="1"/>
  <c r="L1806" i="1"/>
  <c r="I1806" i="1"/>
  <c r="L1807" i="1"/>
  <c r="I1807" i="1"/>
  <c r="L1808" i="1"/>
  <c r="I1808" i="1"/>
  <c r="L1809" i="1"/>
  <c r="I1809" i="1"/>
  <c r="L1810" i="1"/>
  <c r="I1810" i="1"/>
  <c r="L1811" i="1"/>
  <c r="I1811" i="1"/>
  <c r="L1812" i="1"/>
  <c r="I1812" i="1"/>
  <c r="L1813" i="1"/>
  <c r="I1813" i="1"/>
  <c r="L1814" i="1"/>
  <c r="I1814" i="1"/>
  <c r="L1815" i="1"/>
  <c r="I1815" i="1"/>
  <c r="L1816" i="1"/>
  <c r="I1816" i="1"/>
  <c r="L1817" i="1"/>
  <c r="I1817" i="1"/>
  <c r="L1818" i="1"/>
  <c r="I1818" i="1"/>
  <c r="L1819" i="1"/>
  <c r="I1819" i="1"/>
  <c r="L1820" i="1"/>
  <c r="I1820" i="1"/>
  <c r="L1821" i="1"/>
  <c r="I1821" i="1"/>
  <c r="L1822" i="1"/>
  <c r="I1822" i="1"/>
  <c r="L1823" i="1"/>
  <c r="I1823" i="1"/>
  <c r="L1824" i="1"/>
  <c r="I1824" i="1"/>
  <c r="L1825" i="1"/>
  <c r="I1825" i="1"/>
  <c r="L1826" i="1"/>
  <c r="I1826" i="1"/>
  <c r="L1827" i="1"/>
  <c r="I1827" i="1"/>
  <c r="L1828" i="1"/>
  <c r="I1828" i="1"/>
  <c r="L1829" i="1"/>
  <c r="I1829" i="1"/>
  <c r="L1830" i="1"/>
  <c r="I1830" i="1"/>
  <c r="L1831" i="1"/>
  <c r="I1831" i="1"/>
  <c r="L1832" i="1"/>
  <c r="I1832" i="1"/>
  <c r="L1833" i="1"/>
  <c r="I1833" i="1"/>
  <c r="L1834" i="1"/>
  <c r="I1834" i="1"/>
  <c r="L1835" i="1"/>
  <c r="I1835" i="1"/>
  <c r="L1836" i="1"/>
  <c r="I1836" i="1"/>
  <c r="L1837" i="1"/>
  <c r="I1837" i="1"/>
  <c r="L1838" i="1"/>
  <c r="I1838" i="1"/>
  <c r="L1839" i="1"/>
  <c r="I1839" i="1"/>
  <c r="L1840" i="1"/>
  <c r="I1840" i="1"/>
  <c r="L1841" i="1"/>
  <c r="I1841" i="1"/>
  <c r="L1842" i="1"/>
  <c r="I1842" i="1"/>
  <c r="L1843" i="1"/>
  <c r="I1843" i="1"/>
  <c r="L1844" i="1"/>
  <c r="I1844" i="1"/>
  <c r="L1845" i="1"/>
  <c r="I1845" i="1"/>
  <c r="L1846" i="1"/>
  <c r="I1846" i="1"/>
  <c r="L1847" i="1"/>
  <c r="I1847" i="1"/>
  <c r="L1848" i="1"/>
  <c r="I1848" i="1"/>
  <c r="L1849" i="1"/>
  <c r="I1849" i="1"/>
  <c r="L1850" i="1"/>
  <c r="I1850" i="1"/>
  <c r="L1851" i="1"/>
  <c r="I1851" i="1"/>
  <c r="L1852" i="1"/>
  <c r="I1852" i="1"/>
  <c r="L1853" i="1"/>
  <c r="I1853" i="1"/>
  <c r="L1854" i="1"/>
  <c r="I1854" i="1"/>
  <c r="L1855" i="1"/>
  <c r="I1855" i="1"/>
  <c r="L1856" i="1"/>
  <c r="I1856" i="1"/>
  <c r="L1857" i="1"/>
  <c r="I1857" i="1"/>
  <c r="L1858" i="1"/>
  <c r="I1858" i="1"/>
  <c r="L1859" i="1"/>
  <c r="I1859" i="1"/>
  <c r="L1860" i="1"/>
  <c r="I1860" i="1"/>
  <c r="L1861" i="1"/>
  <c r="I1861" i="1"/>
  <c r="L1862" i="1"/>
  <c r="I1862" i="1"/>
  <c r="L1863" i="1"/>
  <c r="I1863" i="1"/>
  <c r="L1864" i="1"/>
  <c r="I1864" i="1"/>
  <c r="L1865" i="1"/>
  <c r="I1865" i="1"/>
  <c r="L1866" i="1"/>
  <c r="I1866" i="1"/>
  <c r="L1867" i="1"/>
  <c r="I1867" i="1"/>
  <c r="L1868" i="1"/>
  <c r="I1868" i="1"/>
  <c r="L1869" i="1"/>
  <c r="I1869" i="1"/>
  <c r="L1870" i="1"/>
  <c r="I1870" i="1"/>
  <c r="L1871" i="1"/>
  <c r="I1871" i="1"/>
  <c r="L1872" i="1"/>
  <c r="I1872" i="1"/>
  <c r="L1873" i="1"/>
  <c r="I1873" i="1"/>
  <c r="L1874" i="1"/>
  <c r="I1874" i="1"/>
  <c r="L1875" i="1"/>
  <c r="I1875" i="1"/>
  <c r="L1876" i="1"/>
  <c r="I1876" i="1"/>
  <c r="L1877" i="1"/>
  <c r="I1877" i="1"/>
  <c r="L1878" i="1"/>
  <c r="I1878" i="1"/>
  <c r="L1879" i="1"/>
  <c r="I1879" i="1"/>
  <c r="L1880" i="1"/>
  <c r="I1880" i="1"/>
  <c r="L1881" i="1"/>
  <c r="I1881" i="1"/>
  <c r="L1882" i="1"/>
  <c r="I1882" i="1"/>
  <c r="L1883" i="1"/>
  <c r="I1883" i="1"/>
  <c r="L1884" i="1"/>
  <c r="I1884" i="1"/>
  <c r="L1885" i="1"/>
  <c r="I1885" i="1"/>
  <c r="L1886" i="1"/>
  <c r="I1886" i="1"/>
  <c r="L1887" i="1"/>
  <c r="I1887" i="1"/>
  <c r="L1888" i="1"/>
  <c r="I1888" i="1"/>
  <c r="L1889" i="1"/>
  <c r="I1889" i="1"/>
  <c r="L1890" i="1"/>
  <c r="I1890" i="1"/>
  <c r="L1891" i="1"/>
  <c r="I1891" i="1"/>
  <c r="L1892" i="1"/>
  <c r="I1892" i="1"/>
  <c r="L1893" i="1"/>
  <c r="I1893" i="1"/>
  <c r="L1894" i="1"/>
  <c r="I1894" i="1"/>
  <c r="L1895" i="1"/>
  <c r="I1895" i="1"/>
  <c r="L1896" i="1"/>
  <c r="I1896" i="1"/>
  <c r="L1897" i="1"/>
  <c r="I1897" i="1"/>
  <c r="L1898" i="1"/>
  <c r="I1898" i="1"/>
  <c r="L1899" i="1"/>
  <c r="I1899" i="1"/>
  <c r="L1900" i="1"/>
  <c r="I1900" i="1"/>
  <c r="L1901" i="1"/>
  <c r="I1901" i="1"/>
  <c r="L1902" i="1"/>
  <c r="I1902" i="1"/>
  <c r="L1903" i="1"/>
  <c r="I1903" i="1"/>
  <c r="L1904" i="1"/>
  <c r="I1904" i="1"/>
  <c r="L1905" i="1"/>
  <c r="I1905" i="1"/>
  <c r="L1906" i="1"/>
  <c r="I1906" i="1"/>
  <c r="L1907" i="1"/>
  <c r="I1907" i="1"/>
  <c r="L1908" i="1"/>
  <c r="I1908" i="1"/>
  <c r="L1909" i="1"/>
  <c r="I1909" i="1"/>
  <c r="L1910" i="1"/>
  <c r="I1910" i="1"/>
  <c r="L1911" i="1"/>
  <c r="I1911" i="1"/>
  <c r="L1912" i="1"/>
  <c r="I1912" i="1"/>
  <c r="L1913" i="1"/>
  <c r="I1913" i="1"/>
  <c r="L1914" i="1"/>
  <c r="I1914" i="1"/>
  <c r="L1915" i="1"/>
  <c r="I1915" i="1"/>
  <c r="L1916" i="1"/>
  <c r="I1916" i="1"/>
  <c r="L1917" i="1"/>
  <c r="I1917" i="1"/>
  <c r="L1918" i="1"/>
  <c r="I1918" i="1"/>
  <c r="L1919" i="1"/>
  <c r="I1919" i="1"/>
  <c r="L1920" i="1"/>
  <c r="I1920" i="1"/>
  <c r="L1921" i="1"/>
  <c r="I1921" i="1"/>
  <c r="L1922" i="1"/>
  <c r="I1922" i="1"/>
  <c r="L1923" i="1"/>
  <c r="I1923" i="1"/>
  <c r="L1924" i="1"/>
  <c r="I1924" i="1"/>
  <c r="L1925" i="1"/>
  <c r="I1925" i="1"/>
  <c r="L1926" i="1"/>
  <c r="I1926" i="1"/>
  <c r="L1927" i="1"/>
  <c r="I1927" i="1"/>
  <c r="L1928" i="1"/>
  <c r="I1928" i="1"/>
  <c r="L1929" i="1"/>
  <c r="I1929" i="1"/>
  <c r="L1930" i="1"/>
  <c r="I1930" i="1"/>
  <c r="L1931" i="1"/>
  <c r="I1931" i="1"/>
  <c r="L1932" i="1"/>
  <c r="I1932" i="1"/>
  <c r="L1933" i="1"/>
  <c r="I1933" i="1"/>
  <c r="L1934" i="1"/>
  <c r="I1934" i="1"/>
  <c r="L1935" i="1"/>
  <c r="I1935" i="1"/>
  <c r="L1936" i="1"/>
  <c r="I1936" i="1"/>
  <c r="L1937" i="1"/>
  <c r="I1937" i="1"/>
  <c r="L1938" i="1"/>
  <c r="I1938" i="1"/>
  <c r="L1939" i="1"/>
  <c r="I1939" i="1"/>
  <c r="L1940" i="1"/>
  <c r="I1940" i="1"/>
  <c r="L1941" i="1"/>
  <c r="I1941" i="1"/>
  <c r="L1942" i="1"/>
  <c r="I1942" i="1"/>
  <c r="L1943" i="1"/>
  <c r="I1943" i="1"/>
  <c r="L1944" i="1"/>
  <c r="I1944" i="1"/>
  <c r="L1945" i="1"/>
  <c r="I1945" i="1"/>
  <c r="L1946" i="1"/>
  <c r="I1946" i="1"/>
  <c r="L1947" i="1"/>
  <c r="I1947" i="1"/>
  <c r="L1948" i="1"/>
  <c r="I1948" i="1"/>
  <c r="L1949" i="1"/>
  <c r="I1949" i="1"/>
  <c r="L1950" i="1"/>
  <c r="I1950" i="1"/>
  <c r="L1951" i="1"/>
  <c r="I1951" i="1"/>
  <c r="L1952" i="1"/>
  <c r="I1952" i="1"/>
  <c r="L1953" i="1"/>
  <c r="I1953" i="1"/>
  <c r="L1954" i="1"/>
  <c r="I1954" i="1"/>
  <c r="L1955" i="1"/>
  <c r="I1955" i="1"/>
  <c r="L1956" i="1"/>
  <c r="I1956" i="1"/>
  <c r="L1957" i="1"/>
  <c r="I1957" i="1"/>
  <c r="L1958" i="1"/>
  <c r="I1958" i="1"/>
  <c r="L1959" i="1"/>
  <c r="I1959" i="1"/>
  <c r="L1960" i="1"/>
  <c r="I1960" i="1"/>
  <c r="L1961" i="1"/>
  <c r="I1961" i="1"/>
  <c r="L1962" i="1"/>
  <c r="I1962" i="1"/>
  <c r="L1963" i="1"/>
  <c r="I1963" i="1"/>
  <c r="L1964" i="1"/>
  <c r="I1964" i="1"/>
  <c r="L1965" i="1"/>
  <c r="I1965" i="1"/>
  <c r="L1966" i="1"/>
  <c r="I1966" i="1"/>
  <c r="L1967" i="1"/>
  <c r="I1967" i="1"/>
  <c r="L1968" i="1"/>
  <c r="I1968" i="1"/>
  <c r="L1969" i="1"/>
  <c r="I1969" i="1"/>
  <c r="L1970" i="1"/>
  <c r="I1970" i="1"/>
  <c r="L1971" i="1"/>
  <c r="I1971" i="1"/>
  <c r="L1972" i="1"/>
  <c r="I1972" i="1"/>
  <c r="L1973" i="1"/>
  <c r="I1973" i="1"/>
  <c r="L1974" i="1"/>
  <c r="I1974" i="1"/>
  <c r="L1975" i="1"/>
  <c r="I1975" i="1"/>
  <c r="L1976" i="1"/>
  <c r="I1976" i="1"/>
  <c r="L1977" i="1"/>
  <c r="I1977" i="1"/>
  <c r="L1978" i="1"/>
  <c r="I1978" i="1"/>
  <c r="L1979" i="1"/>
  <c r="I1979" i="1"/>
  <c r="L1980" i="1"/>
  <c r="I1980" i="1"/>
  <c r="L1981" i="1"/>
  <c r="I1981" i="1"/>
  <c r="L1982" i="1"/>
  <c r="I1982" i="1"/>
  <c r="L1983" i="1"/>
  <c r="I1983" i="1"/>
  <c r="L1984" i="1"/>
  <c r="I1984" i="1"/>
  <c r="L1985" i="1"/>
  <c r="I1985" i="1"/>
  <c r="L1986" i="1"/>
  <c r="I1986" i="1"/>
  <c r="L1987" i="1"/>
  <c r="I1987" i="1"/>
  <c r="L1988" i="1"/>
  <c r="I1988" i="1"/>
  <c r="L1989" i="1"/>
  <c r="I1989" i="1"/>
  <c r="L1990" i="1"/>
  <c r="I1990" i="1"/>
  <c r="L1991" i="1"/>
  <c r="I1991" i="1"/>
  <c r="L1992" i="1"/>
  <c r="I1992" i="1"/>
  <c r="L1993" i="1"/>
  <c r="I1993" i="1"/>
  <c r="L1994" i="1"/>
  <c r="I1994" i="1"/>
  <c r="L1995" i="1"/>
  <c r="I1995" i="1"/>
  <c r="L1996" i="1"/>
  <c r="I1996" i="1"/>
  <c r="L1997" i="1"/>
  <c r="I1997" i="1"/>
  <c r="L1998" i="1"/>
  <c r="I1998" i="1"/>
  <c r="L1999" i="1"/>
  <c r="I1999" i="1"/>
  <c r="L2000" i="1"/>
  <c r="I2000" i="1"/>
  <c r="L2001" i="1"/>
  <c r="I2001" i="1"/>
  <c r="L2002" i="1"/>
  <c r="I2002" i="1"/>
  <c r="L2003" i="1"/>
  <c r="I2003" i="1"/>
  <c r="L2004" i="1"/>
  <c r="I2004" i="1"/>
  <c r="L2005" i="1"/>
  <c r="I2005" i="1"/>
  <c r="L2006" i="1"/>
  <c r="I2006" i="1"/>
  <c r="L2007" i="1"/>
  <c r="I2007" i="1"/>
  <c r="L2008" i="1"/>
  <c r="I2008" i="1"/>
  <c r="L2009" i="1"/>
  <c r="I2009" i="1"/>
  <c r="L2010" i="1"/>
  <c r="I2010" i="1"/>
  <c r="L2011" i="1"/>
  <c r="I2011" i="1"/>
  <c r="L2012" i="1"/>
  <c r="I2012" i="1"/>
  <c r="L2013" i="1"/>
  <c r="I2013" i="1"/>
  <c r="L2014" i="1"/>
  <c r="I2014" i="1"/>
  <c r="L2015" i="1"/>
  <c r="I2015" i="1"/>
  <c r="L2016" i="1"/>
  <c r="I2016" i="1"/>
  <c r="L2017" i="1"/>
  <c r="I2017" i="1"/>
  <c r="L2018" i="1"/>
  <c r="I2018" i="1"/>
  <c r="L2019" i="1"/>
  <c r="I2019" i="1"/>
  <c r="L2020" i="1"/>
  <c r="I2020" i="1"/>
  <c r="L2021" i="1"/>
  <c r="I2021" i="1"/>
  <c r="L2022" i="1"/>
  <c r="I2022" i="1"/>
  <c r="L2023" i="1"/>
  <c r="I2023" i="1"/>
  <c r="L2024" i="1"/>
  <c r="I2024" i="1"/>
  <c r="L2025" i="1"/>
  <c r="I2025" i="1"/>
  <c r="L2026" i="1"/>
  <c r="I2026" i="1"/>
  <c r="L2027" i="1"/>
  <c r="I2027" i="1"/>
  <c r="L2028" i="1"/>
  <c r="I2028" i="1"/>
  <c r="L2029" i="1"/>
  <c r="I2029" i="1"/>
  <c r="L2030" i="1"/>
  <c r="I2030" i="1"/>
  <c r="L2031" i="1"/>
  <c r="I2031" i="1"/>
  <c r="L2032" i="1"/>
  <c r="I2032" i="1"/>
  <c r="L2033" i="1"/>
  <c r="I2033" i="1"/>
  <c r="L2034" i="1"/>
  <c r="I2034" i="1"/>
  <c r="L2035" i="1"/>
  <c r="I2035" i="1"/>
  <c r="L2036" i="1"/>
  <c r="I2036" i="1"/>
  <c r="L2037" i="1"/>
  <c r="I2037" i="1"/>
  <c r="L2038" i="1"/>
  <c r="I2038" i="1"/>
  <c r="L2039" i="1"/>
  <c r="I2039" i="1"/>
  <c r="L2040" i="1"/>
  <c r="I2040" i="1"/>
  <c r="L2041" i="1"/>
  <c r="I2041" i="1"/>
  <c r="L2042" i="1"/>
  <c r="I2042" i="1"/>
  <c r="L2043" i="1"/>
  <c r="I2043" i="1"/>
  <c r="L2044" i="1"/>
  <c r="I2044" i="1"/>
  <c r="L2045" i="1"/>
  <c r="I2045" i="1"/>
  <c r="L2046" i="1"/>
  <c r="I2046" i="1"/>
  <c r="L2047" i="1"/>
  <c r="I2047" i="1"/>
  <c r="L2048" i="1"/>
  <c r="I2048" i="1"/>
  <c r="L2049" i="1"/>
  <c r="I2049" i="1"/>
  <c r="L2050" i="1"/>
  <c r="I2050" i="1"/>
  <c r="L2051" i="1"/>
  <c r="I2051" i="1"/>
  <c r="L2052" i="1"/>
  <c r="I2052" i="1"/>
  <c r="L2053" i="1"/>
  <c r="I2053" i="1"/>
  <c r="L2054" i="1"/>
  <c r="I2054" i="1"/>
  <c r="L2055" i="1"/>
  <c r="I2055" i="1"/>
  <c r="L2056" i="1"/>
  <c r="I2056" i="1"/>
  <c r="L2057" i="1"/>
  <c r="I2057" i="1"/>
  <c r="L2058" i="1"/>
  <c r="I2058" i="1"/>
  <c r="L2059" i="1"/>
  <c r="I2059" i="1"/>
  <c r="L2060" i="1"/>
  <c r="I2060" i="1"/>
  <c r="L2061" i="1"/>
  <c r="I2061" i="1"/>
  <c r="L2062" i="1"/>
  <c r="I2062" i="1"/>
  <c r="L2063" i="1"/>
  <c r="I2063" i="1"/>
  <c r="L2064" i="1"/>
  <c r="I2064" i="1"/>
  <c r="L2065" i="1"/>
  <c r="I2065" i="1"/>
  <c r="L2066" i="1"/>
  <c r="I2066" i="1"/>
  <c r="L2067" i="1"/>
  <c r="I2067" i="1"/>
  <c r="L2068" i="1"/>
  <c r="I2068" i="1"/>
  <c r="L2069" i="1"/>
  <c r="I2069" i="1"/>
  <c r="L2070" i="1"/>
  <c r="I2070" i="1"/>
  <c r="L2071" i="1"/>
  <c r="I2071" i="1"/>
  <c r="L2072" i="1"/>
  <c r="I2072" i="1"/>
  <c r="L2073" i="1"/>
  <c r="I2073" i="1"/>
  <c r="L2074" i="1"/>
  <c r="I2074" i="1"/>
  <c r="L2075" i="1"/>
  <c r="I2075" i="1"/>
  <c r="L2076" i="1"/>
  <c r="I2076" i="1"/>
  <c r="L2077" i="1"/>
  <c r="I2077" i="1"/>
  <c r="L2078" i="1"/>
  <c r="I2078" i="1"/>
  <c r="L2079" i="1"/>
  <c r="I2079" i="1"/>
  <c r="L2080" i="1"/>
  <c r="I2080" i="1"/>
  <c r="L2081" i="1"/>
  <c r="I2081" i="1"/>
  <c r="L2082" i="1"/>
  <c r="I2082" i="1"/>
  <c r="L2083" i="1"/>
  <c r="I2083" i="1"/>
  <c r="L2084" i="1"/>
  <c r="I2084" i="1"/>
  <c r="L2085" i="1"/>
  <c r="I2085" i="1"/>
  <c r="L2086" i="1"/>
  <c r="I2086" i="1"/>
  <c r="L2087" i="1"/>
  <c r="I2087" i="1"/>
  <c r="L2088" i="1"/>
  <c r="I2088" i="1"/>
  <c r="L2089" i="1"/>
  <c r="I2089" i="1"/>
  <c r="L2090" i="1"/>
  <c r="I2090" i="1"/>
  <c r="L2091" i="1"/>
  <c r="I2091" i="1"/>
  <c r="L2092" i="1"/>
  <c r="I2092" i="1"/>
  <c r="L2093" i="1"/>
  <c r="I2093" i="1"/>
  <c r="L2094" i="1"/>
  <c r="I2094" i="1"/>
  <c r="L2095" i="1"/>
  <c r="I2095" i="1"/>
  <c r="L2096" i="1"/>
  <c r="I2096" i="1"/>
  <c r="L2097" i="1"/>
  <c r="I2097" i="1"/>
  <c r="L2098" i="1"/>
  <c r="I2098" i="1"/>
  <c r="L2099" i="1"/>
  <c r="I2099" i="1"/>
  <c r="L2100" i="1"/>
  <c r="I2100" i="1"/>
  <c r="L2101" i="1"/>
  <c r="I2101" i="1"/>
  <c r="L2102" i="1"/>
  <c r="I2102" i="1"/>
  <c r="L2103" i="1"/>
  <c r="I2103" i="1"/>
  <c r="L2104" i="1"/>
  <c r="I2104" i="1"/>
  <c r="L2105" i="1"/>
  <c r="I2105" i="1"/>
  <c r="L2106" i="1"/>
  <c r="I2106" i="1"/>
  <c r="L2107" i="1"/>
  <c r="I2107" i="1"/>
  <c r="L2108" i="1"/>
  <c r="I2108" i="1"/>
  <c r="L2109" i="1"/>
  <c r="I2109" i="1"/>
  <c r="L2110" i="1"/>
  <c r="I2110" i="1"/>
  <c r="L2111" i="1"/>
  <c r="I2111" i="1"/>
  <c r="L2112" i="1"/>
  <c r="I2112" i="1"/>
  <c r="L2113" i="1"/>
  <c r="I2113" i="1"/>
  <c r="L2114" i="1"/>
  <c r="I2114" i="1"/>
  <c r="L2115" i="1"/>
  <c r="I2115" i="1"/>
  <c r="L2116" i="1"/>
  <c r="I2116" i="1"/>
  <c r="L2117" i="1"/>
  <c r="I2117" i="1"/>
  <c r="L2118" i="1"/>
  <c r="I2118" i="1"/>
  <c r="L2119" i="1"/>
  <c r="I2119" i="1"/>
  <c r="L2120" i="1"/>
  <c r="I2120" i="1"/>
  <c r="L2121" i="1"/>
  <c r="I2121" i="1"/>
  <c r="L2122" i="1"/>
  <c r="I2122" i="1"/>
  <c r="L2123" i="1"/>
  <c r="I2123" i="1"/>
  <c r="L2124" i="1"/>
  <c r="I2124" i="1"/>
  <c r="L2125" i="1"/>
  <c r="I2125" i="1"/>
  <c r="L2126" i="1"/>
  <c r="I2126" i="1"/>
  <c r="L2127" i="1"/>
  <c r="I2127" i="1"/>
  <c r="L2128" i="1"/>
  <c r="I2128" i="1"/>
  <c r="L2129" i="1"/>
  <c r="I2129" i="1"/>
  <c r="L2130" i="1"/>
  <c r="I2130" i="1"/>
  <c r="L2131" i="1"/>
  <c r="I2131" i="1"/>
  <c r="L2132" i="1"/>
  <c r="I2132" i="1"/>
  <c r="L2133" i="1"/>
  <c r="I2133" i="1"/>
  <c r="L2134" i="1"/>
  <c r="I2134" i="1"/>
  <c r="L2135" i="1"/>
  <c r="I2135" i="1"/>
  <c r="L2136" i="1"/>
  <c r="I2136" i="1"/>
  <c r="L2137" i="1"/>
  <c r="I2137" i="1"/>
  <c r="L2138" i="1"/>
  <c r="I2138" i="1"/>
  <c r="L2139" i="1"/>
  <c r="I2139" i="1"/>
  <c r="L2140" i="1"/>
  <c r="I2140" i="1"/>
  <c r="L2141" i="1"/>
  <c r="I2141" i="1"/>
  <c r="L2142" i="1"/>
  <c r="I2142" i="1"/>
  <c r="L2143" i="1"/>
  <c r="I2143" i="1"/>
  <c r="L2144" i="1"/>
  <c r="I2144" i="1"/>
  <c r="L2145" i="1"/>
  <c r="I2145" i="1"/>
  <c r="L2146" i="1"/>
  <c r="I2146" i="1"/>
  <c r="L2147" i="1"/>
  <c r="I2147" i="1"/>
  <c r="L2148" i="1"/>
  <c r="I2148" i="1"/>
  <c r="L2149" i="1"/>
  <c r="I2149" i="1"/>
  <c r="L2150" i="1"/>
  <c r="I2150" i="1"/>
  <c r="L2151" i="1"/>
  <c r="I2151" i="1"/>
  <c r="L2152" i="1"/>
  <c r="I2152" i="1"/>
  <c r="L2153" i="1"/>
  <c r="I2153" i="1"/>
  <c r="L2154" i="1"/>
  <c r="I2154" i="1"/>
  <c r="L2155" i="1"/>
  <c r="I2155" i="1"/>
  <c r="L2156" i="1"/>
  <c r="I2156" i="1"/>
  <c r="L2157" i="1"/>
  <c r="I2157" i="1"/>
  <c r="L2158" i="1"/>
  <c r="I2158" i="1"/>
  <c r="L2159" i="1"/>
  <c r="I2159" i="1"/>
  <c r="L2160" i="1"/>
  <c r="I2160" i="1"/>
  <c r="L2161" i="1"/>
  <c r="I2161" i="1"/>
  <c r="L2162" i="1"/>
  <c r="I2162" i="1"/>
  <c r="L2163" i="1"/>
  <c r="I2163" i="1"/>
  <c r="L2164" i="1"/>
  <c r="I2164" i="1"/>
  <c r="L2165" i="1"/>
  <c r="I2165" i="1"/>
  <c r="L2166" i="1"/>
  <c r="I2166" i="1"/>
  <c r="L2167" i="1"/>
  <c r="I2167" i="1"/>
  <c r="L2168" i="1"/>
  <c r="I2168" i="1"/>
  <c r="L2169" i="1"/>
  <c r="I2169" i="1"/>
  <c r="L2170" i="1"/>
  <c r="I2170" i="1"/>
  <c r="L2171" i="1"/>
  <c r="I2171" i="1"/>
  <c r="L2172" i="1"/>
  <c r="I2172" i="1"/>
  <c r="L2173" i="1"/>
  <c r="I2173" i="1"/>
  <c r="L2174" i="1"/>
  <c r="I2174" i="1"/>
  <c r="L2175" i="1"/>
  <c r="I2175" i="1"/>
  <c r="L2176" i="1"/>
  <c r="I2176" i="1"/>
  <c r="L2177" i="1"/>
  <c r="I2177" i="1"/>
  <c r="L2178" i="1"/>
  <c r="I2178" i="1"/>
  <c r="L2179" i="1"/>
  <c r="I2179" i="1"/>
  <c r="L2180" i="1"/>
  <c r="I2180" i="1"/>
  <c r="L2181" i="1"/>
  <c r="I2181" i="1"/>
  <c r="L2182" i="1"/>
  <c r="I2182" i="1"/>
  <c r="L2183" i="1"/>
  <c r="I2183" i="1"/>
  <c r="L2184" i="1"/>
  <c r="I2184" i="1"/>
  <c r="L2185" i="1"/>
  <c r="I2185" i="1"/>
  <c r="L2186" i="1"/>
  <c r="I2186" i="1"/>
  <c r="L2187" i="1"/>
  <c r="I2187" i="1"/>
  <c r="L2188" i="1"/>
  <c r="I2188" i="1"/>
  <c r="L2189" i="1"/>
  <c r="I2189" i="1"/>
  <c r="L2190" i="1"/>
  <c r="I2190" i="1"/>
  <c r="L2191" i="1"/>
  <c r="I2191" i="1"/>
  <c r="L2192" i="1"/>
  <c r="I2192" i="1"/>
  <c r="L2193" i="1"/>
  <c r="I2193" i="1"/>
  <c r="L2194" i="1"/>
  <c r="I2194" i="1"/>
  <c r="L2195" i="1"/>
  <c r="I2195" i="1"/>
  <c r="L2196" i="1"/>
  <c r="I2196" i="1"/>
  <c r="L2197" i="1"/>
  <c r="I2197" i="1"/>
  <c r="L2198" i="1"/>
  <c r="I2198" i="1"/>
  <c r="L2199" i="1"/>
  <c r="I2199" i="1"/>
  <c r="L2200" i="1"/>
  <c r="I2200" i="1"/>
  <c r="L2201" i="1"/>
  <c r="I2201" i="1"/>
  <c r="L2202" i="1"/>
  <c r="I2202" i="1"/>
  <c r="L2203" i="1"/>
  <c r="I2203" i="1"/>
  <c r="L2204" i="1"/>
  <c r="I2204" i="1"/>
  <c r="L2205" i="1"/>
  <c r="I2205" i="1"/>
  <c r="L2206" i="1"/>
  <c r="I2206" i="1"/>
  <c r="L2207" i="1"/>
  <c r="I2207" i="1"/>
  <c r="L2208" i="1"/>
  <c r="I2208" i="1"/>
  <c r="L2209" i="1"/>
  <c r="I2209" i="1"/>
  <c r="L2210" i="1"/>
  <c r="I2210" i="1"/>
  <c r="L2211" i="1"/>
  <c r="I2211" i="1"/>
  <c r="L2212" i="1"/>
  <c r="I2212" i="1"/>
  <c r="L2213" i="1"/>
  <c r="I2213" i="1"/>
  <c r="L2214" i="1"/>
  <c r="I2214" i="1"/>
  <c r="L2215" i="1"/>
  <c r="I2215" i="1"/>
  <c r="L2216" i="1"/>
  <c r="I2216" i="1"/>
  <c r="L2217" i="1"/>
  <c r="I2217" i="1"/>
  <c r="L2218" i="1"/>
  <c r="I2218" i="1"/>
  <c r="L2219" i="1"/>
  <c r="I2219" i="1"/>
  <c r="L2220" i="1"/>
  <c r="I2220" i="1"/>
  <c r="L2221" i="1"/>
  <c r="I2221" i="1"/>
  <c r="L2222" i="1"/>
  <c r="I2222" i="1"/>
  <c r="L2223" i="1"/>
  <c r="I2223" i="1"/>
  <c r="L2224" i="1"/>
  <c r="I2224" i="1"/>
  <c r="L2225" i="1"/>
  <c r="I2225" i="1"/>
  <c r="L2226" i="1"/>
  <c r="I2226" i="1"/>
  <c r="L2227" i="1"/>
  <c r="I2227" i="1"/>
  <c r="L2228" i="1"/>
  <c r="I2228" i="1"/>
  <c r="L2229" i="1"/>
  <c r="I2229" i="1"/>
  <c r="L2230" i="1"/>
  <c r="I2230" i="1"/>
  <c r="L2231" i="1"/>
  <c r="I2231" i="1"/>
  <c r="L2232" i="1"/>
  <c r="I2232" i="1"/>
  <c r="L2233" i="1"/>
  <c r="I2233" i="1"/>
  <c r="L2234" i="1"/>
  <c r="I2234" i="1"/>
  <c r="L2235" i="1"/>
  <c r="I2235" i="1"/>
  <c r="L2236" i="1"/>
  <c r="I2236" i="1"/>
  <c r="L2237" i="1"/>
  <c r="I2237" i="1"/>
  <c r="L2238" i="1"/>
  <c r="I2238" i="1"/>
  <c r="L2239" i="1"/>
  <c r="I2239" i="1"/>
  <c r="L2240" i="1"/>
  <c r="I2240" i="1"/>
  <c r="L2241" i="1"/>
  <c r="I2241" i="1"/>
  <c r="L2242" i="1"/>
  <c r="I2242" i="1"/>
  <c r="L2243" i="1"/>
  <c r="I2243" i="1"/>
  <c r="L2244" i="1"/>
  <c r="I2244" i="1"/>
  <c r="L2245" i="1"/>
  <c r="I2245" i="1"/>
  <c r="L2246" i="1"/>
  <c r="I2246" i="1"/>
  <c r="L2247" i="1"/>
  <c r="I2247" i="1"/>
  <c r="L2248" i="1"/>
  <c r="I2248" i="1"/>
  <c r="L2249" i="1"/>
  <c r="I2249" i="1"/>
  <c r="L2250" i="1"/>
  <c r="I2250" i="1"/>
  <c r="L2251" i="1"/>
  <c r="I2251" i="1"/>
  <c r="L2252" i="1"/>
  <c r="I2252" i="1"/>
  <c r="L2253" i="1"/>
  <c r="I2253" i="1"/>
  <c r="L2254" i="1"/>
  <c r="I2254" i="1"/>
  <c r="L2255" i="1"/>
  <c r="I2255" i="1"/>
  <c r="L2256" i="1"/>
  <c r="I2256" i="1"/>
  <c r="L2257" i="1"/>
  <c r="I2257" i="1"/>
  <c r="L2258" i="1"/>
  <c r="I2258" i="1"/>
  <c r="L2259" i="1"/>
  <c r="I2259" i="1"/>
  <c r="L2260" i="1"/>
  <c r="I2260" i="1"/>
  <c r="L2261" i="1"/>
  <c r="I2261" i="1"/>
  <c r="L2262" i="1"/>
  <c r="I2262" i="1"/>
  <c r="L2263" i="1"/>
  <c r="I2263" i="1"/>
  <c r="L2264" i="1"/>
  <c r="I2264" i="1"/>
  <c r="L2265" i="1"/>
  <c r="I2265" i="1"/>
  <c r="L2266" i="1"/>
  <c r="I2266" i="1"/>
  <c r="L2267" i="1"/>
  <c r="I2267" i="1"/>
  <c r="L2268" i="1"/>
  <c r="I2268" i="1"/>
  <c r="L2269" i="1"/>
  <c r="I2269" i="1"/>
  <c r="L2270" i="1"/>
  <c r="I2270" i="1"/>
  <c r="L2271" i="1"/>
  <c r="I2271" i="1"/>
  <c r="L2272" i="1"/>
  <c r="I2272" i="1"/>
  <c r="L2273" i="1"/>
  <c r="I2273" i="1"/>
  <c r="L2274" i="1"/>
  <c r="I2274" i="1"/>
  <c r="L2275" i="1"/>
  <c r="I2275" i="1"/>
  <c r="L2276" i="1"/>
  <c r="I2276" i="1"/>
  <c r="L2277" i="1"/>
  <c r="I2277" i="1"/>
  <c r="L2278" i="1"/>
  <c r="I2278" i="1"/>
  <c r="L2279" i="1"/>
  <c r="I2279" i="1"/>
  <c r="L2280" i="1"/>
  <c r="I2280" i="1"/>
  <c r="L2281" i="1"/>
  <c r="I2281" i="1"/>
  <c r="L2282" i="1"/>
  <c r="I2282" i="1"/>
  <c r="L2283" i="1"/>
  <c r="I2283" i="1"/>
  <c r="L2284" i="1"/>
  <c r="I2284" i="1"/>
  <c r="L2285" i="1"/>
  <c r="I2285" i="1"/>
  <c r="L2286" i="1"/>
  <c r="I2286" i="1"/>
  <c r="L2287" i="1"/>
  <c r="I2287" i="1"/>
  <c r="L2288" i="1"/>
  <c r="I2288" i="1"/>
  <c r="L2289" i="1"/>
  <c r="I2289" i="1"/>
  <c r="L2290" i="1"/>
  <c r="I2290" i="1"/>
  <c r="L2291" i="1"/>
  <c r="I2291" i="1"/>
  <c r="L2292" i="1"/>
  <c r="I2292" i="1"/>
  <c r="L2293" i="1"/>
  <c r="I2293" i="1"/>
  <c r="L2294" i="1"/>
  <c r="I2294" i="1"/>
  <c r="L2295" i="1"/>
  <c r="I2295" i="1"/>
  <c r="L2296" i="1"/>
  <c r="I2296" i="1"/>
  <c r="L2297" i="1"/>
  <c r="I2297" i="1"/>
  <c r="L2298" i="1"/>
  <c r="I2298" i="1"/>
  <c r="L2299" i="1"/>
  <c r="I2299" i="1"/>
  <c r="L2300" i="1"/>
  <c r="I2300" i="1"/>
  <c r="L2301" i="1"/>
  <c r="I2301" i="1"/>
  <c r="L2302" i="1"/>
  <c r="I2302" i="1"/>
  <c r="L2303" i="1"/>
  <c r="I2303" i="1"/>
  <c r="L2304" i="1"/>
  <c r="I2304" i="1"/>
  <c r="L2305" i="1"/>
  <c r="I2305" i="1"/>
  <c r="L2306" i="1"/>
  <c r="I2306" i="1"/>
  <c r="L2307" i="1"/>
  <c r="I2307" i="1"/>
  <c r="L2308" i="1"/>
  <c r="I2308" i="1"/>
  <c r="L2309" i="1"/>
  <c r="I2309" i="1"/>
  <c r="L2310" i="1"/>
  <c r="I2310" i="1"/>
  <c r="L2311" i="1"/>
  <c r="I2311" i="1"/>
  <c r="L2312" i="1"/>
  <c r="I2312" i="1"/>
  <c r="L2313" i="1"/>
  <c r="I2313" i="1"/>
  <c r="L2314" i="1"/>
  <c r="I2314" i="1"/>
  <c r="L2315" i="1"/>
  <c r="I2315" i="1"/>
  <c r="L2316" i="1"/>
  <c r="I2316" i="1"/>
  <c r="L2317" i="1"/>
  <c r="I2317" i="1"/>
  <c r="L2318" i="1"/>
  <c r="I2318" i="1"/>
  <c r="L2319" i="1"/>
  <c r="I2319" i="1"/>
  <c r="L2320" i="1"/>
  <c r="I2320" i="1"/>
  <c r="L2321" i="1"/>
  <c r="I2321" i="1"/>
  <c r="L2322" i="1"/>
  <c r="I2322" i="1"/>
  <c r="L2323" i="1"/>
  <c r="I2323" i="1"/>
  <c r="L2324" i="1"/>
  <c r="I2324" i="1"/>
  <c r="L2325" i="1"/>
  <c r="I2325" i="1"/>
  <c r="L2326" i="1"/>
  <c r="I2326" i="1"/>
  <c r="L2327" i="1"/>
  <c r="I2327" i="1"/>
  <c r="L2328" i="1"/>
  <c r="I2328" i="1"/>
  <c r="L2329" i="1"/>
  <c r="I2329" i="1"/>
  <c r="L2330" i="1"/>
  <c r="I2330" i="1"/>
  <c r="L2331" i="1"/>
  <c r="I2331" i="1"/>
  <c r="L2332" i="1"/>
  <c r="I2332" i="1"/>
  <c r="L2333" i="1"/>
  <c r="I2333" i="1"/>
  <c r="L2334" i="1"/>
  <c r="I2334" i="1"/>
  <c r="L2335" i="1"/>
  <c r="I2335" i="1"/>
  <c r="L2336" i="1"/>
  <c r="I2336" i="1"/>
  <c r="L2337" i="1"/>
  <c r="I2337" i="1"/>
  <c r="L2338" i="1"/>
  <c r="I2338" i="1"/>
  <c r="L2339" i="1"/>
  <c r="I2339" i="1"/>
  <c r="L2340" i="1"/>
  <c r="I2340" i="1"/>
  <c r="L2341" i="1"/>
  <c r="I2341" i="1"/>
  <c r="L2342" i="1"/>
  <c r="I2342" i="1"/>
  <c r="L2343" i="1"/>
  <c r="I2343" i="1"/>
  <c r="L2344" i="1"/>
  <c r="I2344" i="1"/>
  <c r="L2345" i="1"/>
  <c r="I2345" i="1"/>
  <c r="L2346" i="1"/>
  <c r="I2346" i="1"/>
  <c r="L2347" i="1"/>
  <c r="I2347" i="1"/>
  <c r="L2348" i="1"/>
  <c r="I2348" i="1"/>
  <c r="L2349" i="1"/>
  <c r="I2349" i="1"/>
  <c r="L2350" i="1"/>
  <c r="I2350" i="1"/>
  <c r="L2351" i="1"/>
  <c r="I2351" i="1"/>
  <c r="L2352" i="1"/>
  <c r="I2352" i="1"/>
  <c r="L2353" i="1"/>
  <c r="I2353" i="1"/>
  <c r="L2354" i="1"/>
  <c r="I2354" i="1"/>
  <c r="L2355" i="1"/>
  <c r="I2355" i="1"/>
  <c r="L2356" i="1"/>
  <c r="I2356" i="1"/>
  <c r="L2357" i="1"/>
  <c r="I2357" i="1"/>
  <c r="L2358" i="1"/>
  <c r="I2358" i="1"/>
  <c r="L2359" i="1"/>
  <c r="I2359" i="1"/>
  <c r="L2360" i="1"/>
  <c r="I2360" i="1"/>
  <c r="L2361" i="1"/>
  <c r="I2361" i="1"/>
  <c r="L2362" i="1"/>
  <c r="I2362" i="1"/>
  <c r="L2363" i="1"/>
  <c r="I2363" i="1"/>
  <c r="L2364" i="1"/>
  <c r="I2364" i="1"/>
  <c r="L2365" i="1"/>
  <c r="I2365" i="1"/>
  <c r="L2366" i="1"/>
  <c r="I2366" i="1"/>
  <c r="L2367" i="1"/>
  <c r="I2367" i="1"/>
  <c r="L2368" i="1"/>
  <c r="I2368" i="1"/>
  <c r="L2369" i="1"/>
  <c r="I2369" i="1"/>
  <c r="L2370" i="1"/>
  <c r="I2370" i="1"/>
  <c r="L2371" i="1"/>
  <c r="I2371" i="1"/>
  <c r="L2372" i="1"/>
  <c r="I2372" i="1"/>
  <c r="L2373" i="1"/>
  <c r="I2373" i="1"/>
  <c r="L2374" i="1"/>
  <c r="I2374" i="1"/>
  <c r="L2375" i="1"/>
  <c r="I2375" i="1"/>
  <c r="L2376" i="1"/>
  <c r="I2376" i="1"/>
  <c r="L2377" i="1"/>
  <c r="I2377" i="1"/>
  <c r="L2378" i="1"/>
  <c r="I2378" i="1"/>
  <c r="L2379" i="1"/>
  <c r="I2379" i="1"/>
  <c r="L2380" i="1"/>
  <c r="I2380" i="1"/>
  <c r="L2381" i="1"/>
  <c r="I2381" i="1"/>
  <c r="L2382" i="1"/>
  <c r="I2382" i="1"/>
  <c r="L2383" i="1"/>
  <c r="I2383" i="1"/>
  <c r="L2384" i="1"/>
  <c r="I2384" i="1"/>
  <c r="L2385" i="1"/>
  <c r="I2385" i="1"/>
  <c r="L2386" i="1"/>
  <c r="I2386" i="1"/>
  <c r="L2387" i="1"/>
  <c r="I2387" i="1"/>
  <c r="L2388" i="1"/>
  <c r="I2388" i="1"/>
  <c r="L2389" i="1"/>
  <c r="I2389" i="1"/>
  <c r="L2390" i="1"/>
  <c r="I2390" i="1"/>
  <c r="L2391" i="1"/>
  <c r="I2391" i="1"/>
  <c r="L2392" i="1"/>
  <c r="I2392" i="1"/>
  <c r="L2393" i="1"/>
  <c r="I2393" i="1"/>
  <c r="L2394" i="1"/>
  <c r="I2394" i="1"/>
  <c r="L2395" i="1"/>
  <c r="I2395" i="1"/>
  <c r="L2396" i="1"/>
  <c r="I2396" i="1"/>
  <c r="L2397" i="1"/>
  <c r="I2397" i="1"/>
  <c r="L2398" i="1"/>
  <c r="I2398" i="1"/>
  <c r="L2399" i="1"/>
  <c r="I2399" i="1"/>
  <c r="L2400" i="1"/>
  <c r="I2400" i="1"/>
  <c r="L2401" i="1"/>
  <c r="I2401" i="1"/>
  <c r="L2402" i="1"/>
  <c r="I2402" i="1"/>
  <c r="L2403" i="1"/>
  <c r="I2403" i="1"/>
  <c r="L2404" i="1"/>
  <c r="I2404" i="1"/>
  <c r="L2405" i="1"/>
  <c r="I2405" i="1"/>
  <c r="L2406" i="1"/>
  <c r="I2406" i="1"/>
  <c r="L2407" i="1"/>
  <c r="I2407" i="1"/>
  <c r="L2408" i="1"/>
  <c r="I2408" i="1"/>
  <c r="L2409" i="1"/>
  <c r="I2409" i="1"/>
  <c r="L2410" i="1"/>
  <c r="I2410" i="1"/>
  <c r="L2411" i="1"/>
  <c r="I2411" i="1"/>
  <c r="L2412" i="1"/>
  <c r="I2412" i="1"/>
  <c r="L2413" i="1"/>
  <c r="I2413" i="1"/>
  <c r="L2414" i="1"/>
  <c r="I2414" i="1"/>
  <c r="L2415" i="1"/>
  <c r="I2415" i="1"/>
  <c r="L2416" i="1"/>
  <c r="I2416" i="1"/>
  <c r="L2417" i="1"/>
  <c r="I2417" i="1"/>
  <c r="L2418" i="1"/>
  <c r="I2418" i="1"/>
  <c r="L2419" i="1"/>
  <c r="I2419" i="1"/>
  <c r="L2420" i="1"/>
  <c r="I2420" i="1"/>
  <c r="L2421" i="1"/>
  <c r="I2421" i="1"/>
  <c r="L2422" i="1"/>
  <c r="I2422" i="1"/>
  <c r="L2423" i="1"/>
  <c r="I2423" i="1"/>
  <c r="L2424" i="1"/>
  <c r="I2424" i="1"/>
  <c r="L2425" i="1"/>
  <c r="I2425" i="1"/>
  <c r="L2426" i="1"/>
  <c r="I2426" i="1"/>
  <c r="L2427" i="1"/>
  <c r="I2427" i="1"/>
  <c r="L2428" i="1"/>
  <c r="I2428" i="1"/>
  <c r="L2429" i="1"/>
  <c r="I2429" i="1"/>
  <c r="L2430" i="1"/>
  <c r="I2430" i="1"/>
  <c r="L2431" i="1"/>
  <c r="I2431" i="1"/>
  <c r="L2432" i="1"/>
  <c r="I2432" i="1"/>
  <c r="L2433" i="1"/>
  <c r="I2433" i="1"/>
  <c r="L2434" i="1"/>
  <c r="I2434" i="1"/>
  <c r="L2435" i="1"/>
  <c r="I2435" i="1"/>
  <c r="L2436" i="1"/>
  <c r="I2436" i="1"/>
  <c r="L2437" i="1"/>
  <c r="I2437" i="1"/>
  <c r="L2438" i="1"/>
  <c r="I2438" i="1"/>
  <c r="L2439" i="1"/>
  <c r="I2439" i="1"/>
  <c r="L2440" i="1"/>
  <c r="I2440" i="1"/>
  <c r="L2441" i="1"/>
  <c r="I2441" i="1"/>
  <c r="L2442" i="1"/>
  <c r="I2442" i="1"/>
  <c r="L2443" i="1"/>
  <c r="I2443" i="1"/>
  <c r="L2444" i="1"/>
  <c r="I2444" i="1"/>
  <c r="L2445" i="1"/>
  <c r="I2445" i="1"/>
  <c r="L2446" i="1"/>
  <c r="I2446" i="1"/>
  <c r="L2447" i="1"/>
  <c r="I2447" i="1"/>
  <c r="L2448" i="1"/>
  <c r="I2448" i="1"/>
  <c r="L2449" i="1"/>
  <c r="I2449" i="1"/>
  <c r="L2450" i="1"/>
  <c r="I2450" i="1"/>
  <c r="L2451" i="1"/>
  <c r="I2451" i="1"/>
  <c r="L2452" i="1"/>
  <c r="I2452" i="1"/>
  <c r="L2453" i="1"/>
  <c r="I2453" i="1"/>
  <c r="L2454" i="1"/>
  <c r="I2454" i="1"/>
  <c r="L2455" i="1"/>
  <c r="I2455" i="1"/>
  <c r="L2456" i="1"/>
  <c r="I2456" i="1"/>
  <c r="L2457" i="1"/>
  <c r="I2457" i="1"/>
  <c r="L2458" i="1"/>
  <c r="I2458" i="1"/>
  <c r="L2459" i="1"/>
  <c r="I2459" i="1"/>
  <c r="L2460" i="1"/>
  <c r="I2460" i="1"/>
  <c r="L2461" i="1"/>
  <c r="I2461" i="1"/>
  <c r="L2462" i="1"/>
  <c r="I2462" i="1"/>
  <c r="L2463" i="1"/>
  <c r="I2463" i="1"/>
  <c r="L2464" i="1"/>
  <c r="I2464" i="1"/>
  <c r="L2465" i="1"/>
  <c r="I2465" i="1"/>
  <c r="L2466" i="1"/>
  <c r="I2466" i="1"/>
  <c r="L2467" i="1"/>
  <c r="I2467" i="1"/>
  <c r="L2468" i="1"/>
  <c r="I2468" i="1"/>
  <c r="L2469" i="1"/>
  <c r="I2469" i="1"/>
  <c r="L2470" i="1"/>
  <c r="I2470" i="1"/>
  <c r="L2471" i="1"/>
  <c r="I2471" i="1"/>
  <c r="L2472" i="1"/>
  <c r="I2472" i="1"/>
  <c r="L2473" i="1"/>
  <c r="I2473" i="1"/>
  <c r="L2474" i="1"/>
  <c r="I2474" i="1"/>
  <c r="L2475" i="1"/>
  <c r="I2475" i="1"/>
  <c r="L2476" i="1"/>
  <c r="I2476" i="1"/>
  <c r="L2477" i="1"/>
  <c r="I2477" i="1"/>
  <c r="L2478" i="1"/>
  <c r="I2478" i="1"/>
  <c r="L2479" i="1"/>
  <c r="I2479" i="1"/>
  <c r="L2480" i="1"/>
  <c r="I2480" i="1"/>
  <c r="L2481" i="1"/>
  <c r="I2481" i="1"/>
  <c r="L2482" i="1"/>
  <c r="I2482" i="1"/>
  <c r="L2483" i="1"/>
  <c r="I2483" i="1"/>
  <c r="L2484" i="1"/>
  <c r="I2484" i="1"/>
  <c r="L2485" i="1"/>
  <c r="I2485" i="1"/>
  <c r="L2486" i="1"/>
  <c r="I2486" i="1"/>
  <c r="L2487" i="1"/>
  <c r="I2487" i="1"/>
  <c r="L2488" i="1"/>
  <c r="I2488" i="1"/>
  <c r="L2489" i="1"/>
  <c r="I2489" i="1"/>
  <c r="L2490" i="1"/>
  <c r="I2490" i="1"/>
  <c r="L2491" i="1"/>
  <c r="I2491" i="1"/>
  <c r="L2492" i="1"/>
  <c r="I2492" i="1"/>
  <c r="L2493" i="1"/>
  <c r="I2493" i="1"/>
  <c r="L2494" i="1"/>
  <c r="I2494" i="1"/>
  <c r="L2495" i="1"/>
  <c r="I2495" i="1"/>
  <c r="L2496" i="1"/>
  <c r="I2496" i="1"/>
  <c r="L2497" i="1"/>
  <c r="I2497" i="1"/>
  <c r="L2498" i="1"/>
  <c r="I2498" i="1"/>
  <c r="L2499" i="1"/>
  <c r="I2499" i="1"/>
  <c r="L2500" i="1"/>
  <c r="I2500" i="1"/>
  <c r="L2501" i="1"/>
  <c r="I2501" i="1"/>
  <c r="L2502" i="1"/>
  <c r="I2502" i="1"/>
  <c r="L2503" i="1"/>
  <c r="I2503" i="1"/>
  <c r="L2504" i="1"/>
  <c r="I2504" i="1"/>
  <c r="L2505" i="1"/>
  <c r="I2505" i="1"/>
  <c r="L2506" i="1"/>
  <c r="I2506" i="1"/>
  <c r="L2507" i="1"/>
  <c r="I2507" i="1"/>
  <c r="L2508" i="1"/>
  <c r="I2508" i="1"/>
  <c r="L2509" i="1"/>
  <c r="I2509" i="1"/>
  <c r="L2510" i="1"/>
  <c r="I2510" i="1"/>
  <c r="L2511" i="1"/>
  <c r="I2511" i="1"/>
  <c r="L2512" i="1"/>
  <c r="I2512" i="1"/>
  <c r="L2513" i="1"/>
  <c r="I2513" i="1"/>
  <c r="L2514" i="1"/>
  <c r="I2514" i="1"/>
  <c r="L2515" i="1"/>
  <c r="I2515" i="1"/>
  <c r="L2516" i="1"/>
  <c r="I2516" i="1"/>
  <c r="L2517" i="1"/>
  <c r="I2517" i="1"/>
  <c r="L2518" i="1"/>
  <c r="I2518" i="1"/>
  <c r="L2519" i="1"/>
  <c r="I2519" i="1"/>
  <c r="L2520" i="1"/>
  <c r="I2520" i="1"/>
  <c r="L2521" i="1"/>
  <c r="I2521" i="1"/>
  <c r="L2522" i="1"/>
  <c r="I2522" i="1"/>
  <c r="L2523" i="1"/>
  <c r="I2523" i="1"/>
  <c r="L2524" i="1"/>
  <c r="I2524" i="1"/>
  <c r="L2525" i="1"/>
  <c r="I2525" i="1"/>
  <c r="L2526" i="1"/>
  <c r="I2526" i="1"/>
  <c r="L2527" i="1"/>
  <c r="I2527" i="1"/>
  <c r="L2528" i="1"/>
  <c r="I2528" i="1"/>
  <c r="L2529" i="1"/>
  <c r="I2529" i="1"/>
  <c r="L2530" i="1"/>
  <c r="I2530" i="1"/>
  <c r="L2531" i="1"/>
  <c r="I2531" i="1"/>
  <c r="L2532" i="1"/>
  <c r="I2532" i="1"/>
  <c r="L2533" i="1"/>
  <c r="I2533" i="1"/>
  <c r="L2534" i="1"/>
  <c r="I2534" i="1"/>
  <c r="L2535" i="1"/>
  <c r="I2535" i="1"/>
  <c r="L2536" i="1"/>
  <c r="I2536" i="1"/>
  <c r="L2537" i="1"/>
  <c r="I2537" i="1"/>
  <c r="L2538" i="1"/>
  <c r="I2538" i="1"/>
  <c r="L2539" i="1"/>
  <c r="I2539" i="1"/>
  <c r="L2540" i="1"/>
  <c r="I2540" i="1"/>
  <c r="L2541" i="1"/>
  <c r="I2541" i="1"/>
  <c r="L2542" i="1"/>
  <c r="I2542" i="1"/>
  <c r="L2543" i="1"/>
  <c r="I2543" i="1"/>
  <c r="L2544" i="1"/>
  <c r="I2544" i="1"/>
  <c r="L2545" i="1"/>
  <c r="I2545" i="1"/>
  <c r="L2546" i="1"/>
  <c r="I2546" i="1"/>
  <c r="L2547" i="1"/>
  <c r="I2547" i="1"/>
  <c r="L2548" i="1"/>
  <c r="I2548" i="1"/>
  <c r="L2549" i="1"/>
  <c r="I2549" i="1"/>
  <c r="L2550" i="1"/>
  <c r="I2550" i="1"/>
  <c r="L2551" i="1"/>
  <c r="I2551" i="1"/>
  <c r="L2552" i="1"/>
  <c r="I2552" i="1"/>
  <c r="L2553" i="1"/>
  <c r="I2553" i="1"/>
  <c r="L2554" i="1"/>
  <c r="I2554" i="1"/>
  <c r="L2555" i="1"/>
  <c r="I2555" i="1"/>
  <c r="L2556" i="1"/>
  <c r="I2556" i="1"/>
  <c r="L2557" i="1"/>
  <c r="I2557" i="1"/>
  <c r="L2558" i="1"/>
  <c r="I2558" i="1"/>
  <c r="L2559" i="1"/>
  <c r="I2559" i="1"/>
  <c r="L2560" i="1"/>
  <c r="I2560" i="1"/>
  <c r="L2561" i="1"/>
  <c r="I2561" i="1"/>
  <c r="L2562" i="1"/>
  <c r="I2562" i="1"/>
  <c r="L2563" i="1"/>
  <c r="I2563" i="1"/>
  <c r="L2564" i="1"/>
  <c r="I2564" i="1"/>
  <c r="L2565" i="1"/>
  <c r="I2565" i="1"/>
  <c r="L2566" i="1"/>
  <c r="I2566" i="1"/>
  <c r="L2567" i="1"/>
  <c r="I2567" i="1"/>
  <c r="L2568" i="1"/>
  <c r="I2568" i="1"/>
  <c r="L2569" i="1"/>
  <c r="I2569" i="1"/>
  <c r="L2570" i="1"/>
  <c r="I2570" i="1"/>
  <c r="L2571" i="1"/>
  <c r="I2571" i="1"/>
  <c r="L2572" i="1"/>
  <c r="I2572" i="1"/>
  <c r="L2573" i="1"/>
  <c r="I2573" i="1"/>
  <c r="L2574" i="1"/>
  <c r="I2574" i="1"/>
  <c r="L2575" i="1"/>
  <c r="I2575" i="1"/>
  <c r="L2576" i="1"/>
  <c r="I2576" i="1"/>
  <c r="L2577" i="1"/>
  <c r="I2577" i="1"/>
  <c r="L2578" i="1"/>
  <c r="I2578" i="1"/>
  <c r="L2579" i="1"/>
  <c r="I2579" i="1"/>
  <c r="L2580" i="1"/>
  <c r="I2580" i="1"/>
  <c r="L2581" i="1"/>
  <c r="I2581" i="1"/>
  <c r="L2582" i="1"/>
  <c r="I2582" i="1"/>
  <c r="L2583" i="1"/>
  <c r="I2583" i="1"/>
  <c r="L2584" i="1"/>
  <c r="I2584" i="1"/>
  <c r="L2585" i="1"/>
  <c r="I2585" i="1"/>
  <c r="L2586" i="1"/>
  <c r="I2586" i="1"/>
  <c r="L2587" i="1"/>
  <c r="I2587" i="1"/>
  <c r="L2588" i="1"/>
  <c r="I2588" i="1"/>
  <c r="L2589" i="1"/>
  <c r="I2589" i="1"/>
  <c r="L2590" i="1"/>
  <c r="I2590" i="1"/>
  <c r="L2591" i="1"/>
  <c r="I2591" i="1"/>
  <c r="L2592" i="1"/>
  <c r="I2592" i="1"/>
  <c r="L2593" i="1"/>
  <c r="I2593" i="1"/>
  <c r="L2594" i="1"/>
  <c r="I2594" i="1"/>
  <c r="L2595" i="1"/>
  <c r="I2595" i="1"/>
  <c r="L2596" i="1"/>
  <c r="I2596" i="1"/>
  <c r="L2597" i="1"/>
  <c r="I2597" i="1"/>
  <c r="L2598" i="1"/>
  <c r="I2598" i="1"/>
  <c r="L2599" i="1"/>
  <c r="I2599" i="1"/>
  <c r="L2600" i="1"/>
  <c r="I2600" i="1"/>
  <c r="L2601" i="1"/>
  <c r="I2601" i="1"/>
  <c r="L2602" i="1"/>
  <c r="I2602" i="1"/>
  <c r="L2603" i="1"/>
  <c r="I2603" i="1"/>
  <c r="L2604" i="1"/>
  <c r="I2604" i="1"/>
  <c r="L2605" i="1"/>
  <c r="I2605" i="1"/>
  <c r="L2606" i="1"/>
  <c r="I2606" i="1"/>
  <c r="L2607" i="1"/>
  <c r="I2607" i="1"/>
  <c r="L2608" i="1"/>
  <c r="I2608" i="1"/>
  <c r="L2609" i="1"/>
  <c r="I2609" i="1"/>
  <c r="L2610" i="1"/>
  <c r="I2610" i="1"/>
  <c r="L2611" i="1"/>
  <c r="I2611" i="1"/>
  <c r="L2612" i="1"/>
  <c r="I2612" i="1"/>
  <c r="L2613" i="1"/>
  <c r="I2613" i="1"/>
  <c r="L2614" i="1"/>
  <c r="I2614" i="1"/>
  <c r="L2615" i="1"/>
  <c r="I2615" i="1"/>
  <c r="L2616" i="1"/>
  <c r="I2616" i="1"/>
  <c r="I2617" i="1"/>
  <c r="L2618" i="1"/>
  <c r="I2618" i="1"/>
  <c r="L2619" i="1"/>
  <c r="I2619" i="1"/>
  <c r="L2620" i="1"/>
  <c r="I2620" i="1"/>
  <c r="L2621" i="1"/>
  <c r="I2621" i="1"/>
  <c r="L2622" i="1"/>
  <c r="I2622" i="1"/>
  <c r="L2623" i="1"/>
  <c r="I2623" i="1"/>
  <c r="L2624" i="1"/>
  <c r="I2624" i="1"/>
  <c r="L2625" i="1"/>
  <c r="I2625" i="1"/>
  <c r="L2626" i="1"/>
  <c r="I2626" i="1"/>
  <c r="L2627" i="1"/>
  <c r="I2627" i="1"/>
  <c r="L2628" i="1"/>
  <c r="I2628" i="1"/>
  <c r="L2629" i="1"/>
  <c r="I2629" i="1"/>
  <c r="L2630" i="1"/>
  <c r="I2630" i="1"/>
  <c r="L2631" i="1"/>
  <c r="I2631" i="1"/>
  <c r="L2632" i="1"/>
  <c r="I2632" i="1"/>
  <c r="L2633" i="1"/>
  <c r="I2633" i="1"/>
  <c r="L2634" i="1"/>
  <c r="I2634" i="1"/>
  <c r="L2635" i="1"/>
  <c r="I2635" i="1"/>
  <c r="L2636" i="1"/>
  <c r="I2636" i="1"/>
  <c r="N3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G4" i="1"/>
  <c r="N2" i="1"/>
</calcChain>
</file>

<file path=xl/sharedStrings.xml><?xml version="1.0" encoding="utf-8"?>
<sst xmlns="http://schemas.openxmlformats.org/spreadsheetml/2006/main" count="9482" uniqueCount="5272">
  <si>
    <t xml:space="preserve">Temps d'exécution </t>
  </si>
  <si>
    <t xml:space="preserve">Ch 1 Displacement </t>
  </si>
  <si>
    <t xml:space="preserve">Ch 1 Force </t>
  </si>
  <si>
    <t xml:space="preserve">Axial Extenso </t>
  </si>
  <si>
    <t>sec</t>
  </si>
  <si>
    <t>mm</t>
  </si>
  <si>
    <t>kN</t>
  </si>
  <si>
    <t>1</t>
  </si>
  <si>
    <t>6</t>
  </si>
  <si>
    <t>11</t>
  </si>
  <si>
    <t>16</t>
  </si>
  <si>
    <t>21</t>
  </si>
  <si>
    <t xml:space="preserve">Area (mm)*2: </t>
  </si>
  <si>
    <t>Yield stress</t>
  </si>
  <si>
    <t>N</t>
  </si>
  <si>
    <t>Conversion</t>
  </si>
  <si>
    <t xml:space="preserve">1KN : </t>
  </si>
  <si>
    <t xml:space="preserve">Force </t>
  </si>
  <si>
    <t>Mpa</t>
  </si>
  <si>
    <t>UTS (Mpa) :</t>
  </si>
  <si>
    <t>X</t>
  </si>
  <si>
    <t>y</t>
  </si>
  <si>
    <t>L0(mm)</t>
  </si>
  <si>
    <t>strain + 0,2%</t>
  </si>
  <si>
    <t>strain * E</t>
  </si>
  <si>
    <t>Strain Max:</t>
  </si>
  <si>
    <t>UTS Index:</t>
  </si>
  <si>
    <t>Fracture Stress:</t>
  </si>
  <si>
    <t>Elongation at fracture:</t>
  </si>
  <si>
    <t>True stress</t>
  </si>
  <si>
    <t>True Strain</t>
  </si>
  <si>
    <t>e (mm) :</t>
  </si>
  <si>
    <t>Eng Stress</t>
  </si>
  <si>
    <t>Eng Strain</t>
  </si>
  <si>
    <t>Min Stress:</t>
  </si>
  <si>
    <t>Mean Stress:</t>
  </si>
  <si>
    <t>Amplitude Stress:</t>
  </si>
  <si>
    <t>Range Stress:</t>
  </si>
  <si>
    <t>E (Mpa) :</t>
  </si>
  <si>
    <t xml:space="preserve">E(Mpa) : </t>
  </si>
  <si>
    <t>Stress Ratio:</t>
  </si>
  <si>
    <t>T (rad)</t>
  </si>
  <si>
    <t>Stress(Mpa)</t>
  </si>
  <si>
    <t>σmax</t>
  </si>
  <si>
    <t>σmin</t>
  </si>
  <si>
    <t>σmean</t>
  </si>
  <si>
    <t xml:space="preserve">λ (nm) </t>
  </si>
  <si>
    <t>A(λ)</t>
  </si>
  <si>
    <t>h(λ)</t>
  </si>
  <si>
    <t>(alpha*A(λ))*2</t>
  </si>
  <si>
    <t>alpha</t>
  </si>
  <si>
    <t>Yield index</t>
  </si>
  <si>
    <t>31.5331694251123</t>
  </si>
  <si>
    <t>0.000107717013160283</t>
  </si>
  <si>
    <t>32.5589889848653</t>
  </si>
  <si>
    <t>0.000118248522193635</t>
  </si>
  <si>
    <t>33.3099504081649</t>
  </si>
  <si>
    <t>0.000120845523943203</t>
  </si>
  <si>
    <t>35.1330302758182</t>
  </si>
  <si>
    <t>0.000141297810904658</t>
  </si>
  <si>
    <t>36.5780165414589</t>
  </si>
  <si>
    <t>0.000147222359623881</t>
  </si>
  <si>
    <t>38.428099521236</t>
  </si>
  <si>
    <t>0.000174318739561138</t>
  </si>
  <si>
    <t>40.3317903796025</t>
  </si>
  <si>
    <t>0.000188296059569368</t>
  </si>
  <si>
    <t>41.9100333069455</t>
  </si>
  <si>
    <t>0.000207266617654017</t>
  </si>
  <si>
    <t>44.4456469823988</t>
  </si>
  <si>
    <t>0.000223645884533333</t>
  </si>
  <si>
    <t>46.535431758614</t>
  </si>
  <si>
    <t>0.000236682377406275</t>
  </si>
  <si>
    <t>48.4351805507817</t>
  </si>
  <si>
    <t>0.000261233803659526</t>
  </si>
  <si>
    <t>50.7158345663041</t>
  </si>
  <si>
    <t>0.00027759984366337</t>
  </si>
  <si>
    <t>52.6417413677304</t>
  </si>
  <si>
    <t>0.000303136882167188</t>
  </si>
  <si>
    <t>54.5468714418633</t>
  </si>
  <si>
    <t>0.000315259471638483</t>
  </si>
  <si>
    <t>57.1559525081085</t>
  </si>
  <si>
    <t>0.000335801156567184</t>
  </si>
  <si>
    <t>59.3906834748379</t>
  </si>
  <si>
    <t>0.000361481016227207</t>
  </si>
  <si>
    <t>62.0219768910825</t>
  </si>
  <si>
    <t>0.000378266238912145</t>
  </si>
  <si>
    <t>64.3442384050138</t>
  </si>
  <si>
    <t>0.000401366446770883</t>
  </si>
  <si>
    <t>65.964122883593</t>
  </si>
  <si>
    <t>0.000417599781002888</t>
  </si>
  <si>
    <t>68.3813796657922</t>
  </si>
  <si>
    <t>0.000436280146512058</t>
  </si>
  <si>
    <t>70.6182855075305</t>
  </si>
  <si>
    <t>0.000464260836746254</t>
  </si>
  <si>
    <t>72.9846888867303</t>
  </si>
  <si>
    <t>0.00048510833493175</t>
  </si>
  <si>
    <t>75.0071389254023</t>
  </si>
  <si>
    <t>0.000493763169591325</t>
  </si>
  <si>
    <t>76.6787225964002</t>
  </si>
  <si>
    <t>0.000517867772184239</t>
  </si>
  <si>
    <t>79.2433342192598</t>
  </si>
  <si>
    <t>0.000539478125697102</t>
  </si>
  <si>
    <t>81.5469626163393</t>
  </si>
  <si>
    <t>0.000554134983509795</t>
  </si>
  <si>
    <t>83.5789355684329</t>
  </si>
  <si>
    <t>0.000578424196852198</t>
  </si>
  <si>
    <t>85.8013483455436</t>
  </si>
  <si>
    <t>0.000593396618511532</t>
  </si>
  <si>
    <t>87.7857100677441</t>
  </si>
  <si>
    <t>0.000615447218808702</t>
  </si>
  <si>
    <t>89.9671473415333</t>
  </si>
  <si>
    <t>0.000641378029209311</t>
  </si>
  <si>
    <t>92.0686840002705</t>
  </si>
  <si>
    <t>0.00065595872758356</t>
  </si>
  <si>
    <t>94.0165388912851</t>
  </si>
  <si>
    <t>0.000683455886225936</t>
  </si>
  <si>
    <t>96.1674486391156</t>
  </si>
  <si>
    <t>0.000691349192592988</t>
  </si>
  <si>
    <t>98.2629782053128</t>
  </si>
  <si>
    <t>0.000717498020215222</t>
  </si>
  <si>
    <t>100.560277656016</t>
  </si>
  <si>
    <t>0.000739338672687561</t>
  </si>
  <si>
    <t>102.625199206043</t>
  </si>
  <si>
    <t>0.000749118009657277</t>
  </si>
  <si>
    <t>104.746878780826</t>
  </si>
  <si>
    <t>0.00077480361595331</t>
  </si>
  <si>
    <t>106.675967929115</t>
  </si>
  <si>
    <t>0.000791087006124385</t>
  </si>
  <si>
    <t>108.987716030716</t>
  </si>
  <si>
    <t>0.000813937177905031</t>
  </si>
  <si>
    <t>110.655024876793</t>
  </si>
  <si>
    <t>0.000829616436494101</t>
  </si>
  <si>
    <t>113.093932341307</t>
  </si>
  <si>
    <t>0.000851137178785846</t>
  </si>
  <si>
    <t>115.667999291873</t>
  </si>
  <si>
    <t>0.000874054221846549</t>
  </si>
  <si>
    <t>118.03163458392</t>
  </si>
  <si>
    <t>0.000897389731655455</t>
  </si>
  <si>
    <t>120.383247277112</t>
  </si>
  <si>
    <t>0.000917862239369968</t>
  </si>
  <si>
    <t>122.59998823794</t>
  </si>
  <si>
    <t>0.000936041913217313</t>
  </si>
  <si>
    <t>124.689273407077</t>
  </si>
  <si>
    <t>0.000956238952220424</t>
  </si>
  <si>
    <t>127.407925158093</t>
  </si>
  <si>
    <t>0.000971726080045016</t>
  </si>
  <si>
    <t>129.729585862207</t>
  </si>
  <si>
    <t>0.00100632376629556</t>
  </si>
  <si>
    <t>132.562586866846</t>
  </si>
  <si>
    <t>0.00102597742875607</t>
  </si>
  <si>
    <t>135.021204350528</t>
  </si>
  <si>
    <t>0.0010521333163869</t>
  </si>
  <si>
    <t>136.574297102686</t>
  </si>
  <si>
    <t>0.00106913056063088</t>
  </si>
  <si>
    <t>139.005952871035</t>
  </si>
  <si>
    <t>0.0010876607119046</t>
  </si>
  <si>
    <t>141.005397363178</t>
  </si>
  <si>
    <t>0.00110891453007618</t>
  </si>
  <si>
    <t>143.431200787091</t>
  </si>
  <si>
    <t>0.00112336254407772</t>
  </si>
  <si>
    <t>146.029336021583</t>
  </si>
  <si>
    <t>0.00115210750697093</t>
  </si>
  <si>
    <t>147.608341277287</t>
  </si>
  <si>
    <t>0.00116621314387878</t>
  </si>
  <si>
    <t>149.869002823364</t>
  </si>
  <si>
    <t>0.0011825180503644</t>
  </si>
  <si>
    <t>151.704063953076</t>
  </si>
  <si>
    <t>0.00120547401052991</t>
  </si>
  <si>
    <t>153.710125615069</t>
  </si>
  <si>
    <t>0.00122342690197685</t>
  </si>
  <si>
    <t>156.094312971125</t>
  </si>
  <si>
    <t>0.00124893877668116</t>
  </si>
  <si>
    <t>158.104108288839</t>
  </si>
  <si>
    <t>0.00125735986971089</t>
  </si>
  <si>
    <t>160.439111904919</t>
  </si>
  <si>
    <t>0.00127630890912719</t>
  </si>
  <si>
    <t>162.529654776593</t>
  </si>
  <si>
    <t>0.00129944401577651</t>
  </si>
  <si>
    <t>164.574251935436</t>
  </si>
  <si>
    <t>0.00131434951305056</t>
  </si>
  <si>
    <t>166.460513704282</t>
  </si>
  <si>
    <t>0.00133570305693061</t>
  </si>
  <si>
    <t>168.647703010415</t>
  </si>
  <si>
    <t>0.00135467695153179</t>
  </si>
  <si>
    <t>170.987722836929</t>
  </si>
  <si>
    <t>0.00137741870182173</t>
  </si>
  <si>
    <t>173.191128906292</t>
  </si>
  <si>
    <t>0.00139425701844099</t>
  </si>
  <si>
    <t>174.928301945777</t>
  </si>
  <si>
    <t>0.00140804717749098</t>
  </si>
  <si>
    <t>176.704959276636</t>
  </si>
  <si>
    <t>0.00142828772441441</t>
  </si>
  <si>
    <t>178.592289326705</t>
  </si>
  <si>
    <t>0.00143840507427667</t>
  </si>
  <si>
    <t>180.346853766484</t>
  </si>
  <si>
    <t>0.00146276145608542</t>
  </si>
  <si>
    <t>182.736312214185</t>
  </si>
  <si>
    <t>0.00147554716116429</t>
  </si>
  <si>
    <t>185.073356432954</t>
  </si>
  <si>
    <t>0.00150146598563112</t>
  </si>
  <si>
    <t>187.21777902269</t>
  </si>
  <si>
    <t>0.00152201830357107</t>
  </si>
  <si>
    <t>189.343663132694</t>
  </si>
  <si>
    <t>0.0015380032990731</t>
  </si>
  <si>
    <t>191.335048089044</t>
  </si>
  <si>
    <t>0.00156031317659079</t>
  </si>
  <si>
    <t>192.832783800913</t>
  </si>
  <si>
    <t>0.00157639326971702</t>
  </si>
  <si>
    <t>195.113595651864</t>
  </si>
  <si>
    <t>0.00159279836684268</t>
  </si>
  <si>
    <t>197.701445106534</t>
  </si>
  <si>
    <t>0.00161941777981628</t>
  </si>
  <si>
    <t>199.811176233034</t>
  </si>
  <si>
    <t>0.00163395203581467</t>
  </si>
  <si>
    <t>201.751459573857</t>
  </si>
  <si>
    <t>0.00165230982874301</t>
  </si>
  <si>
    <t>203.661556378337</t>
  </si>
  <si>
    <t>0.00167003279048441</t>
  </si>
  <si>
    <t>205.893639025029</t>
  </si>
  <si>
    <t>0.0016898858755297</t>
  </si>
  <si>
    <t>207.795224556087</t>
  </si>
  <si>
    <t>0.00170973221085059</t>
  </si>
  <si>
    <t>210.508187264994</t>
  </si>
  <si>
    <t>0.00172900870282251</t>
  </si>
  <si>
    <t>213.164644793923</t>
  </si>
  <si>
    <t>0.00175504488712542</t>
  </si>
  <si>
    <t>215.125117062083</t>
  </si>
  <si>
    <t>0.00177397805235715</t>
  </si>
  <si>
    <t>217.075905441749</t>
  </si>
  <si>
    <t>0.00179609147013473</t>
  </si>
  <si>
    <t>218.797042187219</t>
  </si>
  <si>
    <t>0.00180396714745591</t>
  </si>
  <si>
    <t>221.007060606035</t>
  </si>
  <si>
    <t>0.00183035071385928</t>
  </si>
  <si>
    <t>223.554219170936</t>
  </si>
  <si>
    <t>0.00185232308211954</t>
  </si>
  <si>
    <t>225.53489355721</t>
  </si>
  <si>
    <t>0.00186393664826397</t>
  </si>
  <si>
    <t>227.389218108029</t>
  </si>
  <si>
    <t>0.00188558946581099</t>
  </si>
  <si>
    <t>229.603088509438</t>
  </si>
  <si>
    <t>0.00189876836754492</t>
  </si>
  <si>
    <t>231.621986347083</t>
  </si>
  <si>
    <t>0.00192119782750547</t>
  </si>
  <si>
    <t>233.999159787839</t>
  </si>
  <si>
    <t>0.00194567371052084</t>
  </si>
  <si>
    <t>235.534250095033</t>
  </si>
  <si>
    <t>0.00195704383230663</t>
  </si>
  <si>
    <t>237.761616547521</t>
  </si>
  <si>
    <t>0.00198002404588677</t>
  </si>
  <si>
    <t>239.97668479327</t>
  </si>
  <si>
    <t>0.00199341119651982</t>
  </si>
  <si>
    <t>242.130788945649</t>
  </si>
  <si>
    <t>0.00201996240208771</t>
  </si>
  <si>
    <t>244.193793224331</t>
  </si>
  <si>
    <t>0.0020386100908155</t>
  </si>
  <si>
    <t>246.103786263063</t>
  </si>
  <si>
    <t>0.00205558758091335</t>
  </si>
  <si>
    <t>247.697135395369</t>
  </si>
  <si>
    <t>0.00206933240936555</t>
  </si>
  <si>
    <t>250.302628832675</t>
  </si>
  <si>
    <t>0.00209368940272897</t>
  </si>
  <si>
    <t>252.261437455703</t>
  </si>
  <si>
    <t>0.0021080619341844</t>
  </si>
  <si>
    <t>254.19130406559</t>
  </si>
  <si>
    <t>0.00212416208250443</t>
  </si>
  <si>
    <t>256.602160057938</t>
  </si>
  <si>
    <t>0.0021469620294701</t>
  </si>
  <si>
    <t>258.366336936118</t>
  </si>
  <si>
    <t>0.00216303323658816</t>
  </si>
  <si>
    <t>260.354603650126</t>
  </si>
  <si>
    <t>0.00217929476355345</t>
  </si>
  <si>
    <t>262.850410298913</t>
  </si>
  <si>
    <t>0.0022070806657571</t>
  </si>
  <si>
    <t>264.933903833329</t>
  </si>
  <si>
    <t>0.00222316451885787</t>
  </si>
  <si>
    <t>266.777235979976</t>
  </si>
  <si>
    <t>0.00224055594433996</t>
  </si>
  <si>
    <t>268.866317327498</t>
  </si>
  <si>
    <t>0.00225610604444506</t>
  </si>
  <si>
    <t>270.661591022472</t>
  </si>
  <si>
    <t>0.00227569668477246</t>
  </si>
  <si>
    <t>272.978738880748</t>
  </si>
  <si>
    <t>0.00229744657369785</t>
  </si>
  <si>
    <t>275.085334492054</t>
  </si>
  <si>
    <t>0.0023115501288501</t>
  </si>
  <si>
    <t>276.958658054641</t>
  </si>
  <si>
    <t>0.00233520907917591</t>
  </si>
  <si>
    <t>279.522917698646</t>
  </si>
  <si>
    <t>0.0023557204056513</t>
  </si>
  <si>
    <t>281.474710944161</t>
  </si>
  <si>
    <t>0.00237239091327948</t>
  </si>
  <si>
    <t>283.361383277197</t>
  </si>
  <si>
    <t>0.00238750308423551</t>
  </si>
  <si>
    <t>285.271675023876</t>
  </si>
  <si>
    <t>0.00240518906809978</t>
  </si>
  <si>
    <t>286.997547242557</t>
  </si>
  <si>
    <t>0.0024296371397509</t>
  </si>
  <si>
    <t>289.680185819374</t>
  </si>
  <si>
    <t>0.00244739840781212</t>
  </si>
  <si>
    <t>291.56468648757</t>
  </si>
  <si>
    <t>0.00246724749729616</t>
  </si>
  <si>
    <t>293.36069326443</t>
  </si>
  <si>
    <t>0.00248399652714898</t>
  </si>
  <si>
    <t>295.639084285581</t>
  </si>
  <si>
    <t>0.0024969253154748</t>
  </si>
  <si>
    <t>297.38874026461</t>
  </si>
  <si>
    <t>0.00252378738980594</t>
  </si>
  <si>
    <t>299.342209958594</t>
  </si>
  <si>
    <t>0.00254521291809677</t>
  </si>
  <si>
    <t>301.792414324176</t>
  </si>
  <si>
    <t>0.00255589076537051</t>
  </si>
  <si>
    <t>303.950165160468</t>
  </si>
  <si>
    <t>0.00257675335184835</t>
  </si>
  <si>
    <t>305.880476009178</t>
  </si>
  <si>
    <t>0.00259189853897317</t>
  </si>
  <si>
    <t>307.489972130194</t>
  </si>
  <si>
    <t>0.00260997768443613</t>
  </si>
  <si>
    <t>309.300646416353</t>
  </si>
  <si>
    <t>0.00262440502530348</t>
  </si>
  <si>
    <t>311.169671897234</t>
  </si>
  <si>
    <t>0.00264066013996587</t>
  </si>
  <si>
    <t>312.67233636425</t>
  </si>
  <si>
    <t>0.00266637199556117</t>
  </si>
  <si>
    <t>314.736899634109</t>
  </si>
  <si>
    <t>0.00267938659256384</t>
  </si>
  <si>
    <t>316.96734431515</t>
  </si>
  <si>
    <t>0.00269713090813069</t>
  </si>
  <si>
    <t>319.292397047479</t>
  </si>
  <si>
    <t>0.00271970627723618</t>
  </si>
  <si>
    <t>321.396727908638</t>
  </si>
  <si>
    <t>0.0027350080263553</t>
  </si>
  <si>
    <t>322.867052597599</t>
  </si>
  <si>
    <t>0.00274902106092635</t>
  </si>
  <si>
    <t>324.509581730362</t>
  </si>
  <si>
    <t>0.00276692322553018</t>
  </si>
  <si>
    <t>327.157739203031</t>
  </si>
  <si>
    <t>0.00278703969541511</t>
  </si>
  <si>
    <t>329.251359639922</t>
  </si>
  <si>
    <t>0.00281297760624348</t>
  </si>
  <si>
    <t>331.339284115441</t>
  </si>
  <si>
    <t>0.00282784115255312</t>
  </si>
  <si>
    <t>333.52668807724</t>
  </si>
  <si>
    <t>0.00284515513510743</t>
  </si>
  <si>
    <t>335.215775752774</t>
  </si>
  <si>
    <t>0.00286312776760032</t>
  </si>
  <si>
    <t>337.732812026645</t>
  </si>
  <si>
    <t>0.00288387947330654</t>
  </si>
  <si>
    <t>339.5691306042</t>
  </si>
  <si>
    <t>0.00290422828526471</t>
  </si>
  <si>
    <t>341.147482299855</t>
  </si>
  <si>
    <t>0.00291739159295261</t>
  </si>
  <si>
    <t>343.608590480167</t>
  </si>
  <si>
    <t>0.00293937726942667</t>
  </si>
  <si>
    <t>345.186713835024</t>
  </si>
  <si>
    <t>0.00295519671128839</t>
  </si>
  <si>
    <t>347.01480811444</t>
  </si>
  <si>
    <t>0.00296932254951605</t>
  </si>
  <si>
    <t>349.31160814855</t>
  </si>
  <si>
    <t>0.00298533339310036</t>
  </si>
  <si>
    <t>351.247133320855</t>
  </si>
  <si>
    <t>0.00301207553491035</t>
  </si>
  <si>
    <t>352.997027301667</t>
  </si>
  <si>
    <t>0.00302467959188797</t>
  </si>
  <si>
    <t>355.093910764607</t>
  </si>
  <si>
    <t>0.00304620664408421</t>
  </si>
  <si>
    <t>357.143152980018</t>
  </si>
  <si>
    <t>0.00306189926951952</t>
  </si>
  <si>
    <t>359.299093034638</t>
  </si>
  <si>
    <t>0.00308189211732187</t>
  </si>
  <si>
    <t>360.843953165543</t>
  </si>
  <si>
    <t>0.00309673861094607</t>
  </si>
  <si>
    <t>362.817913118252</t>
  </si>
  <si>
    <t>0.00311846031386665</t>
  </si>
  <si>
    <t>364.314399878496</t>
  </si>
  <si>
    <t>0.00313048295426546</t>
  </si>
  <si>
    <t>366.086004460784</t>
  </si>
  <si>
    <t>0.00314475355485628</t>
  </si>
  <si>
    <t>368.550100411096</t>
  </si>
  <si>
    <t>0.00316876106891829</t>
  </si>
  <si>
    <t>370.800632586485</t>
  </si>
  <si>
    <t>0.0031820081103951</t>
  </si>
  <si>
    <t>372.683835571099</t>
  </si>
  <si>
    <t>0.00321059151585151</t>
  </si>
  <si>
    <t>374.703161091288</t>
  </si>
  <si>
    <t>0.0032210530244079</t>
  </si>
  <si>
    <t>375.740743172458</t>
  </si>
  <si>
    <t>0.0032349956093997</t>
  </si>
  <si>
    <t>378.028091058306</t>
  </si>
  <si>
    <t>0.00325344678008047</t>
  </si>
  <si>
    <t>380.141000552114</t>
  </si>
  <si>
    <t>0.00326558999789012</t>
  </si>
  <si>
    <t>382.358263552488</t>
  </si>
  <si>
    <t>0.00329960639523938</t>
  </si>
  <si>
    <t>384.307598094356</t>
  </si>
  <si>
    <t>0.00330792548025585</t>
  </si>
  <si>
    <t>386.45598646387</t>
  </si>
  <si>
    <t>0.00332913243411253</t>
  </si>
  <si>
    <t>388.013481999732</t>
  </si>
  <si>
    <t>0.00335179578793798</t>
  </si>
  <si>
    <t>390.238661885948</t>
  </si>
  <si>
    <t>0.003363947601096</t>
  </si>
  <si>
    <t>392.086540732485</t>
  </si>
  <si>
    <t>0.00338502320485758</t>
  </si>
  <si>
    <t>393.829013395633</t>
  </si>
  <si>
    <t>0.00339682256445546</t>
  </si>
  <si>
    <t>396.233401106918</t>
  </si>
  <si>
    <t>0.00341993032805036</t>
  </si>
  <si>
    <t>397.561789979653</t>
  </si>
  <si>
    <t>0.003437445609957</t>
  </si>
  <si>
    <t>399.68579897477</t>
  </si>
  <si>
    <t>0.00344872772395976</t>
  </si>
  <si>
    <t>401.459774302296</t>
  </si>
  <si>
    <t>0.00347288528246998</t>
  </si>
  <si>
    <t>403.605013054424</t>
  </si>
  <si>
    <t>0.00348936860020013</t>
  </si>
  <si>
    <t>405.577541039894</t>
  </si>
  <si>
    <t>0.00350036953280948</t>
  </si>
  <si>
    <t>407.144295047402</t>
  </si>
  <si>
    <t>0.00352258637106015</t>
  </si>
  <si>
    <t>409.257015216683</t>
  </si>
  <si>
    <t>0.00354149915143476</t>
  </si>
  <si>
    <t>411.439015829991</t>
  </si>
  <si>
    <t>0.00356005378170911</t>
  </si>
  <si>
    <t>413.005120670757</t>
  </si>
  <si>
    <t>0.00358063298126628</t>
  </si>
  <si>
    <t>415.712037153025</t>
  </si>
  <si>
    <t>0.00359915208632488</t>
  </si>
  <si>
    <t>417.365255492564</t>
  </si>
  <si>
    <t>0.00361534007258384</t>
  </si>
  <si>
    <t>418.760511935432</t>
  </si>
  <si>
    <t>0.00362251724987405</t>
  </si>
  <si>
    <t>420.362102897763</t>
  </si>
  <si>
    <t>0.00363487202369979</t>
  </si>
  <si>
    <t>421.828901909135</t>
  </si>
  <si>
    <t>0.00365743928202572</t>
  </si>
  <si>
    <t>423.4948787335</t>
  </si>
  <si>
    <t>0.00366950256475828</t>
  </si>
  <si>
    <t>425.550587433158</t>
  </si>
  <si>
    <t>0.00369330791949923</t>
  </si>
  <si>
    <t>427.564257690155</t>
  </si>
  <si>
    <t>0.00370962305170109</t>
  </si>
  <si>
    <t>429.519849879601</t>
  </si>
  <si>
    <t>0.00372110542800238</t>
  </si>
  <si>
    <t>430.96610747925</t>
  </si>
  <si>
    <t>0.00373799819952792</t>
  </si>
  <si>
    <t>432.638168404743</t>
  </si>
  <si>
    <t>0.00375467866153387</t>
  </si>
  <si>
    <t>434.343971871503</t>
  </si>
  <si>
    <t>0.00376902444092078</t>
  </si>
  <si>
    <t>436.426469763957</t>
  </si>
  <si>
    <t>0.00379071197495692</t>
  </si>
  <si>
    <t>438.401932259608</t>
  </si>
  <si>
    <t>0.00380444112963441</t>
  </si>
  <si>
    <t>440.255097641216</t>
  </si>
  <si>
    <t>0.00382509466813101</t>
  </si>
  <si>
    <t>442.116227018162</t>
  </si>
  <si>
    <t>0.00383414252972905</t>
  </si>
  <si>
    <t>444.197341818122</t>
  </si>
  <si>
    <t>0.00385362200869751</t>
  </si>
  <si>
    <t>445.700311428597</t>
  </si>
  <si>
    <t>0.00386937390387833</t>
  </si>
  <si>
    <t>447.404712240595</t>
  </si>
  <si>
    <t>0.00388831962681744</t>
  </si>
  <si>
    <t>449.036040030894</t>
  </si>
  <si>
    <t>0.00390333389354138</t>
  </si>
  <si>
    <t>450.578402322976</t>
  </si>
  <si>
    <t>0.00390791654841114</t>
  </si>
  <si>
    <t>452.923586300301</t>
  </si>
  <si>
    <t>0.00394138567173964</t>
  </si>
  <si>
    <t>455.42658019733</t>
  </si>
  <si>
    <t>0.00395900306733445</t>
  </si>
  <si>
    <t>457.108925067919</t>
  </si>
  <si>
    <t>0.00397374776774471</t>
  </si>
  <si>
    <t>459.336871413598</t>
  </si>
  <si>
    <t>0.00399767415165595</t>
  </si>
  <si>
    <t>460.83108547704</t>
  </si>
  <si>
    <t>0.00400552653049369</t>
  </si>
  <si>
    <t>462.658141463942</t>
  </si>
  <si>
    <t>0.00402745315030156</t>
  </si>
  <si>
    <t>464.969463574933</t>
  </si>
  <si>
    <t>0.00404466249617163</t>
  </si>
  <si>
    <t>466.4296306768</t>
  </si>
  <si>
    <t>0.00405554282691745</t>
  </si>
  <si>
    <t>468.241995461658</t>
  </si>
  <si>
    <t>0.00407420168992232</t>
  </si>
  <si>
    <t>469.872431456069</t>
  </si>
  <si>
    <t>0.00409035010444221</t>
  </si>
  <si>
    <t>471.263813776827</t>
  </si>
  <si>
    <t>0.00410466462074353</t>
  </si>
  <si>
    <t>473.291673307904</t>
  </si>
  <si>
    <t>0.00412518044457895</t>
  </si>
  <si>
    <t>474.792259082935</t>
  </si>
  <si>
    <t>0.00413309920957001</t>
  </si>
  <si>
    <t>476.616665373624</t>
  </si>
  <si>
    <t>0.00415623851264202</t>
  </si>
  <si>
    <t>478.894164503792</t>
  </si>
  <si>
    <t>0.00416927467231814</t>
  </si>
  <si>
    <t>480.86087083526</t>
  </si>
  <si>
    <t>0.00419115350430372</t>
  </si>
  <si>
    <t>482.366279051251</t>
  </si>
  <si>
    <t>0.0042068703774704</t>
  </si>
  <si>
    <t>484.019417009758</t>
  </si>
  <si>
    <t>0.00421567750033515</t>
  </si>
  <si>
    <t>485.917485320538</t>
  </si>
  <si>
    <t>0.00423893878529917</t>
  </si>
  <si>
    <t>488.130420732944</t>
  </si>
  <si>
    <t>0.00425151706414928</t>
  </si>
  <si>
    <t>490.030494772347</t>
  </si>
  <si>
    <t>0.00426933185584235</t>
  </si>
  <si>
    <t>491.93121743604</t>
  </si>
  <si>
    <t>0.00429526594187665</t>
  </si>
  <si>
    <t>493.869414817591</t>
  </si>
  <si>
    <t>0.00430473372795088</t>
  </si>
  <si>
    <t>495.361614329788</t>
  </si>
  <si>
    <t>0.00432882714936859</t>
  </si>
  <si>
    <t>497.483559808385</t>
  </si>
  <si>
    <t>0.00434193096815483</t>
  </si>
  <si>
    <t>499.426010684103</t>
  </si>
  <si>
    <t>0.00436080797490477</t>
  </si>
  <si>
    <t>500.814194282062</t>
  </si>
  <si>
    <t>0.00437701369963111</t>
  </si>
  <si>
    <t>502.401317775089</t>
  </si>
  <si>
    <t>0.00438145799433476</t>
  </si>
  <si>
    <t>503.761738347052</t>
  </si>
  <si>
    <t>0.00440719901870748</t>
  </si>
  <si>
    <t>505.582838446783</t>
  </si>
  <si>
    <t>0.00441225492891052</t>
  </si>
  <si>
    <t>507.188480457041</t>
  </si>
  <si>
    <t>0.0044280726383404</t>
  </si>
  <si>
    <t>508.972825856437</t>
  </si>
  <si>
    <t>0.0044462978991579</t>
  </si>
  <si>
    <t>510.911352207793</t>
  </si>
  <si>
    <t>0.00445982284173396</t>
  </si>
  <si>
    <t>512.752490721657</t>
  </si>
  <si>
    <t>0.00448128063186519</t>
  </si>
  <si>
    <t>514.2885430128</t>
  </si>
  <si>
    <t>0.00449181831096772</t>
  </si>
  <si>
    <t>516.215897905743</t>
  </si>
  <si>
    <t>0.0045172182390143</t>
  </si>
  <si>
    <t>517.847988594814</t>
  </si>
  <si>
    <t>0.00453125249635561</t>
  </si>
  <si>
    <t>519.276336978957</t>
  </si>
  <si>
    <t>0.00454367608298689</t>
  </si>
  <si>
    <t>521.277214054511</t>
  </si>
  <si>
    <t>0.00455573881963465</t>
  </si>
  <si>
    <t>523.038416665522</t>
  </si>
  <si>
    <t>0.0045740338192687</t>
  </si>
  <si>
    <t>524.969844749838</t>
  </si>
  <si>
    <t>0.004595779949108</t>
  </si>
  <si>
    <t>526.754782812015</t>
  </si>
  <si>
    <t>0.00460836243134483</t>
  </si>
  <si>
    <t>528.65691212797</t>
  </si>
  <si>
    <t>0.00462822878599183</t>
  </si>
  <si>
    <t>530.434490652455</t>
  </si>
  <si>
    <t>0.00464538470479465</t>
  </si>
  <si>
    <t>532.078045095091</t>
  </si>
  <si>
    <t>0.00465563639994884</t>
  </si>
  <si>
    <t>533.69944117593</t>
  </si>
  <si>
    <t>0.00467195684124195</t>
  </si>
  <si>
    <t>535.305658148939</t>
  </si>
  <si>
    <t>0.00468812240105594</t>
  </si>
  <si>
    <t>536.476107344138</t>
  </si>
  <si>
    <t>0.00469897545586024</t>
  </si>
  <si>
    <t>538.248291763465</t>
  </si>
  <si>
    <t>0.00471685722982152</t>
  </si>
  <si>
    <t>540.324219952861</t>
  </si>
  <si>
    <t>0.00473971472972591</t>
  </si>
  <si>
    <t>541.960398503213</t>
  </si>
  <si>
    <t>0.00475015120180757</t>
  </si>
  <si>
    <t>543.790189131868</t>
  </si>
  <si>
    <t>0.00476405655262869</t>
  </si>
  <si>
    <t>545.522115524305</t>
  </si>
  <si>
    <t>0.00478280575013306</t>
  </si>
  <si>
    <t>547.133199303983</t>
  </si>
  <si>
    <t>0.004799373934829</t>
  </si>
  <si>
    <t>548.755861264177</t>
  </si>
  <si>
    <t>0.00481312545361597</t>
  </si>
  <si>
    <t>549.770025649086</t>
  </si>
  <si>
    <t>0.00482404521671011</t>
  </si>
  <si>
    <t>551.210223281035</t>
  </si>
  <si>
    <t>0.00483156707958393</t>
  </si>
  <si>
    <t>553.093615421362</t>
  </si>
  <si>
    <t>0.00485125703281498</t>
  </si>
  <si>
    <t>554.706728012304</t>
  </si>
  <si>
    <t>0.00486341634289922</t>
  </si>
  <si>
    <t>556.702582977772</t>
  </si>
  <si>
    <t>0.00488710785566571</t>
  </si>
  <si>
    <t>558.857083921514</t>
  </si>
  <si>
    <t>0.00490181136445631</t>
  </si>
  <si>
    <t>560.393574288305</t>
  </si>
  <si>
    <t>0.00492120199884754</t>
  </si>
  <si>
    <t>562.351401220775</t>
  </si>
  <si>
    <t>0.00493274251139784</t>
  </si>
  <si>
    <t>564.405364668396</t>
  </si>
  <si>
    <t>0.00495838898557323</t>
  </si>
  <si>
    <t>566.337575971252</t>
  </si>
  <si>
    <t>0.00496642640583582</t>
  </si>
  <si>
    <t>567.770394576909</t>
  </si>
  <si>
    <t>0.00498740708782171</t>
  </si>
  <si>
    <t>568.76394846679</t>
  </si>
  <si>
    <t>0.0049891630900178</t>
  </si>
  <si>
    <t>569.987501028199</t>
  </si>
  <si>
    <t>0.0050025290217529</t>
  </si>
  <si>
    <t>571.033173109332</t>
  </si>
  <si>
    <t>0.00501487834100695</t>
  </si>
  <si>
    <t>572.379113118608</t>
  </si>
  <si>
    <t>0.00502644962624104</t>
  </si>
  <si>
    <t>574.276436536643</t>
  </si>
  <si>
    <t>0.00504818592011952</t>
  </si>
  <si>
    <t>575.464576841672</t>
  </si>
  <si>
    <t>0.00505802591712096</t>
  </si>
  <si>
    <t>577.188302578902</t>
  </si>
  <si>
    <t>0.00507705446284779</t>
  </si>
  <si>
    <t>578.819881730651</t>
  </si>
  <si>
    <t>0.00509278456493522</t>
  </si>
  <si>
    <t>580.609710979887</t>
  </si>
  <si>
    <t>0.00510832910416696</t>
  </si>
  <si>
    <t>581.998644508779</t>
  </si>
  <si>
    <t>0.00512118238470357</t>
  </si>
  <si>
    <t>583.70982315983</t>
  </si>
  <si>
    <t>0.00512854167485706</t>
  </si>
  <si>
    <t>584.776940682023</t>
  </si>
  <si>
    <t>0.00514233716674097</t>
  </si>
  <si>
    <t>586.323560849901</t>
  </si>
  <si>
    <t>0.00515193989810202</t>
  </si>
  <si>
    <t>587.370176614813</t>
  </si>
  <si>
    <t>0.00516736046406273</t>
  </si>
  <si>
    <t>588.694582839022</t>
  </si>
  <si>
    <t>0.00518003673169961</t>
  </si>
  <si>
    <t>590.049879341126</t>
  </si>
  <si>
    <t>0.00518771154101313</t>
  </si>
  <si>
    <t>592.071300070116</t>
  </si>
  <si>
    <t>0.00521069870101321</t>
  </si>
  <si>
    <t>593.747552809916</t>
  </si>
  <si>
    <t>0.00522412717638645</t>
  </si>
  <si>
    <t>595.299186016804</t>
  </si>
  <si>
    <t>0.00523335129992077</t>
  </si>
  <si>
    <t>597.043439025555</t>
  </si>
  <si>
    <t>0.00525484533455209</t>
  </si>
  <si>
    <t>598.439321333686</t>
  </si>
  <si>
    <t>0.00526602011026809</t>
  </si>
  <si>
    <t>599.82312529506</t>
  </si>
  <si>
    <t>0.0052788073109265</t>
  </si>
  <si>
    <t>601.756258978082</t>
  </si>
  <si>
    <t>0.00529457838873844</t>
  </si>
  <si>
    <t>603.53707606262</t>
  </si>
  <si>
    <t>0.00530708296387812</t>
  </si>
  <si>
    <t>605.269756822974</t>
  </si>
  <si>
    <t>0.00532802972196114</t>
  </si>
  <si>
    <t>607.099881874349</t>
  </si>
  <si>
    <t>0.0053410473582858</t>
  </si>
  <si>
    <t>608.645405734783</t>
  </si>
  <si>
    <t>0.00535954329921175</t>
  </si>
  <si>
    <t>609.78491494551</t>
  </si>
  <si>
    <t>0.00537541948698019</t>
  </si>
  <si>
    <t>611.248187109729</t>
  </si>
  <si>
    <t>0.00537811452398351</t>
  </si>
  <si>
    <t>612.783924154431</t>
  </si>
  <si>
    <t>0.00539432909988687</t>
  </si>
  <si>
    <t>614.700945042624</t>
  </si>
  <si>
    <t>0.00541705641900472</t>
  </si>
  <si>
    <t>616.368255861276</t>
  </si>
  <si>
    <t>0.00542295463311402</t>
  </si>
  <si>
    <t>617.929088385082</t>
  </si>
  <si>
    <t>0.00545163361994259</t>
  </si>
  <si>
    <t>619.666372183073</t>
  </si>
  <si>
    <t>0.00545319704287231</t>
  </si>
  <si>
    <t>621.45914473078</t>
  </si>
  <si>
    <t>0.00547666871673103</t>
  </si>
  <si>
    <t>623.141328449694</t>
  </si>
  <si>
    <t>0.00548950821864052</t>
  </si>
  <si>
    <t>625.078594956888</t>
  </si>
  <si>
    <t>0.00550537583080226</t>
  </si>
  <si>
    <t>626.442014668922</t>
  </si>
  <si>
    <t>0.00551935281157545</t>
  </si>
  <si>
    <t>627.669930970051</t>
  </si>
  <si>
    <t>0.00552139514499089</t>
  </si>
  <si>
    <t>629.219436926531</t>
  </si>
  <si>
    <t>0.00555254156944698</t>
  </si>
  <si>
    <t>630.527872296959</t>
  </si>
  <si>
    <t>0.00556353538527018</t>
  </si>
  <si>
    <t>632.246151569721</t>
  </si>
  <si>
    <t>0.00558260279193888</t>
  </si>
  <si>
    <t>633.536875985122</t>
  </si>
  <si>
    <t>0.00559522640536769</t>
  </si>
  <si>
    <t>635.048269942854</t>
  </si>
  <si>
    <t>0.00561296699058388</t>
  </si>
  <si>
    <t>636.589800089698</t>
  </si>
  <si>
    <t>0.00562699239005287</t>
  </si>
  <si>
    <t>638.046585422651</t>
  </si>
  <si>
    <t>0.00563717831711485</t>
  </si>
  <si>
    <t>639.38463157386</t>
  </si>
  <si>
    <t>0.00565410061081478</t>
  </si>
  <si>
    <t>641.037393483367</t>
  </si>
  <si>
    <t>0.00566305705811869</t>
  </si>
  <si>
    <t>642.618860491269</t>
  </si>
  <si>
    <t>0.00567760229653047</t>
  </si>
  <si>
    <t>644.668361173193</t>
  </si>
  <si>
    <t>0.00569668670014443</t>
  </si>
  <si>
    <t>646.859369322876</t>
  </si>
  <si>
    <t>0.00571400733141559</t>
  </si>
  <si>
    <t>648.50313652956</t>
  </si>
  <si>
    <t>0.00573095038990865</t>
  </si>
  <si>
    <t>650.012589054819</t>
  </si>
  <si>
    <t>0.00574177911106359</t>
  </si>
  <si>
    <t>651.061669324575</t>
  </si>
  <si>
    <t>0.00575757074067576</t>
  </si>
  <si>
    <t>652.76163729496</t>
  </si>
  <si>
    <t>0.00576698020231895</t>
  </si>
  <si>
    <t>654.244791853213</t>
  </si>
  <si>
    <t>0.00578105769699583</t>
  </si>
  <si>
    <t>655.846012053363</t>
  </si>
  <si>
    <t>0.00579549198711147</t>
  </si>
  <si>
    <t>657.386049291388</t>
  </si>
  <si>
    <t>0.00580984360347361</t>
  </si>
  <si>
    <t>658.773721164262</t>
  </si>
  <si>
    <t>0.00582824949684533</t>
  </si>
  <si>
    <t>660.100594172963</t>
  </si>
  <si>
    <t>0.00583435361474139</t>
  </si>
  <si>
    <t>661.851278253387</t>
  </si>
  <si>
    <t>0.00585007325574232</t>
  </si>
  <si>
    <t>663.535452829586</t>
  </si>
  <si>
    <t>0.00587336780253863</t>
  </si>
  <si>
    <t>665.151373378538</t>
  </si>
  <si>
    <t>0.0058814792466386</t>
  </si>
  <si>
    <t>666.705087771816</t>
  </si>
  <si>
    <t>0.00590386566638414</t>
  </si>
  <si>
    <t>667.605302534039</t>
  </si>
  <si>
    <t>0.00590597520590897</t>
  </si>
  <si>
    <t>669.023149571752</t>
  </si>
  <si>
    <t>0.00592084348170636</t>
  </si>
  <si>
    <t>670.595840007624</t>
  </si>
  <si>
    <t>0.00594048523743102</t>
  </si>
  <si>
    <t>672.145440952204</t>
  </si>
  <si>
    <t>0.0059517583141981</t>
  </si>
  <si>
    <t>673.677326089672</t>
  </si>
  <si>
    <t>0.0059651479112855</t>
  </si>
  <si>
    <t>674.647508464831</t>
  </si>
  <si>
    <t>0.005971377764798</t>
  </si>
  <si>
    <t>676.095530811952</t>
  </si>
  <si>
    <t>0.0059836229102762</t>
  </si>
  <si>
    <t>677.211905159182</t>
  </si>
  <si>
    <t>0.00599700918773748</t>
  </si>
  <si>
    <t>678.891905894507</t>
  </si>
  <si>
    <t>0.00601280438135392</t>
  </si>
  <si>
    <t>680.808151327613</t>
  </si>
  <si>
    <t>0.00602526128612718</t>
  </si>
  <si>
    <t>681.951903818138</t>
  </si>
  <si>
    <t>0.00604025435094845</t>
  </si>
  <si>
    <t>683.549749193905</t>
  </si>
  <si>
    <t>0.00605224227674919</t>
  </si>
  <si>
    <t>685.285318769123</t>
  </si>
  <si>
    <t>0.00606752493805653</t>
  </si>
  <si>
    <t>686.396660930173</t>
  </si>
  <si>
    <t>0.00608070868546566</t>
  </si>
  <si>
    <t>687.817953147646</t>
  </si>
  <si>
    <t>0.00609250810048101</t>
  </si>
  <si>
    <t>689.426108797434</t>
  </si>
  <si>
    <t>0.0061098793688148</t>
  </si>
  <si>
    <t>691.209319772306</t>
  </si>
  <si>
    <t>0.00612967433537904</t>
  </si>
  <si>
    <t>693.130043918359</t>
  </si>
  <si>
    <t>0.00614181232569168</t>
  </si>
  <si>
    <t>694.613415860543</t>
  </si>
  <si>
    <t>0.00615628660518765</t>
  </si>
  <si>
    <t>695.747885054382</t>
  </si>
  <si>
    <t>0.00616974107579139</t>
  </si>
  <si>
    <t>696.885401700011</t>
  </si>
  <si>
    <t>0.00617579357609136</t>
  </si>
  <si>
    <t>698.369520060891</t>
  </si>
  <si>
    <t>0.00618916101147191</t>
  </si>
  <si>
    <t>700.121392638134</t>
  </si>
  <si>
    <t>0.00620337718344358</t>
  </si>
  <si>
    <t>701.528719626065</t>
  </si>
  <si>
    <t>0.00622146165541032</t>
  </si>
  <si>
    <t>702.879399312794</t>
  </si>
  <si>
    <t>0.00623337004015332</t>
  </si>
  <si>
    <t>703.907782465519</t>
  </si>
  <si>
    <t>0.00624850387479159</t>
  </si>
  <si>
    <t>704.884178021416</t>
  </si>
  <si>
    <t>0.00625073596948239</t>
  </si>
  <si>
    <t>706.335596455641</t>
  </si>
  <si>
    <t>0.00626881018538327</t>
  </si>
  <si>
    <t>708.124421497077</t>
  </si>
  <si>
    <t>0.00628189656122533</t>
  </si>
  <si>
    <t>709.479973483906</t>
  </si>
  <si>
    <t>0.00629623649895439</t>
  </si>
  <si>
    <t>710.958350585061</t>
  </si>
  <si>
    <t>0.00630944615223263</t>
  </si>
  <si>
    <t>712.650656885318</t>
  </si>
  <si>
    <t>0.0063212811881843</t>
  </si>
  <si>
    <t>713.375507455171</t>
  </si>
  <si>
    <t>0.00634295103699406</t>
  </si>
  <si>
    <t>714.493003327345</t>
  </si>
  <si>
    <t>0.00633640429345843</t>
  </si>
  <si>
    <t>716.926086937625</t>
  </si>
  <si>
    <t>0.00636456185488264</t>
  </si>
  <si>
    <t>718.540159156672</t>
  </si>
  <si>
    <t>0.00637879216185735</t>
  </si>
  <si>
    <t>720.943159060046</t>
  </si>
  <si>
    <t>0.00639415008183492</t>
  </si>
  <si>
    <t>722.748624011181</t>
  </si>
  <si>
    <t>0.0064208745992979</t>
  </si>
  <si>
    <t>724.56862082051</t>
  </si>
  <si>
    <t>0.00644690367659617</t>
  </si>
  <si>
    <t>726.053907871476</t>
  </si>
  <si>
    <t>0.00644988210301205</t>
  </si>
  <si>
    <t>727.737404969136</t>
  </si>
  <si>
    <t>0.00646406059237568</t>
  </si>
  <si>
    <t>729.894862998054</t>
  </si>
  <si>
    <t>0.00648437120103819</t>
  </si>
  <si>
    <t>731.700884442218</t>
  </si>
  <si>
    <t>0.0065020667428067</t>
  </si>
  <si>
    <t>733.515779991401</t>
  </si>
  <si>
    <t>0.00652137468740845</t>
  </si>
  <si>
    <t>735.09677229492</t>
  </si>
  <si>
    <t>0.00653583335411348</t>
  </si>
  <si>
    <t>736.37700339645</t>
  </si>
  <si>
    <t>0.00655005833268606</t>
  </si>
  <si>
    <t>738.090440824232</t>
  </si>
  <si>
    <t>0.00657166684381815</t>
  </si>
  <si>
    <t>739.822430766458</t>
  </si>
  <si>
    <t>0.00658646956821734</t>
  </si>
  <si>
    <t>741.194708999088</t>
  </si>
  <si>
    <t>0.00659642707623813</t>
  </si>
  <si>
    <t>742.474991455745</t>
  </si>
  <si>
    <t>0.00661208956733242</t>
  </si>
  <si>
    <t>743.888882789172</t>
  </si>
  <si>
    <t>0.00662811031658645</t>
  </si>
  <si>
    <t>745.607806881798</t>
  </si>
  <si>
    <t>0.00663917254293506</t>
  </si>
  <si>
    <t>746.667449071892</t>
  </si>
  <si>
    <t>0.00665103981585757</t>
  </si>
  <si>
    <t>747.911885997575</t>
  </si>
  <si>
    <t>0.0066638899064702</t>
  </si>
  <si>
    <t>749.409399514245</t>
  </si>
  <si>
    <t>0.00667573448067487</t>
  </si>
  <si>
    <t>750.662478169268</t>
  </si>
  <si>
    <t>0.00669288457993716</t>
  </si>
  <si>
    <t>751.845246237752</t>
  </si>
  <si>
    <t>0.00669941670357246</t>
  </si>
  <si>
    <t>753.822257616394</t>
  </si>
  <si>
    <t>0.00671973915524691</t>
  </si>
  <si>
    <t>755.260414918848</t>
  </si>
  <si>
    <t>0.00672922918459286</t>
  </si>
  <si>
    <t>756.06979815706</t>
  </si>
  <si>
    <t>0.00674156948482692</t>
  </si>
  <si>
    <t>757.627917087536</t>
  </si>
  <si>
    <t>0.00675869099265918</t>
  </si>
  <si>
    <t>759.210530275046</t>
  </si>
  <si>
    <t>0.00677050120048001</t>
  </si>
  <si>
    <t>760.778243812065</t>
  </si>
  <si>
    <t>0.00678159798569957</t>
  </si>
  <si>
    <t>762.209182205838</t>
  </si>
  <si>
    <t>0.00680287918667483</t>
  </si>
  <si>
    <t>763.176828669526</t>
  </si>
  <si>
    <t>0.00681678312254651</t>
  </si>
  <si>
    <t>764.443924207523</t>
  </si>
  <si>
    <t>0.00682003866795677</t>
  </si>
  <si>
    <t>766.289742016997</t>
  </si>
  <si>
    <t>0.00684589476546546</t>
  </si>
  <si>
    <t>767.560634724721</t>
  </si>
  <si>
    <t>0.00685085923311668</t>
  </si>
  <si>
    <t>769.274502141777</t>
  </si>
  <si>
    <t>0.00686432893094705</t>
  </si>
  <si>
    <t>770.284161682083</t>
  </si>
  <si>
    <t>0.00688069249089941</t>
  </si>
  <si>
    <t>771.581512499959</t>
  </si>
  <si>
    <t>0.00688611852900952</t>
  </si>
  <si>
    <t>773.234345545662</t>
  </si>
  <si>
    <t>0.00691023799238888</t>
  </si>
  <si>
    <t>774.772413521194</t>
  </si>
  <si>
    <t>0.0069277728145132</t>
  </si>
  <si>
    <t>776.640921682743</t>
  </si>
  <si>
    <t>0.00694193224621567</t>
  </si>
  <si>
    <t>778.021779528964</t>
  </si>
  <si>
    <t>0.00696081117661847</t>
  </si>
  <si>
    <t>779.149061709738</t>
  </si>
  <si>
    <t>0.00696082345994614</t>
  </si>
  <si>
    <t>780.452242270128</t>
  </si>
  <si>
    <t>0.00698027861650666</t>
  </si>
  <si>
    <t>781.805480100438</t>
  </si>
  <si>
    <t>0.00699496619249876</t>
  </si>
  <si>
    <t>782.975409014748</t>
  </si>
  <si>
    <t>0.00700217117599745</t>
  </si>
  <si>
    <t>784.047085732414</t>
  </si>
  <si>
    <t>0.00701890312654884</t>
  </si>
  <si>
    <t>785.384344941566</t>
  </si>
  <si>
    <t>0.00702813888727396</t>
  </si>
  <si>
    <t>787.049031998362</t>
  </si>
  <si>
    <t>0.00704910778623196</t>
  </si>
  <si>
    <t>788.379288809362</t>
  </si>
  <si>
    <t>0.0070543652949933</t>
  </si>
  <si>
    <t>789.504094957823</t>
  </si>
  <si>
    <t>0.00707153707826369</t>
  </si>
  <si>
    <t>790.886529163017</t>
  </si>
  <si>
    <t>0.00708262618870999</t>
  </si>
  <si>
    <t>792.160598373239</t>
  </si>
  <si>
    <t>0.00709672924417667</t>
  </si>
  <si>
    <t>793.774115462617</t>
  </si>
  <si>
    <t>0.00711982210745348</t>
  </si>
  <si>
    <t>795.563637279233</t>
  </si>
  <si>
    <t>0.00713113391202377</t>
  </si>
  <si>
    <t>796.744896000447</t>
  </si>
  <si>
    <t>0.00714749527395635</t>
  </si>
  <si>
    <t>798.432176871494</t>
  </si>
  <si>
    <t>0.00716448341293489</t>
  </si>
  <si>
    <t>799.3829094766</t>
  </si>
  <si>
    <t>0.00717457314438194</t>
  </si>
  <si>
    <t>800.701903663283</t>
  </si>
  <si>
    <t>0.00718817718043829</t>
  </si>
  <si>
    <t>802.240524686231</t>
  </si>
  <si>
    <t>0.00720193778670316</t>
  </si>
  <si>
    <t>804.01217791731</t>
  </si>
  <si>
    <t>0.0072184222366096</t>
  </si>
  <si>
    <t>805.589341494695</t>
  </si>
  <si>
    <t>0.00723527192415612</t>
  </si>
  <si>
    <t>806.79554131519</t>
  </si>
  <si>
    <t>0.00725146833381706</t>
  </si>
  <si>
    <t>808.539067154238</t>
  </si>
  <si>
    <t>0.00726556973063993</t>
  </si>
  <si>
    <t>809.822931674188</t>
  </si>
  <si>
    <t>0.00727980600213591</t>
  </si>
  <si>
    <t>810.653748147442</t>
  </si>
  <si>
    <t>0.00730090252839176</t>
  </si>
  <si>
    <t>812.185999209739</t>
  </si>
  <si>
    <t>0.00730527678579366</t>
  </si>
  <si>
    <t>813.509421250098</t>
  </si>
  <si>
    <t>0.00732496359646331</t>
  </si>
  <si>
    <t>814.659092506446</t>
  </si>
  <si>
    <t>0.00733485524912019</t>
  </si>
  <si>
    <t>815.850368761927</t>
  </si>
  <si>
    <t>0.00734632496554838</t>
  </si>
  <si>
    <t>817.523716259372</t>
  </si>
  <si>
    <t>0.00736577840168427</t>
  </si>
  <si>
    <t>818.43275153395</t>
  </si>
  <si>
    <t>0.00737272720388003</t>
  </si>
  <si>
    <t>820.253601261007</t>
  </si>
  <si>
    <t>0.00739629975819263</t>
  </si>
  <si>
    <t>821.822299305385</t>
  </si>
  <si>
    <t>0.00740888099703119</t>
  </si>
  <si>
    <t>823.567989112379</t>
  </si>
  <si>
    <t>0.00742893987331165</t>
  </si>
  <si>
    <t>824.824675556546</t>
  </si>
  <si>
    <t>0.00744082305467359</t>
  </si>
  <si>
    <t>825.840996160929</t>
  </si>
  <si>
    <t>0.00745478239858258</t>
  </si>
  <si>
    <t>827.284069699013</t>
  </si>
  <si>
    <t>0.0074771556521477</t>
  </si>
  <si>
    <t>828.456668008934</t>
  </si>
  <si>
    <t>0.00749135497001361</t>
  </si>
  <si>
    <t>829.765318853269</t>
  </si>
  <si>
    <t>0.00750840298444734</t>
  </si>
  <si>
    <t>831.889763237108</t>
  </si>
  <si>
    <t>0.00752992724921526</t>
  </si>
  <si>
    <t>833.307296327893</t>
  </si>
  <si>
    <t>0.00754469268758729</t>
  </si>
  <si>
    <t>834.378637101914</t>
  </si>
  <si>
    <t>0.00756196581460173</t>
  </si>
  <si>
    <t>835.363246244234</t>
  </si>
  <si>
    <t>0.00757167676268121</t>
  </si>
  <si>
    <t>836.958489501948</t>
  </si>
  <si>
    <t>0.00759087236067082</t>
  </si>
  <si>
    <t>838.659373508843</t>
  </si>
  <si>
    <t>0.00760201203635164</t>
  </si>
  <si>
    <t>839.879516244096</t>
  </si>
  <si>
    <t>0.00761865380333091</t>
  </si>
  <si>
    <t>840.920405224952</t>
  </si>
  <si>
    <t>0.00763992875132644</t>
  </si>
  <si>
    <t>842.428178712926</t>
  </si>
  <si>
    <t>0.00764914433718452</t>
  </si>
  <si>
    <t>843.425545362481</t>
  </si>
  <si>
    <t>0.00767313421077354</t>
  </si>
  <si>
    <t>844.859000210466</t>
  </si>
  <si>
    <t>0.00768832064049608</t>
  </si>
  <si>
    <t>846.376844731485</t>
  </si>
  <si>
    <t>0.00770140000561097</t>
  </si>
  <si>
    <t>847.560515832</t>
  </si>
  <si>
    <t>0.00772060538766932</t>
  </si>
  <si>
    <t>849.328187888283</t>
  </si>
  <si>
    <t>0.00773647409780751</t>
  </si>
  <si>
    <t>850.366804780342</t>
  </si>
  <si>
    <t>0.00775358796567849</t>
  </si>
  <si>
    <t>851.450361640543</t>
  </si>
  <si>
    <t>0.00776536910224958</t>
  </si>
  <si>
    <t>852.518510132671</t>
  </si>
  <si>
    <t>0.00778250485623875</t>
  </si>
  <si>
    <t>853.519292553681</t>
  </si>
  <si>
    <t>0.00779723768790719</t>
  </si>
  <si>
    <t>855.065864706109</t>
  </si>
  <si>
    <t>0.00781734580825637</t>
  </si>
  <si>
    <t>856.418267112907</t>
  </si>
  <si>
    <t>0.00782901790547561</t>
  </si>
  <si>
    <t>856.856400620628</t>
  </si>
  <si>
    <t>0.00784053898658519</t>
  </si>
  <si>
    <t>858.585607781524</t>
  </si>
  <si>
    <t>0.00786282348069119</t>
  </si>
  <si>
    <t>859.727531326801</t>
  </si>
  <si>
    <t>0.00787840695492303</t>
  </si>
  <si>
    <t>861.067284258906</t>
  </si>
  <si>
    <t>0.00789690366851308</t>
  </si>
  <si>
    <t>862.530379382045</t>
  </si>
  <si>
    <t>0.00791509974647418</t>
  </si>
  <si>
    <t>863.977630504203</t>
  </si>
  <si>
    <t>0.00793348966999745</t>
  </si>
  <si>
    <t>865.000958525056</t>
  </si>
  <si>
    <t>0.00794906554653723</t>
  </si>
  <si>
    <t>866.075211287176</t>
  </si>
  <si>
    <t>0.00796621114587237</t>
  </si>
  <si>
    <t>866.823226951421</t>
  </si>
  <si>
    <t>0.00798298471890354</t>
  </si>
  <si>
    <t>868.405830498747</t>
  </si>
  <si>
    <t>0.0080053165645477</t>
  </si>
  <si>
    <t>869.964119812809</t>
  </si>
  <si>
    <t>0.00802324649797299</t>
  </si>
  <si>
    <t>871.445516022513</t>
  </si>
  <si>
    <t>0.00804605164422791</t>
  </si>
  <si>
    <t>872.736374779819</t>
  </si>
  <si>
    <t>0.00805675247452575</t>
  </si>
  <si>
    <t>874.255172882757</t>
  </si>
  <si>
    <t>0.00808527519266029</t>
  </si>
  <si>
    <t>875.635814627868</t>
  </si>
  <si>
    <t>0.00810406543026284</t>
  </si>
  <si>
    <t>876.589505198499</t>
  </si>
  <si>
    <t>0.00811985299858432</t>
  </si>
  <si>
    <t>877.8853345256</t>
  </si>
  <si>
    <t>0.00814950336298088</t>
  </si>
  <si>
    <t>879.231775520468</t>
  </si>
  <si>
    <t>0.00816460389708132</t>
  </si>
  <si>
    <t>880.402794519812</t>
  </si>
  <si>
    <t>0.00818295892287823</t>
  </si>
  <si>
    <t>881.539871655651</t>
  </si>
  <si>
    <t>0.0082041331057707</t>
  </si>
  <si>
    <t>883.126316465661</t>
  </si>
  <si>
    <t>0.00822380728040749</t>
  </si>
  <si>
    <t>883.989145620086</t>
  </si>
  <si>
    <t>0.00824936010915266</t>
  </si>
  <si>
    <t>885.169748428298</t>
  </si>
  <si>
    <t>0.00827085760740082</t>
  </si>
  <si>
    <t>886.725462224288</t>
  </si>
  <si>
    <t>0.00829254442093896</t>
  </si>
  <si>
    <t>887.912301480947</t>
  </si>
  <si>
    <t>0.00832342714989622</t>
  </si>
  <si>
    <t>888.801765571829</t>
  </si>
  <si>
    <t>0.00833306793078382</t>
  </si>
  <si>
    <t>889.53930210878</t>
  </si>
  <si>
    <t>0.00835530826103387</t>
  </si>
  <si>
    <t>890.037953537449</t>
  </si>
  <si>
    <t>0.00838032524543473</t>
  </si>
  <si>
    <t>890.510398059075</t>
  </si>
  <si>
    <t>0.00838889113871377</t>
  </si>
  <si>
    <t>891.497633585288</t>
  </si>
  <si>
    <t>0.00841408188586569</t>
  </si>
  <si>
    <t>892.474726696422</t>
  </si>
  <si>
    <t>0.0084369459403003</t>
  </si>
  <si>
    <t>894.316597128799</t>
  </si>
  <si>
    <t>0.00846195438929783</t>
  </si>
  <si>
    <t>895.245491410577</t>
  </si>
  <si>
    <t>0.00848929536916166</t>
  </si>
  <si>
    <t>896.30270407571</t>
  </si>
  <si>
    <t>0.00850528823692336</t>
  </si>
  <si>
    <t>897.499159419329</t>
  </si>
  <si>
    <t>0.00853908177968428</t>
  </si>
  <si>
    <t>898.417736560485</t>
  </si>
  <si>
    <t>0.00855546629150358</t>
  </si>
  <si>
    <t>899.398989386628</t>
  </si>
  <si>
    <t>0.00858525739589042</t>
  </si>
  <si>
    <t>900.766329560272</t>
  </si>
  <si>
    <t>0.00861494301639849</t>
  </si>
  <si>
    <t>901.874807581493</t>
  </si>
  <si>
    <t>0.0086366829616466</t>
  </si>
  <si>
    <t>902.743122321494</t>
  </si>
  <si>
    <t>0.00865779488296436</t>
  </si>
  <si>
    <t>903.299755716779</t>
  </si>
  <si>
    <t>0.00869404289973106</t>
  </si>
  <si>
    <t>904.322311061496</t>
  </si>
  <si>
    <t>0.00871351197047321</t>
  </si>
  <si>
    <t>905.363123337063</t>
  </si>
  <si>
    <t>0.00874344045553195</t>
  </si>
  <si>
    <t>905.88734760148</t>
  </si>
  <si>
    <t>0.00876663957228697</t>
  </si>
  <si>
    <t>907.255763484313</t>
  </si>
  <si>
    <t>0.00880137413157799</t>
  </si>
  <si>
    <t>908.169940110673</t>
  </si>
  <si>
    <t>0.00882584122135733</t>
  </si>
  <si>
    <t>909.252473571819</t>
  </si>
  <si>
    <t>0.0088571928393961</t>
  </si>
  <si>
    <t>910.386526477619</t>
  </si>
  <si>
    <t>0.00889293963887829</t>
  </si>
  <si>
    <t>910.989395966607</t>
  </si>
  <si>
    <t>0.00892031715387813</t>
  </si>
  <si>
    <t>912.267499424286</t>
  </si>
  <si>
    <t>0.00895137520209977</t>
  </si>
  <si>
    <t>913.240314995538</t>
  </si>
  <si>
    <t>0.00898444123892977</t>
  </si>
  <si>
    <t>913.714505511791</t>
  </si>
  <si>
    <t>0.00900992272195223</t>
  </si>
  <si>
    <t>914.72646980997</t>
  </si>
  <si>
    <t>0.0090468054741114</t>
  </si>
  <si>
    <t>915.205200517857</t>
  </si>
  <si>
    <t>0.00907416075144627</t>
  </si>
  <si>
    <t>915.92690134792</t>
  </si>
  <si>
    <t>0.00910319593842867</t>
  </si>
  <si>
    <t>916.741954604547</t>
  </si>
  <si>
    <t>0.00914010264771808</t>
  </si>
  <si>
    <t>917.98028103711</t>
  </si>
  <si>
    <t>0.00917697987793517</t>
  </si>
  <si>
    <t>918.905437824217</t>
  </si>
  <si>
    <t>0.00921772276956311</t>
  </si>
  <si>
    <t>919.562030346162</t>
  </si>
  <si>
    <t>0.00924492775004388</t>
  </si>
  <si>
    <t>920.256795405894</t>
  </si>
  <si>
    <t>0.00928658409982187</t>
  </si>
  <si>
    <t>921.555623678117</t>
  </si>
  <si>
    <t>0.00932486085185472</t>
  </si>
  <si>
    <t>922.341866414409</t>
  </si>
  <si>
    <t>0.00936226611477761</t>
  </si>
  <si>
    <t>922.928337292073</t>
  </si>
  <si>
    <t>0.00940925137613986</t>
  </si>
  <si>
    <t>923.748306471503</t>
  </si>
  <si>
    <t>0.00943873235620701</t>
  </si>
  <si>
    <t>924.495688967869</t>
  </si>
  <si>
    <t>0.00948980053662956</t>
  </si>
  <si>
    <t>924.843795604445</t>
  </si>
  <si>
    <t>0.00951859807812515</t>
  </si>
  <si>
    <t>925.421520287529</t>
  </si>
  <si>
    <t>0.00955864097242249</t>
  </si>
  <si>
    <t>925.797587463248</t>
  </si>
  <si>
    <t>0.00960191074869023</t>
  </si>
  <si>
    <t>926.846771216227</t>
  </si>
  <si>
    <t>0.00964201444175966</t>
  </si>
  <si>
    <t>927.306905919541</t>
  </si>
  <si>
    <t>0.00967980200460521</t>
  </si>
  <si>
    <t>928.228638524711</t>
  </si>
  <si>
    <t>0.00972429436464935</t>
  </si>
  <si>
    <t>928.846507169219</t>
  </si>
  <si>
    <t>0.00976125597581339</t>
  </si>
  <si>
    <t>929.344085610389</t>
  </si>
  <si>
    <t>0.00980532610373736</t>
  </si>
  <si>
    <t>929.716991770598</t>
  </si>
  <si>
    <t>0.00984874298939593</t>
  </si>
  <si>
    <t>930.339827131227</t>
  </si>
  <si>
    <t>0.00989217816225521</t>
  </si>
  <si>
    <t>931.128497838487</t>
  </si>
  <si>
    <t>0.00994705713715489</t>
  </si>
  <si>
    <t>931.676001609844</t>
  </si>
  <si>
    <t>0.00997480993864937</t>
  </si>
  <si>
    <t>932.459888178845</t>
  </si>
  <si>
    <t>0.0100314383925202</t>
  </si>
  <si>
    <t>932.666519617975</t>
  </si>
  <si>
    <t>0.0100718389167196</t>
  </si>
  <si>
    <t>933.070136727808</t>
  </si>
  <si>
    <t>0.0101143417304751</t>
  </si>
  <si>
    <t>933.137157809784</t>
  </si>
  <si>
    <t>0.0101602019459426</t>
  </si>
  <si>
    <t>933.595648741285</t>
  </si>
  <si>
    <t>0.010197006287103</t>
  </si>
  <si>
    <t>934.16274147819</t>
  </si>
  <si>
    <t>0.0102441640782662</t>
  </si>
  <si>
    <t>934.658143367734</t>
  </si>
  <si>
    <t>0.0102925971842894</t>
  </si>
  <si>
    <t>935.183825733404</t>
  </si>
  <si>
    <t>0.0103359677157749</t>
  </si>
  <si>
    <t>935.281677671388</t>
  </si>
  <si>
    <t>0.0103834537916397</t>
  </si>
  <si>
    <t>935.958180068117</t>
  </si>
  <si>
    <t>0.010432101925905</t>
  </si>
  <si>
    <t>936.671065385332</t>
  </si>
  <si>
    <t>0.010480753453723</t>
  </si>
  <si>
    <t>937.008394735951</t>
  </si>
  <si>
    <t>0.0105342401137003</t>
  </si>
  <si>
    <t>937.845324258759</t>
  </si>
  <si>
    <t>0.010577633283741</t>
  </si>
  <si>
    <t>937.835378746596</t>
  </si>
  <si>
    <t>0.0106307612905917</t>
  </si>
  <si>
    <t>938.075373654418</t>
  </si>
  <si>
    <t>0.01067802100928</t>
  </si>
  <si>
    <t>938.805871422265</t>
  </si>
  <si>
    <t>0.0107236991780033</t>
  </si>
  <si>
    <t>938.878475814739</t>
  </si>
  <si>
    <t>0.0107778177829523</t>
  </si>
  <si>
    <t>939.511624539288</t>
  </si>
  <si>
    <t>0.0108282043911444</t>
  </si>
  <si>
    <t>940.152314301146</t>
  </si>
  <si>
    <t>0.0108782300383149</t>
  </si>
  <si>
    <t>940.366131875815</t>
  </si>
  <si>
    <t>0.0109346929278502</t>
  </si>
  <si>
    <t>940.981188005897</t>
  </si>
  <si>
    <t>0.0109865764128019</t>
  </si>
  <si>
    <t>941.242943308644</t>
  </si>
  <si>
    <t>0.0110400223530249</t>
  </si>
  <si>
    <t>941.394699252903</t>
  </si>
  <si>
    <t>0.0110982699863256</t>
  </si>
  <si>
    <t>941.912542987838</t>
  </si>
  <si>
    <t>0.0111402255226935</t>
  </si>
  <si>
    <t>942.052626285971</t>
  </si>
  <si>
    <t>0.0112041455445187</t>
  </si>
  <si>
    <t>942.036259800108</t>
  </si>
  <si>
    <t>0.0112413697824236</t>
  </si>
  <si>
    <t>942.605180229123</t>
  </si>
  <si>
    <t>0.011294577646777</t>
  </si>
  <si>
    <t>942.788134509727</t>
  </si>
  <si>
    <t>0.0113526169413181</t>
  </si>
  <si>
    <t>943.344313044289</t>
  </si>
  <si>
    <t>0.0114024336479454</t>
  </si>
  <si>
    <t>943.719205735498</t>
  </si>
  <si>
    <t>0.0114586389280172</t>
  </si>
  <si>
    <t>943.653676869967</t>
  </si>
  <si>
    <t>0.0115071937874554</t>
  </si>
  <si>
    <t>944.061339511033</t>
  </si>
  <si>
    <t>0.0115630630529626</t>
  </si>
  <si>
    <t>944.421911982747</t>
  </si>
  <si>
    <t>0.0116157244779266</t>
  </si>
  <si>
    <t>944.245339381475</t>
  </si>
  <si>
    <t>0.0116662810368504</t>
  </si>
  <si>
    <t>944.832974898349</t>
  </si>
  <si>
    <t>0.0117205334692701</t>
  </si>
  <si>
    <t>945.244627290632</t>
  </si>
  <si>
    <t>0.0117843207731907</t>
  </si>
  <si>
    <t>945.766140700774</t>
  </si>
  <si>
    <t>0.0118349881692884</t>
  </si>
  <si>
    <t>946.112882023216</t>
  </si>
  <si>
    <t>0.0118935698649919</t>
  </si>
  <si>
    <t>946.659119300453</t>
  </si>
  <si>
    <t>0.0119510438194398</t>
  </si>
  <si>
    <t>947.298761432837</t>
  </si>
  <si>
    <t>0.0120092319434124</t>
  </si>
  <si>
    <t>947.319944831305</t>
  </si>
  <si>
    <t>0.0120707407233341</t>
  </si>
  <si>
    <t>947.627834239203</t>
  </si>
  <si>
    <t>0.0121246218679041</t>
  </si>
  <si>
    <t>947.540852645657</t>
  </si>
  <si>
    <t>0.012185884914977</t>
  </si>
  <si>
    <t>947.682786532142</t>
  </si>
  <si>
    <t>0.0122400236351464</t>
  </si>
  <si>
    <t>948.163524045246</t>
  </si>
  <si>
    <t>0.0122987950632055</t>
  </si>
  <si>
    <t>948.71993855284</t>
  </si>
  <si>
    <t>0.0123582414519873</t>
  </si>
  <si>
    <t>948.933695762888</t>
  </si>
  <si>
    <t>0.0124192149592344</t>
  </si>
  <si>
    <t>948.588060062075</t>
  </si>
  <si>
    <t>0.0124660359728558</t>
  </si>
  <si>
    <t>948.957489155268</t>
  </si>
  <si>
    <t>0.0125331521375061</t>
  </si>
  <si>
    <t>949.158854653309</t>
  </si>
  <si>
    <t>0.0125888613698907</t>
  </si>
  <si>
    <t>949.977468293652</t>
  </si>
  <si>
    <t>0.0126512548422049</t>
  </si>
  <si>
    <t>950.127048022037</t>
  </si>
  <si>
    <t>0.0127105926372979</t>
  </si>
  <si>
    <t>950.236046323328</t>
  </si>
  <si>
    <t>0.012766846564237</t>
  </si>
  <si>
    <t>950.198613648798</t>
  </si>
  <si>
    <t>0.0128262191637099</t>
  </si>
  <si>
    <t>950.156391830896</t>
  </si>
  <si>
    <t>0.0128864731593574</t>
  </si>
  <si>
    <t>950.688566531715</t>
  </si>
  <si>
    <t>0.0129422158622656</t>
  </si>
  <si>
    <t>951.059273351279</t>
  </si>
  <si>
    <t>0.0130047151308391</t>
  </si>
  <si>
    <t>951.335695979081</t>
  </si>
  <si>
    <t>0.0130633281672567</t>
  </si>
  <si>
    <t>951.379847322487</t>
  </si>
  <si>
    <t>0.0131180570908368</t>
  </si>
  <si>
    <t>951.562899717768</t>
  </si>
  <si>
    <t>0.0131844861233582</t>
  </si>
  <si>
    <t>951.906494736893</t>
  </si>
  <si>
    <t>0.0132405726660095</t>
  </si>
  <si>
    <t>952.149437640199</t>
  </si>
  <si>
    <t>0.0132966776026928</t>
  </si>
  <si>
    <t>952.363553137033</t>
  </si>
  <si>
    <t>0.0133559081908205</t>
  </si>
  <si>
    <t>953.204983998507</t>
  </si>
  <si>
    <t>0.0134175775642051</t>
  </si>
  <si>
    <t>953.205002970106</t>
  </si>
  <si>
    <t>0.0134832229100551</t>
  </si>
  <si>
    <t>953.453357922228</t>
  </si>
  <si>
    <t>0.0135440489050605</t>
  </si>
  <si>
    <t>953.510786198609</t>
  </si>
  <si>
    <t>0.013601621160057</t>
  </si>
  <si>
    <t>953.370025633305</t>
  </si>
  <si>
    <t>0.0136601532871118</t>
  </si>
  <si>
    <t>953.648051175595</t>
  </si>
  <si>
    <t>0.0137184092690604</t>
  </si>
  <si>
    <t>954.039285015395</t>
  </si>
  <si>
    <t>0.0137803907113239</t>
  </si>
  <si>
    <t>954.141875740755</t>
  </si>
  <si>
    <t>0.0138407609013941</t>
  </si>
  <si>
    <t>954.792416128496</t>
  </si>
  <si>
    <t>0.0138984610228044</t>
  </si>
  <si>
    <t>954.715334991744</t>
  </si>
  <si>
    <t>0.0139685764330937</t>
  </si>
  <si>
    <t>954.58773281408</t>
  </si>
  <si>
    <t>0.0140213072038524</t>
  </si>
  <si>
    <t>955.236484610728</t>
  </si>
  <si>
    <t>0.0140822210059469</t>
  </si>
  <si>
    <t>955.501444912935</t>
  </si>
  <si>
    <t>0.0141518012871585</t>
  </si>
  <si>
    <t>955.53827619086</t>
  </si>
  <si>
    <t>0.0142100013770137</t>
  </si>
  <si>
    <t>956.156209593435</t>
  </si>
  <si>
    <t>0.0142744771991881</t>
  </si>
  <si>
    <t>956.103256489087</t>
  </si>
  <si>
    <t>0.0143297481027855</t>
  </si>
  <si>
    <t>956.497315630023</t>
  </si>
  <si>
    <t>0.014396714918243</t>
  </si>
  <si>
    <t>956.470778603069</t>
  </si>
  <si>
    <t>0.0144535768889449</t>
  </si>
  <si>
    <t>956.731582889327</t>
  </si>
  <si>
    <t>0.0145246946248218</t>
  </si>
  <si>
    <t>957.103751365813</t>
  </si>
  <si>
    <t>0.0145832559281314</t>
  </si>
  <si>
    <t>956.606781725122</t>
  </si>
  <si>
    <t>0.0146392669437459</t>
  </si>
  <si>
    <t>956.804094615305</t>
  </si>
  <si>
    <t>0.0146985026688002</t>
  </si>
  <si>
    <t>957.125604674673</t>
  </si>
  <si>
    <t>0.0147595759775571</t>
  </si>
  <si>
    <t>957.188945655936</t>
  </si>
  <si>
    <t>0.0148149003688996</t>
  </si>
  <si>
    <t>957.680139032159</t>
  </si>
  <si>
    <t>0.0148864225207269</t>
  </si>
  <si>
    <t>957.824774536822</t>
  </si>
  <si>
    <t>0.0149392411095383</t>
  </si>
  <si>
    <t>958.518662502658</t>
  </si>
  <si>
    <t>0.0150028700268395</t>
  </si>
  <si>
    <t>959.084355286717</t>
  </si>
  <si>
    <t>0.0150804392174889</t>
  </si>
  <si>
    <t>958.671434447186</t>
  </si>
  <si>
    <t>0.0151269121967111</t>
  </si>
  <si>
    <t>958.691277342725</t>
  </si>
  <si>
    <t>0.0151945222103187</t>
  </si>
  <si>
    <t>958.881609419603</t>
  </si>
  <si>
    <t>0.0152547884608104</t>
  </si>
  <si>
    <t>959.100861248853</t>
  </si>
  <si>
    <t>0.0153130118117234</t>
  </si>
  <si>
    <t>959.393779931997</t>
  </si>
  <si>
    <t>0.0153780384734501</t>
  </si>
  <si>
    <t>959.293540662405</t>
  </si>
  <si>
    <t>0.0154372978005858</t>
  </si>
  <si>
    <t>959.444900974765</t>
  </si>
  <si>
    <t>0.015493591983483</t>
  </si>
  <si>
    <t>960.312742975641</t>
  </si>
  <si>
    <t>0.0155642045488994</t>
  </si>
  <si>
    <t>960.228835823712</t>
  </si>
  <si>
    <t>0.0156259012122588</t>
  </si>
  <si>
    <t>961.118115230772</t>
  </si>
  <si>
    <t>0.0156921452424043</t>
  </si>
  <si>
    <t>961.333080464386</t>
  </si>
  <si>
    <t>0.0157577531784216</t>
  </si>
  <si>
    <t>961.112245473649</t>
  </si>
  <si>
    <t>0.0158151050267887</t>
  </si>
  <si>
    <t>961.129613510089</t>
  </si>
  <si>
    <t>0.0158790921652051</t>
  </si>
  <si>
    <t>960.753036249528</t>
  </si>
  <si>
    <t>0.015943597953362</t>
  </si>
  <si>
    <t>961.055831154164</t>
  </si>
  <si>
    <t>0.0160036042648674</t>
  </si>
  <si>
    <t>961.196628186348</t>
  </si>
  <si>
    <t>0.0160630370386161</t>
  </si>
  <si>
    <t>961.853046743111</t>
  </si>
  <si>
    <t>0.0161273591333899</t>
  </si>
  <si>
    <t>961.79815495477</t>
  </si>
  <si>
    <t>0.0161844535368401</t>
  </si>
  <si>
    <t>961.999996005836</t>
  </si>
  <si>
    <t>0.0162495839126285</t>
  </si>
  <si>
    <t>961.83030464819</t>
  </si>
  <si>
    <t>0.0163029132379175</t>
  </si>
  <si>
    <t>962.324254054349</t>
  </si>
  <si>
    <t>0.016370688588793</t>
  </si>
  <si>
    <t>962.180134954647</t>
  </si>
  <si>
    <t>0.016428401816096</t>
  </si>
  <si>
    <t>962.496399143288</t>
  </si>
  <si>
    <t>0.0164933602846852</t>
  </si>
  <si>
    <t>963.0574926435</t>
  </si>
  <si>
    <t>0.0165570721696367</t>
  </si>
  <si>
    <t>963.388495423589</t>
  </si>
  <si>
    <t>0.016609532092335</t>
  </si>
  <si>
    <t>963.166952818219</t>
  </si>
  <si>
    <t>0.0166666834110511</t>
  </si>
  <si>
    <t>963.204249736972</t>
  </si>
  <si>
    <t>0.0167307262750143</t>
  </si>
  <si>
    <t>963.105020487706</t>
  </si>
  <si>
    <t>0.0167908556582971</t>
  </si>
  <si>
    <t>963.018162087607</t>
  </si>
  <si>
    <t>0.0168450361206014</t>
  </si>
  <si>
    <t>963.250090376052</t>
  </si>
  <si>
    <t>0.0169042686743213</t>
  </si>
  <si>
    <t>963.876185699117</t>
  </si>
  <si>
    <t>0.0169664006354209</t>
  </si>
  <si>
    <t>964.363905143498</t>
  </si>
  <si>
    <t>0.0170297490558097</t>
  </si>
  <si>
    <t>964.376817857282</t>
  </si>
  <si>
    <t>0.0170960432102419</t>
  </si>
  <si>
    <t>964.75986515764</t>
  </si>
  <si>
    <t>0.0171569116251593</t>
  </si>
  <si>
    <t>965.163908018774</t>
  </si>
  <si>
    <t>0.0172201364114148</t>
  </si>
  <si>
    <t>965.65618226499</t>
  </si>
  <si>
    <t>0.01728775809173</t>
  </si>
  <si>
    <t>966.036641558134</t>
  </si>
  <si>
    <t>0.0173512334650322</t>
  </si>
  <si>
    <t>966.358435692579</t>
  </si>
  <si>
    <t>0.0174225644387718</t>
  </si>
  <si>
    <t>966.496244553597</t>
  </si>
  <si>
    <t>0.0174856952136958</t>
  </si>
  <si>
    <t>966.633141271692</t>
  </si>
  <si>
    <t>0.0175477038386309</t>
  </si>
  <si>
    <t>966.331459150644</t>
  </si>
  <si>
    <t>0.0176136634109793</t>
  </si>
  <si>
    <t>966.670876339021</t>
  </si>
  <si>
    <t>0.0176770580541987</t>
  </si>
  <si>
    <t>966.957376817768</t>
  </si>
  <si>
    <t>0.0177384858313759</t>
  </si>
  <si>
    <t>966.826786239242</t>
  </si>
  <si>
    <t>0.0177995867641997</t>
  </si>
  <si>
    <t>966.651961109563</t>
  </si>
  <si>
    <t>0.0178509023160783</t>
  </si>
  <si>
    <t>966.205789627485</t>
  </si>
  <si>
    <t>0.0179137959410897</t>
  </si>
  <si>
    <t>966.685219322785</t>
  </si>
  <si>
    <t>0.0179795998793198</t>
  </si>
  <si>
    <t>966.905789819197</t>
  </si>
  <si>
    <t>0.0180406417776731</t>
  </si>
  <si>
    <t>967.382277264502</t>
  </si>
  <si>
    <t>0.0181040422283126</t>
  </si>
  <si>
    <t>967.487579856117</t>
  </si>
  <si>
    <t>0.0181613296953436</t>
  </si>
  <si>
    <t>967.640894653606</t>
  </si>
  <si>
    <t>0.018225717016764</t>
  </si>
  <si>
    <t>967.512302163119</t>
  </si>
  <si>
    <t>0.0182833432902936</t>
  </si>
  <si>
    <t>967.722931313679</t>
  </si>
  <si>
    <t>0.0183456853773932</t>
  </si>
  <si>
    <t>967.976461816383</t>
  </si>
  <si>
    <t>0.0184147553513572</t>
  </si>
  <si>
    <t>968.364263306299</t>
  </si>
  <si>
    <t>0.0184737835749657</t>
  </si>
  <si>
    <t>969.039705257122</t>
  </si>
  <si>
    <t>0.0185382864861284</t>
  </si>
  <si>
    <t>968.809423387871</t>
  </si>
  <si>
    <t>0.0186009297810916</t>
  </si>
  <si>
    <t>969.591634073122</t>
  </si>
  <si>
    <t>0.01866658425579</t>
  </si>
  <si>
    <t>969.72685951554</t>
  </si>
  <si>
    <t>0.0187397937815542</t>
  </si>
  <si>
    <t>969.424518847569</t>
  </si>
  <si>
    <t>0.01879471990136</t>
  </si>
  <si>
    <t>969.257477208886</t>
  </si>
  <si>
    <t>0.018852680395374</t>
  </si>
  <si>
    <t>969.399708707912</t>
  </si>
  <si>
    <t>0.0189196605885293</t>
  </si>
  <si>
    <t>970.129913093703</t>
  </si>
  <si>
    <t>0.0189805937305684</t>
  </si>
  <si>
    <t>970.433359542414</t>
  </si>
  <si>
    <t>0.0190452567051573</t>
  </si>
  <si>
    <t>970.592648061639</t>
  </si>
  <si>
    <t>0.0191115001855876</t>
  </si>
  <si>
    <t>970.611057616978</t>
  </si>
  <si>
    <t>0.0191728855958682</t>
  </si>
  <si>
    <t>970.543488737945</t>
  </si>
  <si>
    <t>0.019231600721739</t>
  </si>
  <si>
    <t>970.224967039959</t>
  </si>
  <si>
    <t>0.0192932970672139</t>
  </si>
  <si>
    <t>970.990278323363</t>
  </si>
  <si>
    <t>0.0193496343733333</t>
  </si>
  <si>
    <t>971.016884207423</t>
  </si>
  <si>
    <t>0.0194196098231727</t>
  </si>
  <si>
    <t>971.003120168655</t>
  </si>
  <si>
    <t>0.0194790225979969</t>
  </si>
  <si>
    <t>971.131676502255</t>
  </si>
  <si>
    <t>0.0195424974585212</t>
  </si>
  <si>
    <t>970.97173440208</t>
  </si>
  <si>
    <t>0.0196057884959196</t>
  </si>
  <si>
    <t>971.206610848275</t>
  </si>
  <si>
    <t>0.019657803357966</t>
  </si>
  <si>
    <t>971.219520229194</t>
  </si>
  <si>
    <t>0.0197214680469559</t>
  </si>
  <si>
    <t>971.07823103905</t>
  </si>
  <si>
    <t>0.0197770051151882</t>
  </si>
  <si>
    <t>971.47653433404</t>
  </si>
  <si>
    <t>0.0198342966882021</t>
  </si>
  <si>
    <t>971.389336937691</t>
  </si>
  <si>
    <t>0.0199000756582191</t>
  </si>
  <si>
    <t>971.876040951026</t>
  </si>
  <si>
    <t>0.0199530551829546</t>
  </si>
  <si>
    <t>972.342916529887</t>
  </si>
  <si>
    <t>0.020020757617844</t>
  </si>
  <si>
    <t>972.435895568083</t>
  </si>
  <si>
    <t>0.02008383440669</t>
  </si>
  <si>
    <t>972.981724997046</t>
  </si>
  <si>
    <t>0.0201465649369022</t>
  </si>
  <si>
    <t>973.032847568664</t>
  </si>
  <si>
    <t>0.0202032021593489</t>
  </si>
  <si>
    <t>973.060683171344</t>
  </si>
  <si>
    <t>0.0202650724553473</t>
  </si>
  <si>
    <t>973.317974890404</t>
  </si>
  <si>
    <t>0.0203299689789521</t>
  </si>
  <si>
    <t>973.306139024147</t>
  </si>
  <si>
    <t>0.0203925999482017</t>
  </si>
  <si>
    <t>973.528136397093</t>
  </si>
  <si>
    <t>0.0204556019613532</t>
  </si>
  <si>
    <t>974.242971154809</t>
  </si>
  <si>
    <t>0.0205170403571083</t>
  </si>
  <si>
    <t>974.382052569806</t>
  </si>
  <si>
    <t>0.0205862057165739</t>
  </si>
  <si>
    <t>974.679653602202</t>
  </si>
  <si>
    <t>0.0206520478573266</t>
  </si>
  <si>
    <t>974.716189679748</t>
  </si>
  <si>
    <t>0.0207141626337089</t>
  </si>
  <si>
    <t>974.899141635859</t>
  </si>
  <si>
    <t>0.0207779610703074</t>
  </si>
  <si>
    <t>975.17364033533</t>
  </si>
  <si>
    <t>0.0208417910663406</t>
  </si>
  <si>
    <t>975.453339582684</t>
  </si>
  <si>
    <t>0.0209069950452237</t>
  </si>
  <si>
    <t>975.37092829152</t>
  </si>
  <si>
    <t>0.0209684997649635</t>
  </si>
  <si>
    <t>975.749062617995</t>
  </si>
  <si>
    <t>0.0210333962530275</t>
  </si>
  <si>
    <t>975.477898164378</t>
  </si>
  <si>
    <t>0.0210947692402336</t>
  </si>
  <si>
    <t>975.649501486097</t>
  </si>
  <si>
    <t>0.0211626238048757</t>
  </si>
  <si>
    <t>976.146065729252</t>
  </si>
  <si>
    <t>0.021223929027211</t>
  </si>
  <si>
    <t>975.867698576871</t>
  </si>
  <si>
    <t>0.0212813956096136</t>
  </si>
  <si>
    <t>976.066438458979</t>
  </si>
  <si>
    <t>0.0213448701282124</t>
  </si>
  <si>
    <t>976.418435531089</t>
  </si>
  <si>
    <t>0.0214117676449315</t>
  </si>
  <si>
    <t>976.58074251491</t>
  </si>
  <si>
    <t>0.0214751527054025</t>
  </si>
  <si>
    <t>976.443127648832</t>
  </si>
  <si>
    <t>0.0215410388849074</t>
  </si>
  <si>
    <t>975.96787638037</t>
  </si>
  <si>
    <t>0.0215938304343152</t>
  </si>
  <si>
    <t>976.740506119593</t>
  </si>
  <si>
    <t>0.021656225657385</t>
  </si>
  <si>
    <t>976.822975274963</t>
  </si>
  <si>
    <t>0.0217190769160138</t>
  </si>
  <si>
    <t>976.781315442406</t>
  </si>
  <si>
    <t>0.0217797457510643</t>
  </si>
  <si>
    <t>976.947521943951</t>
  </si>
  <si>
    <t>0.0218468975082486</t>
  </si>
  <si>
    <t>977.17195946756</t>
  </si>
  <si>
    <t>0.021906365562772</t>
  </si>
  <si>
    <t>976.916083139775</t>
  </si>
  <si>
    <t>0.021968798231652</t>
  </si>
  <si>
    <t>977.351164027937</t>
  </si>
  <si>
    <t>0.0220304939092091</t>
  </si>
  <si>
    <t>977.785067783705</t>
  </si>
  <si>
    <t>0.0220934668359307</t>
  </si>
  <si>
    <t>978.062194880957</t>
  </si>
  <si>
    <t>0.0221618784978544</t>
  </si>
  <si>
    <t>978.091865380238</t>
  </si>
  <si>
    <t>0.022217449564722</t>
  </si>
  <si>
    <t>978.182330344614</t>
  </si>
  <si>
    <t>0.0222830676958074</t>
  </si>
  <si>
    <t>978.299338690629</t>
  </si>
  <si>
    <t>0.0223420017933669</t>
  </si>
  <si>
    <t>978.500640551856</t>
  </si>
  <si>
    <t>0.0224113811312327</t>
  </si>
  <si>
    <t>978.980523195455</t>
  </si>
  <si>
    <t>0.0224764572389255</t>
  </si>
  <si>
    <t>979.45567310887</t>
  </si>
  <si>
    <t>0.0225448000232055</t>
  </si>
  <si>
    <t>979.385936610284</t>
  </si>
  <si>
    <t>0.0226050360877451</t>
  </si>
  <si>
    <t>979.575434195904</t>
  </si>
  <si>
    <t>0.0226691052155177</t>
  </si>
  <si>
    <t>979.127446189767</t>
  </si>
  <si>
    <t>0.0227243863639395</t>
  </si>
  <si>
    <t>979.102258405971</t>
  </si>
  <si>
    <t>0.0227903296857406</t>
  </si>
  <si>
    <t>979.214045403212</t>
  </si>
  <si>
    <t>0.0228516817038819</t>
  </si>
  <si>
    <t>979.962244469169</t>
  </si>
  <si>
    <t>0.0229193488961918</t>
  </si>
  <si>
    <t>980.287570635912</t>
  </si>
  <si>
    <t>0.0229864469271496</t>
  </si>
  <si>
    <t>980.21729105886</t>
  </si>
  <si>
    <t>0.0230410791477495</t>
  </si>
  <si>
    <t>979.951591561436</t>
  </si>
  <si>
    <t>0.0231012483557421</t>
  </si>
  <si>
    <t>980.606537430902</t>
  </si>
  <si>
    <t>0.0231755970417051</t>
  </si>
  <si>
    <t>981.066434286495</t>
  </si>
  <si>
    <t>0.0232357311430418</t>
  </si>
  <si>
    <t>981.235563068963</t>
  </si>
  <si>
    <t>0.0233071298276133</t>
  </si>
  <si>
    <t>981.448503441884</t>
  </si>
  <si>
    <t>0.0233672503337744</t>
  </si>
  <si>
    <t>981.350120757847</t>
  </si>
  <si>
    <t>0.0234281092465498</t>
  </si>
  <si>
    <t>981.262392895217</t>
  </si>
  <si>
    <t>0.023506689267561</t>
  </si>
  <si>
    <t>981.316282734303</t>
  </si>
  <si>
    <t>0.0235565530072941</t>
  </si>
  <si>
    <t>980.927317902881</t>
  </si>
  <si>
    <t>0.0236219653693571</t>
  </si>
  <si>
    <t>981.324448024019</t>
  </si>
  <si>
    <t>0.0236819291009437</t>
  </si>
  <si>
    <t>981.653170876551</t>
  </si>
  <si>
    <t>0.0237404568182458</t>
  </si>
  <si>
    <t>981.614334256226</t>
  </si>
  <si>
    <t>0.0238123878563084</t>
  </si>
  <si>
    <t>982.137289300558</t>
  </si>
  <si>
    <t>0.0238682168148655</t>
  </si>
  <si>
    <t>982.235964907078</t>
  </si>
  <si>
    <t>0.0239360141666952</t>
  </si>
  <si>
    <t>981.933226463434</t>
  </si>
  <si>
    <t>0.0239980787351555</t>
  </si>
  <si>
    <t>982.416882275862</t>
  </si>
  <si>
    <t>0.0240607190553551</t>
  </si>
  <si>
    <t>982.335717874866</t>
  </si>
  <si>
    <t>0.0241262035653733</t>
  </si>
  <si>
    <t>982.783362231584</t>
  </si>
  <si>
    <t>0.0241951211746943</t>
  </si>
  <si>
    <t>983.334852784516</t>
  </si>
  <si>
    <t>0.0242573358414916</t>
  </si>
  <si>
    <t>983.350102925893</t>
  </si>
  <si>
    <t>0.0243247787470281</t>
  </si>
  <si>
    <t>983.557212568694</t>
  </si>
  <si>
    <t>0.0243923562766232</t>
  </si>
  <si>
    <t>983.219463595644</t>
  </si>
  <si>
    <t>0.0244452801089537</t>
  </si>
  <si>
    <t>983.383243411742</t>
  </si>
  <si>
    <t>0.0245200798771801</t>
  </si>
  <si>
    <t>983.804365477174</t>
  </si>
  <si>
    <t>0.0245749166113751</t>
  </si>
  <si>
    <t>983.931146514975</t>
  </si>
  <si>
    <t>0.0246415174748231</t>
  </si>
  <si>
    <t>984.277173346864</t>
  </si>
  <si>
    <t>0.0247078498429273</t>
  </si>
  <si>
    <t>984.461281703302</t>
  </si>
  <si>
    <t>0.0247697600584976</t>
  </si>
  <si>
    <t>984.438540159331</t>
  </si>
  <si>
    <t>0.0248446888647367</t>
  </si>
  <si>
    <t>984.386189635378</t>
  </si>
  <si>
    <t>0.0249017532985511</t>
  </si>
  <si>
    <t>984.40953386476</t>
  </si>
  <si>
    <t>0.0249604552101287</t>
  </si>
  <si>
    <t>984.604346660404</t>
  </si>
  <si>
    <t>0.0250331160176868</t>
  </si>
  <si>
    <t>984.776405406449</t>
  </si>
  <si>
    <t>0.0250900504930062</t>
  </si>
  <si>
    <t>984.947424356744</t>
  </si>
  <si>
    <t>0.0251574628058219</t>
  </si>
  <si>
    <t>984.626266853921</t>
  </si>
  <si>
    <t>0.0252181078664518</t>
  </si>
  <si>
    <t>984.760572043225</t>
  </si>
  <si>
    <t>0.0252755738197516</t>
  </si>
  <si>
    <t>985.186553014619</t>
  </si>
  <si>
    <t>0.0253457203742139</t>
  </si>
  <si>
    <t>985.603371817791</t>
  </si>
  <si>
    <t>0.0254076535350053</t>
  </si>
  <si>
    <t>985.649008763477</t>
  </si>
  <si>
    <t>0.0254698921142877</t>
  </si>
  <si>
    <t>985.756458888422</t>
  </si>
  <si>
    <t>0.02554101231286</t>
  </si>
  <si>
    <t>986.10048369072</t>
  </si>
  <si>
    <t>0.0256034723747707</t>
  </si>
  <si>
    <t>986.195801442283</t>
  </si>
  <si>
    <t>0.0256714372672288</t>
  </si>
  <si>
    <t>986.359457811379</t>
  </si>
  <si>
    <t>0.0257326893674515</t>
  </si>
  <si>
    <t>986.75270260706</t>
  </si>
  <si>
    <t>0.0257961102986233</t>
  </si>
  <si>
    <t>986.932585791642</t>
  </si>
  <si>
    <t>0.0258724568434701</t>
  </si>
  <si>
    <t>987.403736649563</t>
  </si>
  <si>
    <t>0.0259335746897457</t>
  </si>
  <si>
    <t>987.194977015724</t>
  </si>
  <si>
    <t>0.0260022289077366</t>
  </si>
  <si>
    <t>987.212237985569</t>
  </si>
  <si>
    <t>0.0260661743280821</t>
  </si>
  <si>
    <t>987.079325657359</t>
  </si>
  <si>
    <t>0.0261262511118871</t>
  </si>
  <si>
    <t>987.290523337889</t>
  </si>
  <si>
    <t>0.0261925020812838</t>
  </si>
  <si>
    <t>987.251432308606</t>
  </si>
  <si>
    <t>0.0262589187590473</t>
  </si>
  <si>
    <t>987.376448099219</t>
  </si>
  <si>
    <t>0.0263127530903587</t>
  </si>
  <si>
    <t>987.30593984208</t>
  </si>
  <si>
    <t>0.026385378069939</t>
  </si>
  <si>
    <t>987.993544062398</t>
  </si>
  <si>
    <t>0.0264513170962423</t>
  </si>
  <si>
    <t>987.748589727111</t>
  </si>
  <si>
    <t>0.0265128332131107</t>
  </si>
  <si>
    <t>987.928592669213</t>
  </si>
  <si>
    <t>0.0265877675646709</t>
  </si>
  <si>
    <t>988.346563653448</t>
  </si>
  <si>
    <t>0.0266447269524353</t>
  </si>
  <si>
    <t>988.058102388308</t>
  </si>
  <si>
    <t>0.0267108925762292</t>
  </si>
  <si>
    <t>987.946168179893</t>
  </si>
  <si>
    <t>0.0267732711118605</t>
  </si>
  <si>
    <t>987.793253686381</t>
  </si>
  <si>
    <t>0.0268251340853758</t>
  </si>
  <si>
    <t>987.943771720915</t>
  </si>
  <si>
    <t>0.0268992687595015</t>
  </si>
  <si>
    <t>988.646588081044</t>
  </si>
  <si>
    <t>0.0269599329339206</t>
  </si>
  <si>
    <t>988.798356082523</t>
  </si>
  <si>
    <t>0.0270240550987955</t>
  </si>
  <si>
    <t>989.478017702913</t>
  </si>
  <si>
    <t>0.0270924985296692</t>
  </si>
  <si>
    <t>989.68047690238</t>
  </si>
  <si>
    <t>0.027156835955386</t>
  </si>
  <si>
    <t>989.399560344401</t>
  </si>
  <si>
    <t>0.0272287737442127</t>
  </si>
  <si>
    <t>989.66331572771</t>
  </si>
  <si>
    <t>0.0272925671505595</t>
  </si>
  <si>
    <t>989.59938195906</t>
  </si>
  <si>
    <t>0.027355662685368</t>
  </si>
  <si>
    <t>988.861075007161</t>
  </si>
  <si>
    <t>0.0274162113982543</t>
  </si>
  <si>
    <t>989.648237185167</t>
  </si>
  <si>
    <t>0.0274769999545126</t>
  </si>
  <si>
    <t>990.134617128496</t>
  </si>
  <si>
    <t>0.0275479605675817</t>
  </si>
  <si>
    <t>990.202809775864</t>
  </si>
  <si>
    <t>0.0276134237939986</t>
  </si>
  <si>
    <t>990.520758009566</t>
  </si>
  <si>
    <t>0.0276777956569629</t>
  </si>
  <si>
    <t>990.644932386559</t>
  </si>
  <si>
    <t>0.0277513378028813</t>
  </si>
  <si>
    <t>990.919587467352</t>
  </si>
  <si>
    <t>0.0278075431272013</t>
  </si>
  <si>
    <t>991.489738995459</t>
  </si>
  <si>
    <t>0.0278841721403475</t>
  </si>
  <si>
    <t>991.561518323768</t>
  </si>
  <si>
    <t>0.0279564029049924</t>
  </si>
  <si>
    <t>991.863250809899</t>
  </si>
  <si>
    <t>0.0280159955136397</t>
  </si>
  <si>
    <t>991.794508640927</t>
  </si>
  <si>
    <t>0.0280886157554624</t>
  </si>
  <si>
    <t>991.747057269368</t>
  </si>
  <si>
    <t>0.0281552518323621</t>
  </si>
  <si>
    <t>992.108556209829</t>
  </si>
  <si>
    <t>0.0282244016273488</t>
  </si>
  <si>
    <t>992.445090698159</t>
  </si>
  <si>
    <t>0.0282987183905649</t>
  </si>
  <si>
    <t>992.623069606506</t>
  </si>
  <si>
    <t>0.0283662910087994</t>
  </si>
  <si>
    <t>992.913752774384</t>
  </si>
  <si>
    <t>0.0284337770262238</t>
  </si>
  <si>
    <t>992.173164972584</t>
  </si>
  <si>
    <t>0.0284937456880877</t>
  </si>
  <si>
    <t>992.069000232694</t>
  </si>
  <si>
    <t>0.0285582560724473</t>
  </si>
  <si>
    <t>992.299768275104</t>
  </si>
  <si>
    <t>0.0286302515018648</t>
  </si>
  <si>
    <t>992.746097643974</t>
  </si>
  <si>
    <t>0.0286962349819063</t>
  </si>
  <si>
    <t>992.609000078201</t>
  </si>
  <si>
    <t>0.0287608567316436</t>
  </si>
  <si>
    <t>992.547949186836</t>
  </si>
  <si>
    <t>0.0288261275012724</t>
  </si>
  <si>
    <t>992.797661493776</t>
  </si>
  <si>
    <t>0.0288923412233175</t>
  </si>
  <si>
    <t>992.951815446465</t>
  </si>
  <si>
    <t>0.0289556723544559</t>
  </si>
  <si>
    <t>992.596761098514</t>
  </si>
  <si>
    <t>0.0290254340256229</t>
  </si>
  <si>
    <t>992.641838789129</t>
  </si>
  <si>
    <t>0.0290815423438893</t>
  </si>
  <si>
    <t>992.914334646859</t>
  </si>
  <si>
    <t>0.0291468317610656</t>
  </si>
  <si>
    <t>993.437482482969</t>
  </si>
  <si>
    <t>0.0292163794110474</t>
  </si>
  <si>
    <t>993.434035872046</t>
  </si>
  <si>
    <t>0.0292782570369138</t>
  </si>
  <si>
    <t>993.278100854456</t>
  </si>
  <si>
    <t>0.0293462609138019</t>
  </si>
  <si>
    <t>993.766179274553</t>
  </si>
  <si>
    <t>0.029415054278641</t>
  </si>
  <si>
    <t>994.162453902802</t>
  </si>
  <si>
    <t>0.0294803897454292</t>
  </si>
  <si>
    <t>994.124987824424</t>
  </si>
  <si>
    <t>0.0295503521759727</t>
  </si>
  <si>
    <t>994.53647679862</t>
  </si>
  <si>
    <t>0.0296144101742902</t>
  </si>
  <si>
    <t>994.889776361951</t>
  </si>
  <si>
    <t>0.029685857790735</t>
  </si>
  <si>
    <t>994.945427164463</t>
  </si>
  <si>
    <t>0.0297594275660194</t>
  </si>
  <si>
    <t>994.968974906603</t>
  </si>
  <si>
    <t>0.0298212772492624</t>
  </si>
  <si>
    <t>995.320501482764</t>
  </si>
  <si>
    <t>0.0299035511171746</t>
  </si>
  <si>
    <t>995.222943954537</t>
  </si>
  <si>
    <t>0.0299619545063398</t>
  </si>
  <si>
    <t>995.804748381014</t>
  </si>
  <si>
    <t>0.0300308552169454</t>
  </si>
  <si>
    <t>995.480012107376</t>
  </si>
  <si>
    <t>0.0301094942315575</t>
  </si>
  <si>
    <t>995.556096954289</t>
  </si>
  <si>
    <t>0.0301640846258587</t>
  </si>
  <si>
    <t>995.595444244394</t>
  </si>
  <si>
    <t>0.0302395167505136</t>
  </si>
  <si>
    <t>995.485600485037</t>
  </si>
  <si>
    <t>0.0303035729716143</t>
  </si>
  <si>
    <t>995.465128305624</t>
  </si>
  <si>
    <t>0.0303705387622068</t>
  </si>
  <si>
    <t>995.804604829073</t>
  </si>
  <si>
    <t>0.0304410882640802</t>
  </si>
  <si>
    <t>995.930137532045</t>
  </si>
  <si>
    <t>0.0305090723941277</t>
  </si>
  <si>
    <t>995.986354269886</t>
  </si>
  <si>
    <t>0.0305742517417475</t>
  </si>
  <si>
    <t>995.783297171243</t>
  </si>
  <si>
    <t>0.0306427800403146</t>
  </si>
  <si>
    <t>995.752562938884</t>
  </si>
  <si>
    <t>0.0307006632894237</t>
  </si>
  <si>
    <t>995.832329806821</t>
  </si>
  <si>
    <t>0.0307726767993627</t>
  </si>
  <si>
    <t>996.19774682794</t>
  </si>
  <si>
    <t>0.030838558578712</t>
  </si>
  <si>
    <t>996.796541250372</t>
  </si>
  <si>
    <t>0.0309053926127394</t>
  </si>
  <si>
    <t>996.730102330993</t>
  </si>
  <si>
    <t>0.0309784325546432</t>
  </si>
  <si>
    <t>996.589666217519</t>
  </si>
  <si>
    <t>0.031033680897964</t>
  </si>
  <si>
    <t>996.86915076525</t>
  </si>
  <si>
    <t>0.0311062854626778</t>
  </si>
  <si>
    <t>996.906421354982</t>
  </si>
  <si>
    <t>0.0311815901306127</t>
  </si>
  <si>
    <t>997.259033841544</t>
  </si>
  <si>
    <t>0.0312409852155113</t>
  </si>
  <si>
    <t>997.547194923766</t>
  </si>
  <si>
    <t>0.0313227615806113</t>
  </si>
  <si>
    <t>997.951280974322</t>
  </si>
  <si>
    <t>0.0313902768349759</t>
  </si>
  <si>
    <t>998.229234058063</t>
  </si>
  <si>
    <t>0.0314524515967267</t>
  </si>
  <si>
    <t>998.026220143663</t>
  </si>
  <si>
    <t>0.0315311255446698</t>
  </si>
  <si>
    <t>998.190289644397</t>
  </si>
  <si>
    <t>0.0315927501345484</t>
  </si>
  <si>
    <t>998.206421572725</t>
  </si>
  <si>
    <t>0.0316638422529653</t>
  </si>
  <si>
    <t>998.087888221427</t>
  </si>
  <si>
    <t>0.0317272716013031</t>
  </si>
  <si>
    <t>998.664522918002</t>
  </si>
  <si>
    <t>0.0317986924724592</t>
  </si>
  <si>
    <t>999.022463960364</t>
  </si>
  <si>
    <t>0.0318724198952239</t>
  </si>
  <si>
    <t>998.722860983019</t>
  </si>
  <si>
    <t>0.0319389170749311</t>
  </si>
  <si>
    <t>999.07933765757</t>
  </si>
  <si>
    <t>0.0320147679060964</t>
  </si>
  <si>
    <t>998.843732798256</t>
  </si>
  <si>
    <t>0.0320800464854893</t>
  </si>
  <si>
    <t>998.952126412555</t>
  </si>
  <si>
    <t>0.0321488239639556</t>
  </si>
  <si>
    <t>999.040558565453</t>
  </si>
  <si>
    <t>0.0322183660566468</t>
  </si>
  <si>
    <t>998.968271401485</t>
  </si>
  <si>
    <t>0.0322834707254464</t>
  </si>
  <si>
    <t>999.177798407145</t>
  </si>
  <si>
    <t>0.0323459562871844</t>
  </si>
  <si>
    <t>999.274767056837</t>
  </si>
  <si>
    <t>0.0324163496614873</t>
  </si>
  <si>
    <t>999.081985429893</t>
  </si>
  <si>
    <t>0.0324799285143436</t>
  </si>
  <si>
    <t>999.105751457387</t>
  </si>
  <si>
    <t>0.0325512956522293</t>
  </si>
  <si>
    <t>999.586776801158</t>
  </si>
  <si>
    <t>0.0326159673696989</t>
  </si>
  <si>
    <t>999.652939292454</t>
  </si>
  <si>
    <t>0.0326857079620263</t>
  </si>
  <si>
    <t>1000.12178909866</t>
  </si>
  <si>
    <t>0.0327530467644041</t>
  </si>
  <si>
    <t>999.97895385255</t>
  </si>
  <si>
    <t>0.0328233326297282</t>
  </si>
  <si>
    <t>1000.21225031003</t>
  </si>
  <si>
    <t>0.0328921660236401</t>
  </si>
  <si>
    <t>1000.00407983393</t>
  </si>
  <si>
    <t>0.0329567284039906</t>
  </si>
  <si>
    <t>1000.02138892194</t>
  </si>
  <si>
    <t>0.0330297510192113</t>
  </si>
  <si>
    <t>1000.20914748383</t>
  </si>
  <si>
    <t>0.0330924996893147</t>
  </si>
  <si>
    <t>1000.59102779468</t>
  </si>
  <si>
    <t>0.0331660219860304</t>
  </si>
  <si>
    <t>1000.69135855353</t>
  </si>
  <si>
    <t>0.0332320672203087</t>
  </si>
  <si>
    <t>1000.68752078722</t>
  </si>
  <si>
    <t>0.0332940121598462</t>
  </si>
  <si>
    <t>1000.83288894155</t>
  </si>
  <si>
    <t>0.033369535090054</t>
  </si>
  <si>
    <t>1001.21216704518</t>
  </si>
  <si>
    <t>0.0334350827597257</t>
  </si>
  <si>
    <t>1001.48192890148</t>
  </si>
  <si>
    <t>0.0335085207701872</t>
  </si>
  <si>
    <t>1001.30732590687</t>
  </si>
  <si>
    <t>0.0335782104023711</t>
  </si>
  <si>
    <t>1001.55626089623</t>
  </si>
  <si>
    <t>0.0336407417511408</t>
  </si>
  <si>
    <t>1001.63311743576</t>
  </si>
  <si>
    <t>0.0337147330676592</t>
  </si>
  <si>
    <t>1001.69141242949</t>
  </si>
  <si>
    <t>0.0337839834621963</t>
  </si>
  <si>
    <t>1001.36099671959</t>
  </si>
  <si>
    <t>0.0338532403154732</t>
  </si>
  <si>
    <t>1001.38917136048</t>
  </si>
  <si>
    <t>0.033915757282484</t>
  </si>
  <si>
    <t>1001.940771478</t>
  </si>
  <si>
    <t>0.0339860205518386</t>
  </si>
  <si>
    <t>1001.93946626387</t>
  </si>
  <si>
    <t>0.0340525629905659</t>
  </si>
  <si>
    <t>1001.87655987113</t>
  </si>
  <si>
    <t>0.0341195904215156</t>
  </si>
  <si>
    <t>1001.88269851505</t>
  </si>
  <si>
    <t>0.0341926884893969</t>
  </si>
  <si>
    <t>1002.09760020705</t>
  </si>
  <si>
    <t>0.0342557185906143</t>
  </si>
  <si>
    <t>1002.40898803594</t>
  </si>
  <si>
    <t>0.0343216581509331</t>
  </si>
  <si>
    <t>1002.76561295176</t>
  </si>
  <si>
    <t>0.0343897754756111</t>
  </si>
  <si>
    <t>1003.0099540866</t>
  </si>
  <si>
    <t>0.0344635286266254</t>
  </si>
  <si>
    <t>1003.16847322714</t>
  </si>
  <si>
    <t>0.0345346531287713</t>
  </si>
  <si>
    <t>1003.09008610949</t>
  </si>
  <si>
    <t>0.034608561467316</t>
  </si>
  <si>
    <t>1003.08632360531</t>
  </si>
  <si>
    <t>0.0346749584807029</t>
  </si>
  <si>
    <t>1003.20532069491</t>
  </si>
  <si>
    <t>0.0347387537104971</t>
  </si>
  <si>
    <t>1003.45400210671</t>
  </si>
  <si>
    <t>0.0348163375507551</t>
  </si>
  <si>
    <t>1003.60036427262</t>
  </si>
  <si>
    <t>0.0348856044532953</t>
  </si>
  <si>
    <t>1004.0412405235</t>
  </si>
  <si>
    <t>0.0349539925208469</t>
  </si>
  <si>
    <t>1004.02797433053</t>
  </si>
  <si>
    <t>0.0350275663723521</t>
  </si>
  <si>
    <t>1004.30938548196</t>
  </si>
  <si>
    <t>0.0350917830959718</t>
  </si>
  <si>
    <t>1004.349295958</t>
  </si>
  <si>
    <t>0.0351693086448863</t>
  </si>
  <si>
    <t>1004.487138375</t>
  </si>
  <si>
    <t>0.0352367726178279</t>
  </si>
  <si>
    <t>1004.71489808209</t>
  </si>
  <si>
    <t>0.0353069627987951</t>
  </si>
  <si>
    <t>1004.53367818504</t>
  </si>
  <si>
    <t>0.0353765637351123</t>
  </si>
  <si>
    <t>1004.41678116762</t>
  </si>
  <si>
    <t>0.0354414125587577</t>
  </si>
  <si>
    <t>1004.30469152288</t>
  </si>
  <si>
    <t>0.03551598420964</t>
  </si>
  <si>
    <t>1004.25592155146</t>
  </si>
  <si>
    <t>0.035580675134503</t>
  </si>
  <si>
    <t>1004.30499360526</t>
  </si>
  <si>
    <t>0.0356449349874074</t>
  </si>
  <si>
    <t>1004.23911856315</t>
  </si>
  <si>
    <t>0.0357142147282093</t>
  </si>
  <si>
    <t>1004.54684999659</t>
  </si>
  <si>
    <t>0.0357752114135873</t>
  </si>
  <si>
    <t>1004.8319974236</t>
  </si>
  <si>
    <t>0.0358485929006872</t>
  </si>
  <si>
    <t>1005.3651112778</t>
  </si>
  <si>
    <t>0.035924111269914</t>
  </si>
  <si>
    <t>1005.35040914668</t>
  </si>
  <si>
    <t>0.0359939079035315</t>
  </si>
  <si>
    <t>1005.22821193245</t>
  </si>
  <si>
    <t>0.0360586998629378</t>
  </si>
  <si>
    <t>1005.8224396627</t>
  </si>
  <si>
    <t>0.0361393674108168</t>
  </si>
  <si>
    <t>1006.374152562</t>
  </si>
  <si>
    <t>0.0362160960402411</t>
  </si>
  <si>
    <t>1006.26254134859</t>
  </si>
  <si>
    <t>0.0362854260373145</t>
  </si>
  <si>
    <t>1006.00445865163</t>
  </si>
  <si>
    <t>0.0363563144345274</t>
  </si>
  <si>
    <t>1005.94837486476</t>
  </si>
  <si>
    <t>0.0364227414344214</t>
  </si>
  <si>
    <t>1006.01990421786</t>
  </si>
  <si>
    <t>0.0364925565909373</t>
  </si>
  <si>
    <t>1005.84229704435</t>
  </si>
  <si>
    <t>0.0365597517766657</t>
  </si>
  <si>
    <t>1006.32262310801</t>
  </si>
  <si>
    <t>0.0366226805600974</t>
  </si>
  <si>
    <t>1006.78260925384</t>
  </si>
  <si>
    <t>0.036709222212953</t>
  </si>
  <si>
    <t>1006.92525146646</t>
  </si>
  <si>
    <t>0.0367706379463378</t>
  </si>
  <si>
    <t>1007.00579645809</t>
  </si>
  <si>
    <t>0.0368427374258518</t>
  </si>
  <si>
    <t>1006.98031653367</t>
  </si>
  <si>
    <t>0.0369224834605113</t>
  </si>
  <si>
    <t>1007.32373789008</t>
  </si>
  <si>
    <t>0.0369860962086182</t>
  </si>
  <si>
    <t>1007.40055116642</t>
  </si>
  <si>
    <t>0.0370663720771493</t>
  </si>
  <si>
    <t>1007.42347657781</t>
  </si>
  <si>
    <t>0.0371330716178598</t>
  </si>
  <si>
    <t>1007.80026104866</t>
  </si>
  <si>
    <t>0.0372076574344927</t>
  </si>
  <si>
    <t>1007.7044387068</t>
  </si>
  <si>
    <t>0.0372842060069602</t>
  </si>
  <si>
    <t>1007.48267198829</t>
  </si>
  <si>
    <t>0.0373427462888269</t>
  </si>
  <si>
    <t>1007.31569471382</t>
  </si>
  <si>
    <t>0.0374187518581016</t>
  </si>
  <si>
    <t>1006.94591071183</t>
  </si>
  <si>
    <t>0.0374750219758133</t>
  </si>
  <si>
    <t>1007.17771622524</t>
  </si>
  <si>
    <t>0.0375448421962934</t>
  </si>
  <si>
    <t>1007.27753917272</t>
  </si>
  <si>
    <t>0.0376232513295002</t>
  </si>
  <si>
    <t>1007.63332058774</t>
  </si>
  <si>
    <t>0.0376796753044196</t>
  </si>
  <si>
    <t>1007.8991025511</t>
  </si>
  <si>
    <t>0.0377552741238814</t>
  </si>
  <si>
    <t>1007.75481857797</t>
  </si>
  <si>
    <t>0.0378258482298083</t>
  </si>
  <si>
    <t>1008.10403638239</t>
  </si>
  <si>
    <t>0.0378968432826478</t>
  </si>
  <si>
    <t>1008.20696574718</t>
  </si>
  <si>
    <t>0.0379680322342299</t>
  </si>
  <si>
    <t>1008.56865611488</t>
  </si>
  <si>
    <t>0.0380353104662372</t>
  </si>
  <si>
    <t>1009.01846178106</t>
  </si>
  <si>
    <t>0.0381207802428169</t>
  </si>
  <si>
    <t>1008.75998564433</t>
  </si>
  <si>
    <t>0.0381798570576163</t>
  </si>
  <si>
    <t>1008.83921509711</t>
  </si>
  <si>
    <t>0.038255740206764</t>
  </si>
  <si>
    <t>1008.81550450221</t>
  </si>
  <si>
    <t>0.0383240466436783</t>
  </si>
  <si>
    <t>1008.51469787785</t>
  </si>
  <si>
    <t>0.0383866264372454</t>
  </si>
  <si>
    <t>1008.88869478552</t>
  </si>
  <si>
    <t>0.038458315442298</t>
  </si>
  <si>
    <t>1009.19764371384</t>
  </si>
  <si>
    <t>0.0385223822489816</t>
  </si>
  <si>
    <t>1009.39679058965</t>
  </si>
  <si>
    <t>0.0386053770647447</t>
  </si>
  <si>
    <t>1009.72359452587</t>
  </si>
  <si>
    <t>0.0386762019996804</t>
  </si>
  <si>
    <t>1009.34211593964</t>
  </si>
  <si>
    <t>0.0387463863705471</t>
  </si>
  <si>
    <t>1009.30563099067</t>
  </si>
  <si>
    <t>0.0388136346550756</t>
  </si>
  <si>
    <t>1009.49351254515</t>
  </si>
  <si>
    <t>0.0388801981640182</t>
  </si>
  <si>
    <t>1009.61273558847</t>
  </si>
  <si>
    <t>0.0389554095693904</t>
  </si>
  <si>
    <t>1009.93098563595</t>
  </si>
  <si>
    <t>0.0390212806856856</t>
  </si>
  <si>
    <t>1009.68270396845</t>
  </si>
  <si>
    <t>0.0390941444863771</t>
  </si>
  <si>
    <t>1009.44718535783</t>
  </si>
  <si>
    <t>0.039164803279804</t>
  </si>
  <si>
    <t>1009.7457058143</t>
  </si>
  <si>
    <t>0.0392313714027665</t>
  </si>
  <si>
    <t>1010.11991158381</t>
  </si>
  <si>
    <t>0.0393067886525253</t>
  </si>
  <si>
    <t>1010.41170408935</t>
  </si>
  <si>
    <t>0.0393748246772552</t>
  </si>
  <si>
    <t>1010.69918015154</t>
  </si>
  <si>
    <t>0.0394428169038675</t>
  </si>
  <si>
    <t>1010.37141411653</t>
  </si>
  <si>
    <t>0.039516002497476</t>
  </si>
  <si>
    <t>1010.47126535158</t>
  </si>
  <si>
    <t>0.0395836941934577</t>
  </si>
  <si>
    <t>1010.42912915224</t>
  </si>
  <si>
    <t>0.0396542904332586</t>
  </si>
  <si>
    <t>1010.24922253968</t>
  </si>
  <si>
    <t>0.0397217769762414</t>
  </si>
  <si>
    <t>1010.6615244006</t>
  </si>
  <si>
    <t>0.0397898211327235</t>
  </si>
  <si>
    <t>1010.97336067179</t>
  </si>
  <si>
    <t>0.0398649949208207</t>
  </si>
  <si>
    <t>1011.24831450267</t>
  </si>
  <si>
    <t>0.0399351742100074</t>
  </si>
  <si>
    <t>1011.44905112075</t>
  </si>
  <si>
    <t>0.0400055834594079</t>
  </si>
  <si>
    <t>1011.40350221899</t>
  </si>
  <si>
    <t>0.0400811464558424</t>
  </si>
  <si>
    <t>1011.43840754576</t>
  </si>
  <si>
    <t>0.040151920071258</t>
  </si>
  <si>
    <t>1011.81819269051</t>
  </si>
  <si>
    <t>0.0402220848191251</t>
  </si>
  <si>
    <t>1011.92558696629</t>
  </si>
  <si>
    <t>0.0402991214232219</t>
  </si>
  <si>
    <t>1011.98534389433</t>
  </si>
  <si>
    <t>0.0403620305739638</t>
  </si>
  <si>
    <t>1011.6738679173</t>
  </si>
  <si>
    <t>0.0404339805966751</t>
  </si>
  <si>
    <t>1011.79889047324</t>
  </si>
  <si>
    <t>0.0405101121209124</t>
  </si>
  <si>
    <t>1011.90488088071</t>
  </si>
  <si>
    <t>0.0405798045986901</t>
  </si>
  <si>
    <t>1012.11805878892</t>
  </si>
  <si>
    <t>0.0406506407379449</t>
  </si>
  <si>
    <t>1012.70466380993</t>
  </si>
  <si>
    <t>0.0407246768577989</t>
  </si>
  <si>
    <t>1012.75398927819</t>
  </si>
  <si>
    <t>0.0407946756992712</t>
  </si>
  <si>
    <t>1012.27825908336</t>
  </si>
  <si>
    <t>0.0408644628964388</t>
  </si>
  <si>
    <t>1012.64008967731</t>
  </si>
  <si>
    <t>0.0409374383652506</t>
  </si>
  <si>
    <t>1012.66780092843</t>
  </si>
  <si>
    <t>0.0410105370073257</t>
  </si>
  <si>
    <t>1013.0865946406</t>
  </si>
  <si>
    <t>0.0410805326019515</t>
  </si>
  <si>
    <t>1013.24678661636</t>
  </si>
  <si>
    <t>0.0411545201440648</t>
  </si>
  <si>
    <t>1013.20883176393</t>
  </si>
  <si>
    <t>0.0412268153403641</t>
  </si>
  <si>
    <t>1013.53893236318</t>
  </si>
  <si>
    <t>0.0412989209965182</t>
  </si>
  <si>
    <t>1013.54566355674</t>
  </si>
  <si>
    <t>0.0413754530370478</t>
  </si>
  <si>
    <t>1013.73388709794</t>
  </si>
  <si>
    <t>0.0414527749998703</t>
  </si>
  <si>
    <t>1013.76179392796</t>
  </si>
  <si>
    <t>0.0415259309106781</t>
  </si>
  <si>
    <t>1013.42399139773</t>
  </si>
  <si>
    <t>0.0415924704719673</t>
  </si>
  <si>
    <t>1013.84524994962</t>
  </si>
  <si>
    <t>0.0416683407735875</t>
  </si>
  <si>
    <t>1013.83630545909</t>
  </si>
  <si>
    <t>0.0417298155885842</t>
  </si>
  <si>
    <t>1013.73237422335</t>
  </si>
  <si>
    <t>0.0418054326346691</t>
  </si>
  <si>
    <t>1013.99133799906</t>
  </si>
  <si>
    <t>0.0418732402678889</t>
  </si>
  <si>
    <t>1014.01758033433</t>
  </si>
  <si>
    <t>0.0419482101623956</t>
  </si>
  <si>
    <t>1014.17385949583</t>
  </si>
  <si>
    <t>0.042023902786744</t>
  </si>
  <si>
    <t>1014.58199187955</t>
  </si>
  <si>
    <t>0.0420942627935182</t>
  </si>
  <si>
    <t>1014.7964617585</t>
  </si>
  <si>
    <t>0.0421747267624329</t>
  </si>
  <si>
    <t>1014.75900523727</t>
  </si>
  <si>
    <t>0.0422407683976067</t>
  </si>
  <si>
    <t>1015.00930788103</t>
  </si>
  <si>
    <t>0.0423190836040854</t>
  </si>
  <si>
    <t>1014.78334807181</t>
  </si>
  <si>
    <t>0.0423980008037558</t>
  </si>
  <si>
    <t>1014.90683035263</t>
  </si>
  <si>
    <t>0.0424631323031108</t>
  </si>
  <si>
    <t>1015.01674198778</t>
  </si>
  <si>
    <t>0.0425429920304824</t>
  </si>
  <si>
    <t>1015.07077469744</t>
  </si>
  <si>
    <t>0.0426119656638061</t>
  </si>
  <si>
    <t>1015.37167368537</t>
  </si>
  <si>
    <t>0.0426870280030555</t>
  </si>
  <si>
    <t>1015.35990982601</t>
  </si>
  <si>
    <t>0.042758875079376</t>
  </si>
  <si>
    <t>1014.78513168234</t>
  </si>
  <si>
    <t>0.0428327831674694</t>
  </si>
  <si>
    <t>1015.03097223954</t>
  </si>
  <si>
    <t>0.0428967989675144</t>
  </si>
  <si>
    <t>1014.4056546809</t>
  </si>
  <si>
    <t>0.0429657788704755</t>
  </si>
  <si>
    <t>1014.6237801225</t>
  </si>
  <si>
    <t>0.0430252280842863</t>
  </si>
  <si>
    <t>1015.00798674333</t>
  </si>
  <si>
    <t>0.0431032337856527</t>
  </si>
  <si>
    <t>1015.13133751129</t>
  </si>
  <si>
    <t>0.0431684225043425</t>
  </si>
  <si>
    <t>1015.41242110195</t>
  </si>
  <si>
    <t>0.0432447307782283</t>
  </si>
  <si>
    <t>1015.375513827</t>
  </si>
  <si>
    <t>0.0433163650034119</t>
  </si>
  <si>
    <t>1015.31019356987</t>
  </si>
  <si>
    <t>0.0433804362467449</t>
  </si>
  <si>
    <t>1015.85260431936</t>
  </si>
  <si>
    <t>0.0434613262504748</t>
  </si>
  <si>
    <t>1016.3436370784</t>
  </si>
  <si>
    <t>0.0435294814564815</t>
  </si>
  <si>
    <t>1016.792751273</t>
  </si>
  <si>
    <t>0.0436101225793239</t>
  </si>
  <si>
    <t>1016.53963417326</t>
  </si>
  <si>
    <t>0.0436785518170208</t>
  </si>
  <si>
    <t>1016.3420977587</t>
  </si>
  <si>
    <t>0.0437540049397444</t>
  </si>
  <si>
    <t>1016.39960904868</t>
  </si>
  <si>
    <t>0.0438221541297627</t>
  </si>
  <si>
    <t>1016.40519289332</t>
  </si>
  <si>
    <t>0.0438931007924278</t>
  </si>
  <si>
    <t>1016.52463138011</t>
  </si>
  <si>
    <t>0.0439686017884808</t>
  </si>
  <si>
    <t>1016.46424847599</t>
  </si>
  <si>
    <t>0.0440356140002301</t>
  </si>
  <si>
    <t>1016.44778511834</t>
  </si>
  <si>
    <t>0.0441086564013885</t>
  </si>
  <si>
    <t>1016.5108536416</t>
  </si>
  <si>
    <t>0.044178012224284</t>
  </si>
  <si>
    <t>1016.67754500763</t>
  </si>
  <si>
    <t>0.0442475219488528</t>
  </si>
  <si>
    <t>1017.13661435132</t>
  </si>
  <si>
    <t>0.0443314824066724</t>
  </si>
  <si>
    <t>1017.46630621798</t>
  </si>
  <si>
    <t>0.0444025237918274</t>
  </si>
  <si>
    <t>1017.46293241326</t>
  </si>
  <si>
    <t>0.0444725774542376</t>
  </si>
  <si>
    <t>1017.4010004538</t>
  </si>
  <si>
    <t>0.0445466596257347</t>
  </si>
  <si>
    <t>1017.81787131796</t>
  </si>
  <si>
    <t>0.0446181255009729</t>
  </si>
  <si>
    <t>1017.8159352406</t>
  </si>
  <si>
    <t>0.0446985731256542</t>
  </si>
  <si>
    <t>1018.01080081371</t>
  </si>
  <si>
    <t>0.0447717841909291</t>
  </si>
  <si>
    <t>1018.60115047969</t>
  </si>
  <si>
    <t>0.0448484377182704</t>
  </si>
  <si>
    <t>1018.47812614652</t>
  </si>
  <si>
    <t>0.0449278929364103</t>
  </si>
  <si>
    <t>1018.7256515609</t>
  </si>
  <si>
    <t>0.0449997767438585</t>
  </si>
  <si>
    <t>1018.9005260127</t>
  </si>
  <si>
    <t>0.0450757256169441</t>
  </si>
  <si>
    <t>1018.55223312493</t>
  </si>
  <si>
    <t>0.0451529456121002</t>
  </si>
  <si>
    <t>1018.84550106133</t>
  </si>
  <si>
    <t>0.0452232304594919</t>
  </si>
  <si>
    <t>1018.62573103941</t>
  </si>
  <si>
    <t>0.0453018993431506</t>
  </si>
  <si>
    <t>1018.63884094753</t>
  </si>
  <si>
    <t>0.0453686192358061</t>
  </si>
  <si>
    <t>1019.22278767821</t>
  </si>
  <si>
    <t>0.0454440979097677</t>
  </si>
  <si>
    <t>1019.23006303991</t>
  </si>
  <si>
    <t>0.0455247961350216</t>
  </si>
  <si>
    <t>1019.32264285251</t>
  </si>
  <si>
    <t>0.0456026293520274</t>
  </si>
  <si>
    <t>1019.0655988657</t>
  </si>
  <si>
    <t>0.0456740865346455</t>
  </si>
  <si>
    <t>1019.14440795133</t>
  </si>
  <si>
    <t>0.0457524613983582</t>
  </si>
  <si>
    <t>1019.65090366606</t>
  </si>
  <si>
    <t>0.0458245862020483</t>
  </si>
  <si>
    <t>1019.61025624699</t>
  </si>
  <si>
    <t>0.045899110349912</t>
  </si>
  <si>
    <t>1019.56649800793</t>
  </si>
  <si>
    <t>0.0459785377257338</t>
  </si>
  <si>
    <t>1019.3749065639</t>
  </si>
  <si>
    <t>0.0460455321222832</t>
  </si>
  <si>
    <t>1019.32867883333</t>
  </si>
  <si>
    <t>0.046122252050948</t>
  </si>
  <si>
    <t>1019.97269505824</t>
  </si>
  <si>
    <t>0.0462010892363693</t>
  </si>
  <si>
    <t>1019.91129857554</t>
  </si>
  <si>
    <t>0.0462714949711826</t>
  </si>
  <si>
    <t>1020.03688887283</t>
  </si>
  <si>
    <t>0.0463506621554137</t>
  </si>
  <si>
    <t>1020.23369140333</t>
  </si>
  <si>
    <t>0.046420604486534</t>
  </si>
  <si>
    <t>1019.63327218437</t>
  </si>
  <si>
    <t>0.0464972761990804</t>
  </si>
  <si>
    <t>1019.88959610707</t>
  </si>
  <si>
    <t>0.0465724613887582</t>
  </si>
  <si>
    <t>1020.01397376811</t>
  </si>
  <si>
    <t>0.0466448909612759</t>
  </si>
  <si>
    <t>1020.24871080337</t>
  </si>
  <si>
    <t>0.0467295141906808</t>
  </si>
  <si>
    <t>1020.49565589158</t>
  </si>
  <si>
    <t>0.0467983107706642</t>
  </si>
  <si>
    <t>1020.39834557161</t>
  </si>
  <si>
    <t>0.0468705518060679</t>
  </si>
  <si>
    <t>1020.25930818933</t>
  </si>
  <si>
    <t>0.0469435651600028</t>
  </si>
  <si>
    <t>1020.34234939142</t>
  </si>
  <si>
    <t>0.0470071378654853</t>
  </si>
  <si>
    <t>1020.19588979136</t>
  </si>
  <si>
    <t>0.0470926550230009</t>
  </si>
  <si>
    <t>1020.44436014882</t>
  </si>
  <si>
    <t>0.0471628869643558</t>
  </si>
  <si>
    <t>1020.52721687404</t>
  </si>
  <si>
    <t>0.0472318813787953</t>
  </si>
  <si>
    <t>1021.07879568765</t>
  </si>
  <si>
    <t>0.0473109337088911</t>
  </si>
  <si>
    <t>1021.171085802</t>
  </si>
  <si>
    <t>0.0473832654047226</t>
  </si>
  <si>
    <t>1021.42299261822</t>
  </si>
  <si>
    <t>0.0474639627269577</t>
  </si>
  <si>
    <t>1021.26777467346</t>
  </si>
  <si>
    <t>0.0475357838062732</t>
  </si>
  <si>
    <t>1021.53519742483</t>
  </si>
  <si>
    <t>0.0476133496627069</t>
  </si>
  <si>
    <t>1021.21040085686</t>
  </si>
  <si>
    <t>0.0476868388017062</t>
  </si>
  <si>
    <t>1021.52899724165</t>
  </si>
  <si>
    <t>0.0477611299630852</t>
  </si>
  <si>
    <t>1021.60361675294</t>
  </si>
  <si>
    <t>0.0478309653924212</t>
  </si>
  <si>
    <t>1021.69747799488</t>
  </si>
  <si>
    <t>0.0479001356711035</t>
  </si>
  <si>
    <t>1021.86570534467</t>
  </si>
  <si>
    <t>0.0479802309399789</t>
  </si>
  <si>
    <t>1021.85160593919</t>
  </si>
  <si>
    <t>0.0480565141098228</t>
  </si>
  <si>
    <t>1021.66633346728</t>
  </si>
  <si>
    <t>0.0481242154033035</t>
  </si>
  <si>
    <t>1022.05601171388</t>
  </si>
  <si>
    <t>0.0482059124018462</t>
  </si>
  <si>
    <t>1021.49140911772</t>
  </si>
  <si>
    <t>0.0482648401508433</t>
  </si>
  <si>
    <t>1021.64017728093</t>
  </si>
  <si>
    <t>0.0483433699565212</t>
  </si>
  <si>
    <t>1021.8236836926</t>
  </si>
  <si>
    <t>0.0484184830283052</t>
  </si>
  <si>
    <t>1021.78672997902</t>
  </si>
  <si>
    <t>0.0484895368864045</t>
  </si>
  <si>
    <t>1022.02082658255</t>
  </si>
  <si>
    <t>0.0485652544570862</t>
  </si>
  <si>
    <t>1022.21734531018</t>
  </si>
  <si>
    <t>0.0486338694200681</t>
  </si>
  <si>
    <t>1022.60287896772</t>
  </si>
  <si>
    <t>0.0487087500021077</t>
  </si>
  <si>
    <t>1022.77950618023</t>
  </si>
  <si>
    <t>0.0487933096399577</t>
  </si>
  <si>
    <t>1022.4764704685</t>
  </si>
  <si>
    <t>0.0488546750693949</t>
  </si>
  <si>
    <t>1022.43711206652</t>
  </si>
  <si>
    <t>0.0489303594559839</t>
  </si>
  <si>
    <t>1022.73535020911</t>
  </si>
  <si>
    <t>0.0490090697977056</t>
  </si>
  <si>
    <t>1023.07235008622</t>
  </si>
  <si>
    <t>0.0490863274979487</t>
  </si>
  <si>
    <t>1022.8374652773</t>
  </si>
  <si>
    <t>0.0491555218316036</t>
  </si>
  <si>
    <t>1022.77327965545</t>
  </si>
  <si>
    <t>0.0492205000733381</t>
  </si>
  <si>
    <t>1023.03305477151</t>
  </si>
  <si>
    <t>0.0493009162995942</t>
  </si>
  <si>
    <t>1023.41202165502</t>
  </si>
  <si>
    <t>0.0493732094716839</t>
  </si>
  <si>
    <t>1023.39052426062</t>
  </si>
  <si>
    <t>0.0494482895512944</t>
  </si>
  <si>
    <t>1023.49790663514</t>
  </si>
  <si>
    <t>0.049532758982349</t>
  </si>
  <si>
    <t>1023.7377196693</t>
  </si>
  <si>
    <t>0.0495997400301759</t>
  </si>
  <si>
    <t>1024.18396836793</t>
  </si>
  <si>
    <t>0.049686362272892</t>
  </si>
  <si>
    <t>1024.87907164232</t>
  </si>
  <si>
    <t>0.0497666413593314</t>
  </si>
  <si>
    <t>1024.66528681056</t>
  </si>
  <si>
    <t>0.0498412821125956</t>
  </si>
  <si>
    <t>1024.04932537031</t>
  </si>
  <si>
    <t>0.0499188299366578</t>
  </si>
  <si>
    <t>1024.15020314579</t>
  </si>
  <si>
    <t>0.0499923131886031</t>
  </si>
  <si>
    <t>1024.25929880925</t>
  </si>
  <si>
    <t>0.0500687586113202</t>
  </si>
  <si>
    <t>1024.64558390683</t>
  </si>
  <si>
    <t>0.0501466763228735</t>
  </si>
  <si>
    <t>1024.61980157858</t>
  </si>
  <si>
    <t>0.0502157142924752</t>
  </si>
  <si>
    <t>1024.5461473143</t>
  </si>
  <si>
    <t>0.050299858771709</t>
  </si>
  <si>
    <t>1024.53674502469</t>
  </si>
  <si>
    <t>0.0503727162703236</t>
  </si>
  <si>
    <t>1024.73013287809</t>
  </si>
  <si>
    <t>0.0504451810518121</t>
  </si>
  <si>
    <t>1025.05174307285</t>
  </si>
  <si>
    <t>0.050527114777508</t>
  </si>
  <si>
    <t>1025.13250355589</t>
  </si>
  <si>
    <t>0.0505961984249058</t>
  </si>
  <si>
    <t>1025.02899610292</t>
  </si>
  <si>
    <t>0.0506756907313513</t>
  </si>
  <si>
    <t>1024.85599077831</t>
  </si>
  <si>
    <t>0.0507504296477742</t>
  </si>
  <si>
    <t>1025.25113559502</t>
  </si>
  <si>
    <t>0.050832410287759</t>
  </si>
  <si>
    <t>1025.21244066664</t>
  </si>
  <si>
    <t>0.0509047532564587</t>
  </si>
  <si>
    <t>1025.46261053623</t>
  </si>
  <si>
    <t>0.0509847797149225</t>
  </si>
  <si>
    <t>1025.65280647149</t>
  </si>
  <si>
    <t>0.0510616913476418</t>
  </si>
  <si>
    <t>1026.12090607348</t>
  </si>
  <si>
    <t>0.0511460190806449</t>
  </si>
  <si>
    <t>1026.46409416538</t>
  </si>
  <si>
    <t>0.051229554431992</t>
  </si>
  <si>
    <t>1025.9638460625</t>
  </si>
  <si>
    <t>0.0512977324673747</t>
  </si>
  <si>
    <t>1025.98008931661</t>
  </si>
  <si>
    <t>0.0513769699755079</t>
  </si>
  <si>
    <t>1026.46295742049</t>
  </si>
  <si>
    <t>0.05145863388649</t>
  </si>
  <si>
    <t>1026.26914247158</t>
  </si>
  <si>
    <t>0.051528570932624</t>
  </si>
  <si>
    <t>1026.71229652907</t>
  </si>
  <si>
    <t>0.0516205873651416</t>
  </si>
  <si>
    <t>1026.39452392061</t>
  </si>
  <si>
    <t>0.051688246795471</t>
  </si>
  <si>
    <t>1026.54803379752</t>
  </si>
  <si>
    <t>0.051772554873718</t>
  </si>
  <si>
    <t>1026.53076112058</t>
  </si>
  <si>
    <t>0.0518434150332146</t>
  </si>
  <si>
    <t>1026.47223109783</t>
  </si>
  <si>
    <t>0.051923471410791</t>
  </si>
  <si>
    <t>1026.42190153364</t>
  </si>
  <si>
    <t>0.0520047978392624</t>
  </si>
  <si>
    <t>1026.81869358313</t>
  </si>
  <si>
    <t>0.052081785774086</t>
  </si>
  <si>
    <t>1026.65567101166</t>
  </si>
  <si>
    <t>0.0521568395749001</t>
  </si>
  <si>
    <t>1026.97069420886</t>
  </si>
  <si>
    <t>0.0522384619241206</t>
  </si>
  <si>
    <t>1027.32072608782</t>
  </si>
  <si>
    <t>0.0523098856821961</t>
  </si>
  <si>
    <t>1026.97201067929</t>
  </si>
  <si>
    <t>0.0523913243074753</t>
  </si>
  <si>
    <t>1026.89569599932</t>
  </si>
  <si>
    <t>0.0524654877308897</t>
  </si>
  <si>
    <t>1026.69968489134</t>
  </si>
  <si>
    <t>0.0525362435792121</t>
  </si>
  <si>
    <t>1026.66154612435</t>
  </si>
  <si>
    <t>0.052609694904779</t>
  </si>
  <si>
    <t>1027.01727405347</t>
  </si>
  <si>
    <t>0.0526867467262607</t>
  </si>
  <si>
    <t>1026.97042483187</t>
  </si>
  <si>
    <t>0.0527658245588015</t>
  </si>
  <si>
    <t>1027.27537897339</t>
  </si>
  <si>
    <t>0.0528398884388593</t>
  </si>
  <si>
    <t>1027.23004159971</t>
  </si>
  <si>
    <t>0.0529183524012362</t>
  </si>
  <si>
    <t>1027.08449501507</t>
  </si>
  <si>
    <t>0.0529991176968561</t>
  </si>
  <si>
    <t>1027.34979505612</t>
  </si>
  <si>
    <t>0.0530677216703392</t>
  </si>
  <si>
    <t>1027.35011689299</t>
  </si>
  <si>
    <t>0.0531353163798111</t>
  </si>
  <si>
    <t>1027.50232135858</t>
  </si>
  <si>
    <t>0.0532206670783635</t>
  </si>
  <si>
    <t>1027.40435459142</t>
  </si>
  <si>
    <t>0.0532853099754039</t>
  </si>
  <si>
    <t>1027.12191163593</t>
  </si>
  <si>
    <t>0.0533690144693272</t>
  </si>
  <si>
    <t>1027.64281597412</t>
  </si>
  <si>
    <t>0.0534421563508986</t>
  </si>
  <si>
    <t>1027.60169748097</t>
  </si>
  <si>
    <t>0.0535117782585096</t>
  </si>
  <si>
    <t>1027.52052572568</t>
  </si>
  <si>
    <t>0.0535989836464584</t>
  </si>
  <si>
    <t>1027.89375956166</t>
  </si>
  <si>
    <t>0.0536667520877168</t>
  </si>
  <si>
    <t>1027.47174585071</t>
  </si>
  <si>
    <t>0.0537352275320714</t>
  </si>
  <si>
    <t>1028.11392230097</t>
  </si>
  <si>
    <t>0.0538259049071249</t>
  </si>
  <si>
    <t>1028.37004084318</t>
  </si>
  <si>
    <t>0.0538981033486018</t>
  </si>
  <si>
    <t>1028.47048432767</t>
  </si>
  <si>
    <t>0.0539763685132889</t>
  </si>
  <si>
    <t>1029.00923046394</t>
  </si>
  <si>
    <t>0.0540586365715279</t>
  </si>
  <si>
    <t>1028.85438218639</t>
  </si>
  <si>
    <t>0.0541321581282133</t>
  </si>
  <si>
    <t>1029.06849608321</t>
  </si>
  <si>
    <t>0.0542119212219029</t>
  </si>
  <si>
    <t>1029.37255244982</t>
  </si>
  <si>
    <t>0.0542905698056875</t>
  </si>
  <si>
    <t>1029.19453766932</t>
  </si>
  <si>
    <t>0.0543690192582678</t>
  </si>
  <si>
    <t>1029.09438861909</t>
  </si>
  <si>
    <t>0.0544480523743926</t>
  </si>
  <si>
    <t>1029.14899370232</t>
  </si>
  <si>
    <t>0.0545221957118522</t>
  </si>
  <si>
    <t>1029.01004846812</t>
  </si>
  <si>
    <t>0.054594988747286</t>
  </si>
  <si>
    <t>1029.62937819434</t>
  </si>
  <si>
    <t>0.0546800330939385</t>
  </si>
  <si>
    <t>1029.52586953168</t>
  </si>
  <si>
    <t>0.0547581489174614</t>
  </si>
  <si>
    <t>1029.63763611223</t>
  </si>
  <si>
    <t>0.0548368867986557</t>
  </si>
  <si>
    <t>1029.84996226407</t>
  </si>
  <si>
    <t>0.0549178884883324</t>
  </si>
  <si>
    <t>1029.84514628243</t>
  </si>
  <si>
    <t>0.0549923165401353</t>
  </si>
  <si>
    <t>1030.04375196053</t>
  </si>
  <si>
    <t>0.0550737463503161</t>
  </si>
  <si>
    <t>1030.02064519236</t>
  </si>
  <si>
    <t>0.0551478873805973</t>
  </si>
  <si>
    <t>1029.78074474612</t>
  </si>
  <si>
    <t>0.0552300646286452</t>
  </si>
  <si>
    <t>1029.87224199053</t>
  </si>
  <si>
    <t>0.0553086497034928</t>
  </si>
  <si>
    <t>1029.66588867715</t>
  </si>
  <si>
    <t>0.0553791220665714</t>
  </si>
  <si>
    <t>1029.46800094604</t>
  </si>
  <si>
    <t>0.0554545620847319</t>
  </si>
  <si>
    <t>1029.99091138654</t>
  </si>
  <si>
    <t>0.0555265769632171</t>
  </si>
  <si>
    <t>1030.29325770851</t>
  </si>
  <si>
    <t>0.0556075393261139</t>
  </si>
  <si>
    <t>1030.85526808434</t>
  </si>
  <si>
    <t>0.0556959660388235</t>
  </si>
  <si>
    <t>1030.64146587718</t>
  </si>
  <si>
    <t>0.0557681452016386</t>
  </si>
  <si>
    <t>1030.52983093433</t>
  </si>
  <si>
    <t>0.0558508384687277</t>
  </si>
  <si>
    <t>1030.62461451892</t>
  </si>
  <si>
    <t>0.0559286207081184</t>
  </si>
  <si>
    <t>1031.12779363047</t>
  </si>
  <si>
    <t>0.0560127041490777</t>
  </si>
  <si>
    <t>1031.21157555136</t>
  </si>
  <si>
    <t>0.0560909085574803</t>
  </si>
  <si>
    <t>1031.65203357451</t>
  </si>
  <si>
    <t>0.0561731184065453</t>
  </si>
  <si>
    <t>1031.25496711112</t>
  </si>
  <si>
    <t>0.0562505454403463</t>
  </si>
  <si>
    <t>1030.88977029789</t>
  </si>
  <si>
    <t>0.0563246377899069</t>
  </si>
  <si>
    <t>1030.9348944292</t>
  </si>
  <si>
    <t>0.0564021631243439</t>
  </si>
  <si>
    <t>1030.83395359738</t>
  </si>
  <si>
    <t>0.0564786482374641</t>
  </si>
  <si>
    <t>1031.29143303438</t>
  </si>
  <si>
    <t>0.0565559361047639</t>
  </si>
  <si>
    <t>1031.63983481013</t>
  </si>
  <si>
    <t>0.0566365016597824</t>
  </si>
  <si>
    <t>1031.73346880716</t>
  </si>
  <si>
    <t>0.0567211690793923</t>
  </si>
  <si>
    <t>1031.70162525473</t>
  </si>
  <si>
    <t>0.0567985811893664</t>
  </si>
  <si>
    <t>1031.11390594466</t>
  </si>
  <si>
    <t>0.0568744146082277</t>
  </si>
  <si>
    <t>1031.19117732526</t>
  </si>
  <si>
    <t>0.0569493515137967</t>
  </si>
  <si>
    <t>1031.45077560176</t>
  </si>
  <si>
    <t>0.0570274442226295</t>
  </si>
  <si>
    <t>1031.44889392241</t>
  </si>
  <si>
    <t>0.0570993954027349</t>
  </si>
  <si>
    <t>1031.71282186419</t>
  </si>
  <si>
    <t>0.0571753049654782</t>
  </si>
  <si>
    <t>1031.30654183696</t>
  </si>
  <si>
    <t>0.0572534020191483</t>
  </si>
  <si>
    <t>1031.3922058201</t>
  </si>
  <si>
    <t>0.0573317293209853</t>
  </si>
  <si>
    <t>1031.7426502515</t>
  </si>
  <si>
    <t>0.0574106990167554</t>
  </si>
  <si>
    <t>1032.23277885405</t>
  </si>
  <si>
    <t>0.0575002084190591</t>
  </si>
  <si>
    <t>1032.62123693636</t>
  </si>
  <si>
    <t>0.0575792582280477</t>
  </si>
  <si>
    <t>1033.02871649573</t>
  </si>
  <si>
    <t>0.0576616864828977</t>
  </si>
  <si>
    <t>1032.33399504112</t>
  </si>
  <si>
    <t>0.0577339876290517</t>
  </si>
  <si>
    <t>1032.58780075916</t>
  </si>
  <si>
    <t>0.0578149857366007</t>
  </si>
  <si>
    <t>1032.06704125542</t>
  </si>
  <si>
    <t>0.0578895555523941</t>
  </si>
  <si>
    <t>1032.50037828583</t>
  </si>
  <si>
    <t>0.0579645812167052</t>
  </si>
  <si>
    <t>1033.14505882017</t>
  </si>
  <si>
    <t>0.0580460934233682</t>
  </si>
  <si>
    <t>1033.29984689713</t>
  </si>
  <si>
    <t>0.0581320365648369</t>
  </si>
  <si>
    <t>1033.07417917599</t>
  </si>
  <si>
    <t>0.058203419558365</t>
  </si>
  <si>
    <t>1033.39484148704</t>
  </si>
  <si>
    <t>0.0582899971389951</t>
  </si>
  <si>
    <t>1032.98317237563</t>
  </si>
  <si>
    <t>0.0583681664219667</t>
  </si>
  <si>
    <t>1032.85632537017</t>
  </si>
  <si>
    <t>0.0584445397508244</t>
  </si>
  <si>
    <t>1032.97747961711</t>
  </si>
  <si>
    <t>0.0585207754895101</t>
  </si>
  <si>
    <t>1033.24075888989</t>
  </si>
  <si>
    <t>0.0585977739446895</t>
  </si>
  <si>
    <t>1033.08503533878</t>
  </si>
  <si>
    <t>0.0586730868176298</t>
  </si>
  <si>
    <t>1033.26718247372</t>
  </si>
  <si>
    <t>0.0587546016700904</t>
  </si>
  <si>
    <t>1033.63566503044</t>
  </si>
  <si>
    <t>0.0588380032969971</t>
  </si>
  <si>
    <t>1034.16683675335</t>
  </si>
  <si>
    <t>0.0589212937022154</t>
  </si>
  <si>
    <t>1034.14781003459</t>
  </si>
  <si>
    <t>0.0590036223886807</t>
  </si>
  <si>
    <t>1034.0643601759</t>
  </si>
  <si>
    <t>0.059079925255571</t>
  </si>
  <si>
    <t>1034.34829334789</t>
  </si>
  <si>
    <t>0.0591664544187983</t>
  </si>
  <si>
    <t>1034.32122409453</t>
  </si>
  <si>
    <t>0.0592467879949934</t>
  </si>
  <si>
    <t>1034.2714002828</t>
  </si>
  <si>
    <t>0.0593238073677589</t>
  </si>
  <si>
    <t>1034.23985230511</t>
  </si>
  <si>
    <t>0.0594110559095961</t>
  </si>
  <si>
    <t>1034.05471221393</t>
  </si>
  <si>
    <t>0.0594868176275288</t>
  </si>
  <si>
    <t>1034.40533602375</t>
  </si>
  <si>
    <t>0.0595639940101217</t>
  </si>
  <si>
    <t>1034.64471079314</t>
  </si>
  <si>
    <t>0.0596506183919071</t>
  </si>
  <si>
    <t>1034.9755775585</t>
  </si>
  <si>
    <t>0.0597304141070926</t>
  </si>
  <si>
    <t>1034.71800730683</t>
  </si>
  <si>
    <t>0.0598100280048038</t>
  </si>
  <si>
    <t>1034.16458197876</t>
  </si>
  <si>
    <t>0.0598869765990077</t>
  </si>
  <si>
    <t>1034.37358265698</t>
  </si>
  <si>
    <t>0.0599649005481043</t>
  </si>
  <si>
    <t>1034.44109570971</t>
  </si>
  <si>
    <t>0.0600445231881028</t>
  </si>
  <si>
    <t>1034.97939249343</t>
  </si>
  <si>
    <t>0.0601259372915015</t>
  </si>
  <si>
    <t>1035.1940636146</t>
  </si>
  <si>
    <t>0.0602097288490755</t>
  </si>
  <si>
    <t>1035.12437193149</t>
  </si>
  <si>
    <t>0.0602868494623073</t>
  </si>
  <si>
    <t>1034.88433031576</t>
  </si>
  <si>
    <t>0.0603689781294082</t>
  </si>
  <si>
    <t>1034.73763140363</t>
  </si>
  <si>
    <t>0.0604455933214045</t>
  </si>
  <si>
    <t>1034.73253845218</t>
  </si>
  <si>
    <t>0.0605224053643229</t>
  </si>
  <si>
    <t>1035.41235260489</t>
  </si>
  <si>
    <t>0.0606073470578436</t>
  </si>
  <si>
    <t>1035.8133027928</t>
  </si>
  <si>
    <t>0.060687274634697</t>
  </si>
  <si>
    <t>1035.85324234635</t>
  </si>
  <si>
    <t>0.0607742399758037</t>
  </si>
  <si>
    <t>1036.14517402013</t>
  </si>
  <si>
    <t>0.0608521550675281</t>
  </si>
  <si>
    <t>1036.07882757406</t>
  </si>
  <si>
    <t>0.0609387774727733</t>
  </si>
  <si>
    <t>1036.05136579781</t>
  </si>
  <si>
    <t>0.0610224735707814</t>
  </si>
  <si>
    <t>1036.33217548681</t>
  </si>
  <si>
    <t>0.0611028936477898</t>
  </si>
  <si>
    <t>1035.95812834579</t>
  </si>
  <si>
    <t>0.0611796935479509</t>
  </si>
  <si>
    <t>1036.05388464083</t>
  </si>
  <si>
    <t>0.0612709193025996</t>
  </si>
  <si>
    <t>1036.13987154815</t>
  </si>
  <si>
    <t>0.0613393194714628</t>
  </si>
  <si>
    <t>1035.73720478781</t>
  </si>
  <si>
    <t>0.0614220514740101</t>
  </si>
  <si>
    <t>1036.10829631593</t>
  </si>
  <si>
    <t>0.061505521034844</t>
  </si>
  <si>
    <t>1035.91082892939</t>
  </si>
  <si>
    <t>0.0615777199515744</t>
  </si>
  <si>
    <t>1036.24132735295</t>
  </si>
  <si>
    <t>0.0616669447215357</t>
  </si>
  <si>
    <t>1036.24142645672</t>
  </si>
  <si>
    <t>0.0617461090995544</t>
  </si>
  <si>
    <t>1036.1943759362</t>
  </si>
  <si>
    <t>0.0618199595563629</t>
  </si>
  <si>
    <t>1036.48842765046</t>
  </si>
  <si>
    <t>0.061910185855332</t>
  </si>
  <si>
    <t>1036.42154359698</t>
  </si>
  <si>
    <t>0.0619834278653443</t>
  </si>
  <si>
    <t>1036.40942926856</t>
  </si>
  <si>
    <t>0.0620694271727733</t>
  </si>
  <si>
    <t>1036.93170793918</t>
  </si>
  <si>
    <t>0.0621524707569548</t>
  </si>
  <si>
    <t>1037.02865094441</t>
  </si>
  <si>
    <t>0.0622312849438293</t>
  </si>
  <si>
    <t>1037.22023326961</t>
  </si>
  <si>
    <t>0.0623123516727082</t>
  </si>
  <si>
    <t>1037.1175710098</t>
  </si>
  <si>
    <t>0.0623986453496559</t>
  </si>
  <si>
    <t>1037.02984223838</t>
  </si>
  <si>
    <t>0.0624781127293348</t>
  </si>
  <si>
    <t>1037.70857331314</t>
  </si>
  <si>
    <t>0.0625686405379306</t>
  </si>
  <si>
    <t>1037.89265589765</t>
  </si>
  <si>
    <t>0.0626506476332449</t>
  </si>
  <si>
    <t>1038.04394240828</t>
  </si>
  <si>
    <t>0.0627319701165856</t>
  </si>
  <si>
    <t>1038.64047646294</t>
  </si>
  <si>
    <t>0.0628261865864047</t>
  </si>
  <si>
    <t>1038.50961748239</t>
  </si>
  <si>
    <t>0.062908779276334</t>
  </si>
  <si>
    <t>1038.63726393274</t>
  </si>
  <si>
    <t>0.0630006016582369</t>
  </si>
  <si>
    <t>1038.28319776781</t>
  </si>
  <si>
    <t>0.0630831198305321</t>
  </si>
  <si>
    <t>1037.73718476048</t>
  </si>
  <si>
    <t>0.0631555546695944</t>
  </si>
  <si>
    <t>1037.9090127344</t>
  </si>
  <si>
    <t>0.0632356394712938</t>
  </si>
  <si>
    <t>1038.05806880891</t>
  </si>
  <si>
    <t>0.0633212689079364</t>
  </si>
  <si>
    <t>1038.08413325586</t>
  </si>
  <si>
    <t>0.0634057929196613</t>
  </si>
  <si>
    <t>1038.42061879493</t>
  </si>
  <si>
    <t>0.063491118265662</t>
  </si>
  <si>
    <t>1037.99430192572</t>
  </si>
  <si>
    <t>0.0635728312596408</t>
  </si>
  <si>
    <t>1038.07959844727</t>
  </si>
  <si>
    <t>0.0636517138255566</t>
  </si>
  <si>
    <t>1038.13686886126</t>
  </si>
  <si>
    <t>0.0637347135020315</t>
  </si>
  <si>
    <t>1038.386772588</t>
  </si>
  <si>
    <t>0.0638158878077487</t>
  </si>
  <si>
    <t>1038.65137216705</t>
  </si>
  <si>
    <t>0.0638998731231756</t>
  </si>
  <si>
    <t>1038.42518227771</t>
  </si>
  <si>
    <t>0.0639795925798179</t>
  </si>
  <si>
    <t>1038.31281216541</t>
  </si>
  <si>
    <t>0.0640596332567554</t>
  </si>
  <si>
    <t>1038.68405365315</t>
  </si>
  <si>
    <t>0.0641460055751598</t>
  </si>
  <si>
    <t>1039.07436128929</t>
  </si>
  <si>
    <t>0.0642357602431798</t>
  </si>
  <si>
    <t>1038.99277606895</t>
  </si>
  <si>
    <t>0.0643111082034528</t>
  </si>
  <si>
    <t>1038.8794808681</t>
  </si>
  <si>
    <t>0.0643974151431462</t>
  </si>
  <si>
    <t>1039.06647511978</t>
  </si>
  <si>
    <t>0.0644827596123618</t>
  </si>
  <si>
    <t>1038.98035034669</t>
  </si>
  <si>
    <t>0.0645593113009486</t>
  </si>
  <si>
    <t>1038.78687382304</t>
  </si>
  <si>
    <t>0.0646429341036702</t>
  </si>
  <si>
    <t>1038.85788326067</t>
  </si>
  <si>
    <t>0.0647216395541314</t>
  </si>
  <si>
    <t>1039.18336638041</t>
  </si>
  <si>
    <t>0.0648056252144964</t>
  </si>
  <si>
    <t>1039.07243834841</t>
  </si>
  <si>
    <t>0.0648891565074411</t>
  </si>
  <si>
    <t>1039.66155070536</t>
  </si>
  <si>
    <t>0.0649693316937725</t>
  </si>
  <si>
    <t>1039.4923243468</t>
  </si>
  <si>
    <t>0.0650577307771018</t>
  </si>
  <si>
    <t>1039.17647924995</t>
  </si>
  <si>
    <t>0.0651399593992132</t>
  </si>
  <si>
    <t>1039.69410857297</t>
  </si>
  <si>
    <t>0.0652237572450981</t>
  </si>
  <si>
    <t>1039.65135225094</t>
  </si>
  <si>
    <t>0.0653100890586072</t>
  </si>
  <si>
    <t>1039.91867116138</t>
  </si>
  <si>
    <t>0.0653980163911786</t>
  </si>
  <si>
    <t>1040.22045905591</t>
  </si>
  <si>
    <t>0.0654730151422087</t>
  </si>
  <si>
    <t>1040.2086567989</t>
  </si>
  <si>
    <t>0.0655609445050962</t>
  </si>
  <si>
    <t>1040.01911664595</t>
  </si>
  <si>
    <t>0.0656477214448196</t>
  </si>
  <si>
    <t>1039.69240844402</t>
  </si>
  <si>
    <t>0.0657214533037534</t>
  </si>
  <si>
    <t>1039.35850422246</t>
  </si>
  <si>
    <t>0.0658038072214841</t>
  </si>
  <si>
    <t>1039.94182203769</t>
  </si>
  <si>
    <t>0.0658826774945295</t>
  </si>
  <si>
    <t>1039.76005174315</t>
  </si>
  <si>
    <t>0.0659558471086003</t>
  </si>
  <si>
    <t>1040.02305100603</t>
  </si>
  <si>
    <t>0.0660490520045916</t>
  </si>
  <si>
    <t>1039.95731703016</t>
  </si>
  <si>
    <t>0.0661282952159075</t>
  </si>
  <si>
    <t>1039.94992879938</t>
  </si>
  <si>
    <t>0.0662045031290018</t>
  </si>
  <si>
    <t>1040.2263598371</t>
  </si>
  <si>
    <t>0.0662935502853439</t>
  </si>
  <si>
    <t>1040.4535464919</t>
  </si>
  <si>
    <t>0.0663740650555315</t>
  </si>
  <si>
    <t>1040.45041220481</t>
  </si>
  <si>
    <t>0.0664553086238645</t>
  </si>
  <si>
    <t>1040.69681033531</t>
  </si>
  <si>
    <t>0.0665427704376411</t>
  </si>
  <si>
    <t>1040.7865839243</t>
  </si>
  <si>
    <t>0.0666243760477667</t>
  </si>
  <si>
    <t>1040.76523920489</t>
  </si>
  <si>
    <t>0.0667105053562373</t>
  </si>
  <si>
    <t>1041.298526519</t>
  </si>
  <si>
    <t>0.0667936435691225</t>
  </si>
  <si>
    <t>1041.49596801363</t>
  </si>
  <si>
    <t>0.0668897973680573</t>
  </si>
  <si>
    <t>1041.8031775933</t>
  </si>
  <si>
    <t>0.0669745374544519</t>
  </si>
  <si>
    <t>1041.85695654251</t>
  </si>
  <si>
    <t>0.0670588730047121</t>
  </si>
  <si>
    <t>1041.68237333121</t>
  </si>
  <si>
    <t>0.0671495259253693</t>
  </si>
  <si>
    <t>1041.82433205051</t>
  </si>
  <si>
    <t>0.0672314956521959</t>
  </si>
  <si>
    <t>1041.45116960161</t>
  </si>
  <si>
    <t>0.0673107758266357</t>
  </si>
  <si>
    <t>1041.42643475453</t>
  </si>
  <si>
    <t>0.0674009706059517</t>
  </si>
  <si>
    <t>1041.90270406097</t>
  </si>
  <si>
    <t>0.0674857490020228</t>
  </si>
  <si>
    <t>1042.00975876969</t>
  </si>
  <si>
    <t>0.0675742142685231</t>
  </si>
  <si>
    <t>1042.50151469658</t>
  </si>
  <si>
    <t>0.067664755206922</t>
  </si>
  <si>
    <t>1042.26163779391</t>
  </si>
  <si>
    <t>0.067748689882737</t>
  </si>
  <si>
    <t>1041.89052182128</t>
  </si>
  <si>
    <t>0.0678321334410378</t>
  </si>
  <si>
    <t>1041.97668620524</t>
  </si>
  <si>
    <t>0.0679157930184719</t>
  </si>
  <si>
    <t>1042.06650936913</t>
  </si>
  <si>
    <t>0.0679975803224848</t>
  </si>
  <si>
    <t>1042.5808380264</t>
  </si>
  <si>
    <t>0.0680915575800307</t>
  </si>
  <si>
    <t>1042.99744420597</t>
  </si>
  <si>
    <t>0.0681743526978676</t>
  </si>
  <si>
    <t>1042.85325288656</t>
  </si>
  <si>
    <t>0.0682673075638121</t>
  </si>
  <si>
    <t>1042.92580038078</t>
  </si>
  <si>
    <t>0.0683544370893924</t>
  </si>
  <si>
    <t>1042.87701756055</t>
  </si>
  <si>
    <t>0.0684389716223119</t>
  </si>
  <si>
    <t>1042.85757798049</t>
  </si>
  <si>
    <t>0.0685315214295705</t>
  </si>
  <si>
    <t>1042.98514652812</t>
  </si>
  <si>
    <t>0.0686127638274779</t>
  </si>
  <si>
    <t>1042.75232390659</t>
  </si>
  <si>
    <t>0.0686972221833973</t>
  </si>
  <si>
    <t>1042.79768597259</t>
  </si>
  <si>
    <t>0.0687837382723306</t>
  </si>
  <si>
    <t>1042.4986674712</t>
  </si>
  <si>
    <t>0.0688640962703946</t>
  </si>
  <si>
    <t>1042.30850044758</t>
  </si>
  <si>
    <t>0.0689474359450584</t>
  </si>
  <si>
    <t>1042.76153395008</t>
  </si>
  <si>
    <t>0.0690334468982182</t>
  </si>
  <si>
    <t>1042.77743429283</t>
  </si>
  <si>
    <t>0.0691145235931463</t>
  </si>
  <si>
    <t>1042.7481243561</t>
  </si>
  <si>
    <t>0.0692051587413302</t>
  </si>
  <si>
    <t>1042.81909354494</t>
  </si>
  <si>
    <t>0.0692830117181925</t>
  </si>
  <si>
    <t>1042.88528914899</t>
  </si>
  <si>
    <t>0.0693639106922971</t>
  </si>
  <si>
    <t>1042.62955138655</t>
  </si>
  <si>
    <t>0.0694556255726167</t>
  </si>
  <si>
    <t>1042.88768047473</t>
  </si>
  <si>
    <t>0.0695371621554814</t>
  </si>
  <si>
    <t>1043.01116716423</t>
  </si>
  <si>
    <t>0.0696195064877686</t>
  </si>
  <si>
    <t>1043.43784548144</t>
  </si>
  <si>
    <t>0.0697121588298293</t>
  </si>
  <si>
    <t>1043.9923648641</t>
  </si>
  <si>
    <t>0.0697935930738871</t>
  </si>
  <si>
    <t>1043.88261848778</t>
  </si>
  <si>
    <t>0.0698772135661098</t>
  </si>
  <si>
    <t>1043.52364431061</t>
  </si>
  <si>
    <t>0.0699649085073211</t>
  </si>
  <si>
    <t>1043.89186649458</t>
  </si>
  <si>
    <t>0.0700494101276887</t>
  </si>
  <si>
    <t>1044.02591572559</t>
  </si>
  <si>
    <t>0.0701376000611866</t>
  </si>
  <si>
    <t>1044.70425320723</t>
  </si>
  <si>
    <t>0.0702347134087423</t>
  </si>
  <si>
    <t>1044.41586953162</t>
  </si>
  <si>
    <t>0.0703211454174273</t>
  </si>
  <si>
    <t>1044.52413584761</t>
  </si>
  <si>
    <t>0.070407146803462</t>
  </si>
  <si>
    <t>1044.47877437767</t>
  </si>
  <si>
    <t>0.0704996719555613</t>
  </si>
  <si>
    <t>1044.29924694694</t>
  </si>
  <si>
    <t>0.070579908460692</t>
  </si>
  <si>
    <t>1044.35188848728</t>
  </si>
  <si>
    <t>0.0706653994694389</t>
  </si>
  <si>
    <t>1044.51384542433</t>
  </si>
  <si>
    <t>0.0707590504347302</t>
  </si>
  <si>
    <t>1044.46706539784</t>
  </si>
  <si>
    <t>0.0708359745514986</t>
  </si>
  <si>
    <t>1044.60793556468</t>
  </si>
  <si>
    <t>0.0709182499636209</t>
  </si>
  <si>
    <t>1044.7905006789</t>
  </si>
  <si>
    <t>0.0710134441399825</t>
  </si>
  <si>
    <t>1044.35804449869</t>
  </si>
  <si>
    <t>0.0710956886887084</t>
  </si>
  <si>
    <t>1044.93315189469</t>
  </si>
  <si>
    <t>0.0711861769844435</t>
  </si>
  <si>
    <t>1045.12107019239</t>
  </si>
  <si>
    <t>0.0712857198301369</t>
  </si>
  <si>
    <t>1045.19579950896</t>
  </si>
  <si>
    <t>0.0713686194678169</t>
  </si>
  <si>
    <t>1045.34179570661</t>
  </si>
  <si>
    <t>0.0714545091432307</t>
  </si>
  <si>
    <t>1045.76091167065</t>
  </si>
  <si>
    <t>0.0715537489234925</t>
  </si>
  <si>
    <t>1045.96093152828</t>
  </si>
  <si>
    <t>0.0716446129928422</t>
  </si>
  <si>
    <t>1045.74691709708</t>
  </si>
  <si>
    <t>0.0717384377762093</t>
  </si>
  <si>
    <t>1046.07730405282</t>
  </si>
  <si>
    <t>0.0718273619132048</t>
  </si>
  <si>
    <t>1045.5594648025</t>
  </si>
  <si>
    <t>0.071905888559285</t>
  </si>
  <si>
    <t>1045.41949680049</t>
  </si>
  <si>
    <t>0.0719960490025192</t>
  </si>
  <si>
    <t>1045.82231997725</t>
  </si>
  <si>
    <t>0.072084516960127</t>
  </si>
  <si>
    <t>1045.86625187514</t>
  </si>
  <si>
    <t>0.0721748562567329</t>
  </si>
  <si>
    <t>1045.70524528296</t>
  </si>
  <si>
    <t>0.0722711925727203</t>
  </si>
  <si>
    <t>1045.71473582142</t>
  </si>
  <si>
    <t>0.0723492566290668</t>
  </si>
  <si>
    <t>1045.7794758405</t>
  </si>
  <si>
    <t>0.0724457006679966</t>
  </si>
  <si>
    <t>1045.90672463452</t>
  </si>
  <si>
    <t>0.0725348434396581</t>
  </si>
  <si>
    <t>1045.81104814031</t>
  </si>
  <si>
    <t>0.0726166977217814</t>
  </si>
  <si>
    <t>1046.09599254907</t>
  </si>
  <si>
    <t>0.0727116112846243</t>
  </si>
  <si>
    <t>1045.63853477072</t>
  </si>
  <si>
    <t>0.0727910156484151</t>
  </si>
  <si>
    <t>1045.81672305646</t>
  </si>
  <si>
    <t>0.0728816212553054</t>
  </si>
  <si>
    <t>1045.80113212521</t>
  </si>
  <si>
    <t>0.0729684416711876</t>
  </si>
  <si>
    <t>1045.88484192461</t>
  </si>
  <si>
    <t>0.0730513750776728</t>
  </si>
  <si>
    <t>1045.99479706805</t>
  </si>
  <si>
    <t>0.0731407506186858</t>
  </si>
  <si>
    <t>1046.08977922142</t>
  </si>
  <si>
    <t>0.0732255252892507</t>
  </si>
  <si>
    <t>1045.79137200096</t>
  </si>
  <si>
    <t>0.0733057543520737</t>
  </si>
  <si>
    <t>1045.89968101677</t>
  </si>
  <si>
    <t>0.073401678894677</t>
  </si>
  <si>
    <t>1045.86454051883</t>
  </si>
  <si>
    <t>0.0734833594971466</t>
  </si>
  <si>
    <t>1046.53414236687</t>
  </si>
  <si>
    <t>0.073571955558036</t>
  </si>
  <si>
    <t>1046.22040324355</t>
  </si>
  <si>
    <t>0.0736579590221822</t>
  </si>
  <si>
    <t>1046.48149517301</t>
  </si>
  <si>
    <t>0.0737379749692485</t>
  </si>
  <si>
    <t>1046.5633558826</t>
  </si>
  <si>
    <t>0.0738318684760279</t>
  </si>
  <si>
    <t>1046.8904450741</t>
  </si>
  <si>
    <t>0.0739211959143772</t>
  </si>
  <si>
    <t>1047.32996205793</t>
  </si>
  <si>
    <t>0.0740166938687376</t>
  </si>
  <si>
    <t>1047.09428159303</t>
  </si>
  <si>
    <t>0.0741055183485578</t>
  </si>
  <si>
    <t>1047.23529712494</t>
  </si>
  <si>
    <t>0.0741865902173598</t>
  </si>
  <si>
    <t>1047.58255035476</t>
  </si>
  <si>
    <t>0.0742852296036029</t>
  </si>
  <si>
    <t>1047.48149625706</t>
  </si>
  <si>
    <t>0.0743744949411234</t>
  </si>
  <si>
    <t>1048.1802198253</t>
  </si>
  <si>
    <t>0.0744697713178623</t>
  </si>
  <si>
    <t>1047.80006471356</t>
  </si>
  <si>
    <t>0.0745668268527844</t>
  </si>
  <si>
    <t>1047.7522169381</t>
  </si>
  <si>
    <t>0.0746514699153611</t>
  </si>
  <si>
    <t>1047.81654816351</t>
  </si>
  <si>
    <t>0.0747364083038234</t>
  </si>
  <si>
    <t>1047.83470507737</t>
  </si>
  <si>
    <t>0.0748294249563201</t>
  </si>
  <si>
    <t>1047.74817349883</t>
  </si>
  <si>
    <t>0.0749172807749817</t>
  </si>
  <si>
    <t>1047.27573655634</t>
  </si>
  <si>
    <t>0.0749955381630551</t>
  </si>
  <si>
    <t>1046.97772046937</t>
  </si>
  <si>
    <t>0.0750871537920146</t>
  </si>
  <si>
    <t>1047.0444599525</t>
  </si>
  <si>
    <t>0.0751644908076736</t>
  </si>
  <si>
    <t>1047.86148884381</t>
  </si>
  <si>
    <t>0.0752604423793033</t>
  </si>
  <si>
    <t>1048.35359532703</t>
  </si>
  <si>
    <t>0.0753555210241586</t>
  </si>
  <si>
    <t>1048.97112424212</t>
  </si>
  <si>
    <t>0.0754550761460471</t>
  </si>
  <si>
    <t>1048.7590124451</t>
  </si>
  <si>
    <t>0.0755515017807115</t>
  </si>
  <si>
    <t>1048.65913913549</t>
  </si>
  <si>
    <t>0.0756373675531424</t>
  </si>
  <si>
    <t>1048.31016606157</t>
  </si>
  <si>
    <t>0.0757259942378467</t>
  </si>
  <si>
    <t>1048.31310978442</t>
  </si>
  <si>
    <t>0.075820769635228</t>
  </si>
  <si>
    <t>1048.67632007507</t>
  </si>
  <si>
    <t>0.0759066554531439</t>
  </si>
  <si>
    <t>1048.61879504652</t>
  </si>
  <si>
    <t>0.0759972057990685</t>
  </si>
  <si>
    <t>1048.42005001893</t>
  </si>
  <si>
    <t>0.076087920564179</t>
  </si>
  <si>
    <t>1048.73501626248</t>
  </si>
  <si>
    <t>0.076172262376812</t>
  </si>
  <si>
    <t>1048.66284346332</t>
  </si>
  <si>
    <t>0.0762670494237922</t>
  </si>
  <si>
    <t>1049.40535655143</t>
  </si>
  <si>
    <t>0.0763679914712707</t>
  </si>
  <si>
    <t>1049.27009504755</t>
  </si>
  <si>
    <t>0.0764532587180474</t>
  </si>
  <si>
    <t>1048.93587400766</t>
  </si>
  <si>
    <t>0.0765415273571892</t>
  </si>
  <si>
    <t>1049.27980821584</t>
  </si>
  <si>
    <t>0.0766362955847982</t>
  </si>
  <si>
    <t>1048.81884340373</t>
  </si>
  <si>
    <t>0.0767147851510813</t>
  </si>
  <si>
    <t>1048.86096465501</t>
  </si>
  <si>
    <t>0.0768143829327569</t>
  </si>
  <si>
    <t>1049.31320816133</t>
  </si>
  <si>
    <t>0.0769083491643391</t>
  </si>
  <si>
    <t>1048.98950655376</t>
  </si>
  <si>
    <t>0.07699057921652</t>
  </si>
  <si>
    <t>1049.14965556548</t>
  </si>
  <si>
    <t>0.0770849222858491</t>
  </si>
  <si>
    <t>1049.32415116371</t>
  </si>
  <si>
    <t>0.0771726502278812</t>
  </si>
  <si>
    <t>1049.30293257227</t>
  </si>
  <si>
    <t>0.0772662379730757</t>
  </si>
  <si>
    <t>1049.72852030533</t>
  </si>
  <si>
    <t>0.0773614762934684</t>
  </si>
  <si>
    <t>1049.52480908518</t>
  </si>
  <si>
    <t>0.0774520889368951</t>
  </si>
  <si>
    <t>1049.56607974284</t>
  </si>
  <si>
    <t>0.0775434528615886</t>
  </si>
  <si>
    <t>1049.58927019531</t>
  </si>
  <si>
    <t>0.0776319107846308</t>
  </si>
  <si>
    <t>1049.60541442292</t>
  </si>
  <si>
    <t>0.0777209802167153</t>
  </si>
  <si>
    <t>1050.20031304877</t>
  </si>
  <si>
    <t>0.0778169291386351</t>
  </si>
  <si>
    <t>1050.32874084009</t>
  </si>
  <si>
    <t>0.0779139619021982</t>
  </si>
  <si>
    <t>1049.86634931022</t>
  </si>
  <si>
    <t>0.0780022147706459</t>
  </si>
  <si>
    <t>1049.90416072595</t>
  </si>
  <si>
    <t>0.0780904437006684</t>
  </si>
  <si>
    <t>1050.13201876842</t>
  </si>
  <si>
    <t>0.078185404390057</t>
  </si>
  <si>
    <t>1049.88576225501</t>
  </si>
  <si>
    <t>0.0782686060129512</t>
  </si>
  <si>
    <t>1050.49462329909</t>
  </si>
  <si>
    <t>0.0783597069990254</t>
  </si>
  <si>
    <t>1050.39799599978</t>
  </si>
  <si>
    <t>0.078456993860119</t>
  </si>
  <si>
    <t>1050.31573312761</t>
  </si>
  <si>
    <t>0.0785448920986945</t>
  </si>
  <si>
    <t>1049.97689005266</t>
  </si>
  <si>
    <t>0.0786355589953989</t>
  </si>
  <si>
    <t>1050.0259250165</t>
  </si>
  <si>
    <t>0.0787271753284635</t>
  </si>
  <si>
    <t>1050.91872775632</t>
  </si>
  <si>
    <t>0.0788226242922289</t>
  </si>
  <si>
    <t>1051.14499824756</t>
  </si>
  <si>
    <t>0.0789200759131417</t>
  </si>
  <si>
    <t>1051.16336656462</t>
  </si>
  <si>
    <t>0.0790162110554803</t>
  </si>
  <si>
    <t>1051.05687693834</t>
  </si>
  <si>
    <t>0.0791075558890215</t>
  </si>
  <si>
    <t>1051.36398867354</t>
  </si>
  <si>
    <t>0.0792032696960532</t>
  </si>
  <si>
    <t>1051.25967844829</t>
  </si>
  <si>
    <t>0.0792992001773255</t>
  </si>
  <si>
    <t>1051.26985324647</t>
  </si>
  <si>
    <t>0.079391503068825</t>
  </si>
  <si>
    <t>1051.31258491962</t>
  </si>
  <si>
    <t>0.0794889530299552</t>
  </si>
  <si>
    <t>1051.58212533132</t>
  </si>
  <si>
    <t>0.0795768358691675</t>
  </si>
  <si>
    <t>1051.58421260462</t>
  </si>
  <si>
    <t>0.0796713383956921</t>
  </si>
  <si>
    <t>1051.73234759045</t>
  </si>
  <si>
    <t>0.0797751083409966</t>
  </si>
  <si>
    <t>1051.97642700711</t>
  </si>
  <si>
    <t>0.0798677434941957</t>
  </si>
  <si>
    <t>1051.51928330209</t>
  </si>
  <si>
    <t>0.0799663077195768</t>
  </si>
  <si>
    <t>1051.86224622038</t>
  </si>
  <si>
    <t>0.0800580762405657</t>
  </si>
  <si>
    <t>1052.10032445754</t>
  </si>
  <si>
    <t>0.0801504273090122</t>
  </si>
  <si>
    <t>1051.95427731008</t>
  </si>
  <si>
    <t>0.0802515421891085</t>
  </si>
  <si>
    <t>1052.11790482588</t>
  </si>
  <si>
    <t>0.0803439076217018</t>
  </si>
  <si>
    <t>1051.83629286277</t>
  </si>
  <si>
    <t>0.0804410338721429</t>
  </si>
  <si>
    <t>1051.63498928021</t>
  </si>
  <si>
    <t>0.0805294775314932</t>
  </si>
  <si>
    <t>1051.94610670021</t>
  </si>
  <si>
    <t>0.0806251251527306</t>
  </si>
  <si>
    <t>1052.11975618171</t>
  </si>
  <si>
    <t>0.080719104488778</t>
  </si>
  <si>
    <t>1052.14070533966</t>
  </si>
  <si>
    <t>0.0808153299194434</t>
  </si>
  <si>
    <t>1052.5983050706</t>
  </si>
  <si>
    <t>0.0809154810834474</t>
  </si>
  <si>
    <t>1052.26228179415</t>
  </si>
  <si>
    <t>0.0810079999274764</t>
  </si>
  <si>
    <t>1052.76488600381</t>
  </si>
  <si>
    <t>0.0811096990466132</t>
  </si>
  <si>
    <t>1052.8143824972</t>
  </si>
  <si>
    <t>0.0812095094636119</t>
  </si>
  <si>
    <t>1052.65102363196</t>
  </si>
  <si>
    <t>0.0813009654223838</t>
  </si>
  <si>
    <t>1053.08102973275</t>
  </si>
  <si>
    <t>0.0813972368313085</t>
  </si>
  <si>
    <t>1052.53674323311</t>
  </si>
  <si>
    <t>0.0814890136344626</t>
  </si>
  <si>
    <t>1052.36960926071</t>
  </si>
  <si>
    <t>0.0815857551328825</t>
  </si>
  <si>
    <t>1052.1638119105</t>
  </si>
  <si>
    <t>0.0816740707900076</t>
  </si>
  <si>
    <t>1051.92779914227</t>
  </si>
  <si>
    <t>0.0817610269739427</t>
  </si>
  <si>
    <t>1052.46375460139</t>
  </si>
  <si>
    <t>0.0818562994411637</t>
  </si>
  <si>
    <t>1052.49138741656</t>
  </si>
  <si>
    <t>0.0819525656695811</t>
  </si>
  <si>
    <t>1052.57156365975</t>
  </si>
  <si>
    <t>0.0820483185803801</t>
  </si>
  <si>
    <t>1052.84486712943</t>
  </si>
  <si>
    <t>0.0821376282194202</t>
  </si>
  <si>
    <t>1052.4371362703</t>
  </si>
  <si>
    <t>0.0822307578379815</t>
  </si>
  <si>
    <t>1052.43020482133</t>
  </si>
  <si>
    <t>0.0823266127742361</t>
  </si>
  <si>
    <t>1053.1014996192</t>
  </si>
  <si>
    <t>0.0824210648588905</t>
  </si>
  <si>
    <t>1053.29043953262</t>
  </si>
  <si>
    <t>0.0825212750920462</t>
  </si>
  <si>
    <t>1053.16818115809</t>
  </si>
  <si>
    <t>0.082613929534507</t>
  </si>
  <si>
    <t>1053.29431605395</t>
  </si>
  <si>
    <t>0.0827065378818704</t>
  </si>
  <si>
    <t>1053.25466499966</t>
  </si>
  <si>
    <t>0.0828042547454162</t>
  </si>
  <si>
    <t>1053.61278575378</t>
  </si>
  <si>
    <t>0.0829018602654988</t>
  </si>
  <si>
    <t>1053.4150433608</t>
  </si>
  <si>
    <t>0.0829994616168252</t>
  </si>
  <si>
    <t>1053.54997890623</t>
  </si>
  <si>
    <t>0.0830908022376562</t>
  </si>
  <si>
    <t>1053.57019853087</t>
  </si>
  <si>
    <t>0.0831834039283633</t>
  </si>
  <si>
    <t>1053.75470421677</t>
  </si>
  <si>
    <t>0.0832846999713151</t>
  </si>
  <si>
    <t>1054.08736721247</t>
  </si>
  <si>
    <t>0.0833811929451101</t>
  </si>
  <si>
    <t>1053.95414938058</t>
  </si>
  <si>
    <t>0.0834795935504268</t>
  </si>
  <si>
    <t>1054.18481467829</t>
  </si>
  <si>
    <t>0.0835814324783952</t>
  </si>
  <si>
    <t>1054.30414780744</t>
  </si>
  <si>
    <t>0.0836787533877916</t>
  </si>
  <si>
    <t>1054.43810079418</t>
  </si>
  <si>
    <t>0.0837746998126372</t>
  </si>
  <si>
    <t>1054.37030402456</t>
  </si>
  <si>
    <t>0.0838776701753719</t>
  </si>
  <si>
    <t>1054.38164002076</t>
  </si>
  <si>
    <t>0.083972147142082</t>
  </si>
  <si>
    <t>1053.96485158895</t>
  </si>
  <si>
    <t>0.0840619433676433</t>
  </si>
  <si>
    <t>1053.70192220796</t>
  </si>
  <si>
    <t>0.0841573393442977</t>
  </si>
  <si>
    <t>1053.65381256459</t>
  </si>
  <si>
    <t>0.0842506555982645</t>
  </si>
  <si>
    <t>1053.95162450651</t>
  </si>
  <si>
    <t>0.0843475904072017</t>
  </si>
  <si>
    <t>1054.60334517399</t>
  </si>
  <si>
    <t>0.0844453021845133</t>
  </si>
  <si>
    <t>1054.49164293534</t>
  </si>
  <si>
    <t>0.0845489791063529</t>
  </si>
  <si>
    <t>1054.88989887289</t>
  </si>
  <si>
    <t>0.0846392797828996</t>
  </si>
  <si>
    <t>1055.20331883821</t>
  </si>
  <si>
    <t>0.0847423590320358</t>
  </si>
  <si>
    <t>1055.41544620531</t>
  </si>
  <si>
    <t>0.0848554537409916</t>
  </si>
  <si>
    <t>1055.43022023409</t>
  </si>
  <si>
    <t>0.0849460849793641</t>
  </si>
  <si>
    <t>1055.2694704079</t>
  </si>
  <si>
    <t>0.0850510251565385</t>
  </si>
  <si>
    <t>1055.02312182903</t>
  </si>
  <si>
    <t>0.0851427666120889</t>
  </si>
  <si>
    <t>1054.98065529143</t>
  </si>
  <si>
    <t>0.0852380648883364</t>
  </si>
  <si>
    <t>1054.58040078246</t>
  </si>
  <si>
    <t>0.0853313551776542</t>
  </si>
  <si>
    <t>1055.00594709647</t>
  </si>
  <si>
    <t>0.085436725216269</t>
  </si>
  <si>
    <t>1055.43905748962</t>
  </si>
  <si>
    <t>0.0855379803001375</t>
  </si>
  <si>
    <t>1055.39806591393</t>
  </si>
  <si>
    <t>0.0856359017630971</t>
  </si>
  <si>
    <t>1055.75623625446</t>
  </si>
  <si>
    <t>0.0857388783376495</t>
  </si>
  <si>
    <t>1055.08988395004</t>
  </si>
  <si>
    <t>0.0858231473227045</t>
  </si>
  <si>
    <t>1054.91532183741</t>
  </si>
  <si>
    <t>0.0859244540944961</t>
  </si>
  <si>
    <t>1055.3268377543</t>
  </si>
  <si>
    <t>0.0860284210826256</t>
  </si>
  <si>
    <t>1055.22681998216</t>
  </si>
  <si>
    <t>0.0861178512844932</t>
  </si>
  <si>
    <t>1055.33703995748</t>
  </si>
  <si>
    <t>0.0862176170050369</t>
  </si>
  <si>
    <t>1055.31653317238</t>
  </si>
  <si>
    <t>0.0863160058843671</t>
  </si>
  <si>
    <t>1055.34660996335</t>
  </si>
  <si>
    <t>0.0864051968148329</t>
  </si>
  <si>
    <t>1055.43676862493</t>
  </si>
  <si>
    <t>0.0865046669533965</t>
  </si>
  <si>
    <t>1055.72976024437</t>
  </si>
  <si>
    <t>0.0866084775578329</t>
  </si>
  <si>
    <t>1056.40261886252</t>
  </si>
  <si>
    <t>0.0867145350614191</t>
  </si>
  <si>
    <t>1056.43672461111</t>
  </si>
  <si>
    <t>0.0868091660079645</t>
  </si>
  <si>
    <t>1056.50429706638</t>
  </si>
  <si>
    <t>0.0869219258391432</t>
  </si>
  <si>
    <t>1056.80907637855</t>
  </si>
  <si>
    <t>0.0870238096612613</t>
  </si>
  <si>
    <t>1056.72931725134</t>
  </si>
  <si>
    <t>0.0871196437613105</t>
  </si>
  <si>
    <t>1056.20353582005</t>
  </si>
  <si>
    <t>0.0872296853216899</t>
  </si>
  <si>
    <t>1056.12710268712</t>
  </si>
  <si>
    <t>0.0873227046610414</t>
  </si>
  <si>
    <t>1056.09945775725</t>
  </si>
  <si>
    <t>0.087414552635058</t>
  </si>
  <si>
    <t>1056.19115561312</t>
  </si>
  <si>
    <t>0.0875209939899908</t>
  </si>
  <si>
    <t>1056.64345548318</t>
  </si>
  <si>
    <t>0.0876228647901068</t>
  </si>
  <si>
    <t>1056.30254508231</t>
  </si>
  <si>
    <t>0.0877172818571562</t>
  </si>
  <si>
    <t>1055.98162570402</t>
  </si>
  <si>
    <t>0.0878131721479424</t>
  </si>
  <si>
    <t>1055.74148519943</t>
  </si>
  <si>
    <t>0.087906702308531</t>
  </si>
  <si>
    <t>1056.11695987295</t>
  </si>
  <si>
    <t>0.0880010979119659</t>
  </si>
  <si>
    <t>1056.63059872303</t>
  </si>
  <si>
    <t>0.0881092730160438</t>
  </si>
  <si>
    <t>1056.82617754895</t>
  </si>
  <si>
    <t>0.088216514455234</t>
  </si>
  <si>
    <t>1056.72184407247</t>
  </si>
  <si>
    <t>0.0883083549780874</t>
  </si>
  <si>
    <t>1056.6698730068</t>
  </si>
  <si>
    <t>0.0884050304773836</t>
  </si>
  <si>
    <t>1056.75446665854</t>
  </si>
  <si>
    <t>0.088508830471632</t>
  </si>
  <si>
    <t>1057.20447320474</t>
  </si>
  <si>
    <t>0.0886138076497235</t>
  </si>
  <si>
    <t>1057.56337869477</t>
  </si>
  <si>
    <t>0.0887145817658856</t>
  </si>
  <si>
    <t>1057.605723064</t>
  </si>
  <si>
    <t>0.0888170234431696</t>
  </si>
  <si>
    <t>1057.95178902424</t>
  </si>
  <si>
    <t>0.088921797858136</t>
  </si>
  <si>
    <t>1057.68530206483</t>
  </si>
  <si>
    <t>0.0890230574663259</t>
  </si>
  <si>
    <t>1057.40261561689</t>
  </si>
  <si>
    <t>0.0891308665108427</t>
  </si>
  <si>
    <t>1057.16872588703</t>
  </si>
  <si>
    <t>0.0892276169227835</t>
  </si>
  <si>
    <t>1057.74257519399</t>
  </si>
  <si>
    <t>0.0893370647907011</t>
  </si>
  <si>
    <t>1057.80779572266</t>
  </si>
  <si>
    <t>0.0894346628707106</t>
  </si>
  <si>
    <t>1057.83804982211</t>
  </si>
  <si>
    <t>0.089539266151616</t>
  </si>
  <si>
    <t>1057.76165113929</t>
  </si>
  <si>
    <t>0.0896423311700472</t>
  </si>
  <si>
    <t>1057.78604919664</t>
  </si>
  <si>
    <t>0.0897438424370322</t>
  </si>
  <si>
    <t>1057.61035192413</t>
  </si>
  <si>
    <t>0.0898428427142449</t>
  </si>
  <si>
    <t>1057.33395909025</t>
  </si>
  <si>
    <t>0.0899438229027155</t>
  </si>
  <si>
    <t>1057.95235414427</t>
  </si>
  <si>
    <t>0.0900468089993643</t>
  </si>
  <si>
    <t>1058.35578209293</t>
  </si>
  <si>
    <t>0.0901536939357529</t>
  </si>
  <si>
    <t>1058.69442869229</t>
  </si>
  <si>
    <t>0.0902611843824486</t>
  </si>
  <si>
    <t>1058.8263115143</t>
  </si>
  <si>
    <t>0.0903634571180257</t>
  </si>
  <si>
    <t>1058.82570850784</t>
  </si>
  <si>
    <t>0.0904758807088036</t>
  </si>
  <si>
    <t>1058.96639142095</t>
  </si>
  <si>
    <t>0.0905911307495377</t>
  </si>
  <si>
    <t>1058.57956221585</t>
  </si>
  <si>
    <t>0.0906836040385436</t>
  </si>
  <si>
    <t>1058.70208571825</t>
  </si>
  <si>
    <t>0.0907893206115053</t>
  </si>
  <si>
    <t>1058.88513296749</t>
  </si>
  <si>
    <t>0.0908960252329984</t>
  </si>
  <si>
    <t>1058.27888465202</t>
  </si>
  <si>
    <t>0.0909956555433824</t>
  </si>
  <si>
    <t>1058.5963768684</t>
  </si>
  <si>
    <t>0.0911003719995829</t>
  </si>
  <si>
    <t>1058.64924863557</t>
  </si>
  <si>
    <t>0.0912080370356473</t>
  </si>
  <si>
    <t>1058.4937654409</t>
  </si>
  <si>
    <t>0.0913152017048535</t>
  </si>
  <si>
    <t>1058.62161385222</t>
  </si>
  <si>
    <t>0.0914125272386611</t>
  </si>
  <si>
    <t>1058.79035974019</t>
  </si>
  <si>
    <t>0.0915208120123234</t>
  </si>
  <si>
    <t>1058.83805467056</t>
  </si>
  <si>
    <t>0.0916222177594903</t>
  </si>
  <si>
    <t>1059.41737880066</t>
  </si>
  <si>
    <t>0.0917280263386505</t>
  </si>
  <si>
    <t>1058.81021251713</t>
  </si>
  <si>
    <t>0.0918352255712836</t>
  </si>
  <si>
    <t>1058.71599792265</t>
  </si>
  <si>
    <t>0.091940539073582</t>
  </si>
  <si>
    <t>1059.2368715391</t>
  </si>
  <si>
    <t>0.0920414987904709</t>
  </si>
  <si>
    <t>1059.15534390032</t>
  </si>
  <si>
    <t>0.092149163412021</t>
  </si>
  <si>
    <t>1059.22763636751</t>
  </si>
  <si>
    <t>0.0922517103386103</t>
  </si>
  <si>
    <t>1059.19295387384</t>
  </si>
  <si>
    <t>0.0923562369747913</t>
  </si>
  <si>
    <t>1058.99394207012</t>
  </si>
  <si>
    <t>0.0924589484049402</t>
  </si>
  <si>
    <t>1059.44048885329</t>
  </si>
  <si>
    <t>0.0925720334066886</t>
  </si>
  <si>
    <t>1059.86065522608</t>
  </si>
  <si>
    <t>0.0926819806686581</t>
  </si>
  <si>
    <t>1060.19941499858</t>
  </si>
  <si>
    <t>0.0927871095491269</t>
  </si>
  <si>
    <t>1060.18090077055</t>
  </si>
  <si>
    <t>0.0928978076086009</t>
  </si>
  <si>
    <t>1059.90234561762</t>
  </si>
  <si>
    <t>0.0930056983092958</t>
  </si>
  <si>
    <t>1059.72392274682</t>
  </si>
  <si>
    <t>0.0931101567739889</t>
  </si>
  <si>
    <t>1059.79368398062</t>
  </si>
  <si>
    <t>0.0932102932188797</t>
  </si>
  <si>
    <t>1059.87698102178</t>
  </si>
  <si>
    <t>0.0933250588991762</t>
  </si>
  <si>
    <t>1059.94848831273</t>
  </si>
  <si>
    <t>0.0934328239925277</t>
  </si>
  <si>
    <t>1059.88445766517</t>
  </si>
  <si>
    <t>0.0935308766372688</t>
  </si>
  <si>
    <t>1059.81674295269</t>
  </si>
  <si>
    <t>0.0936379410952534</t>
  </si>
  <si>
    <t>1059.58489788561</t>
  </si>
  <si>
    <t>0.0937433405232571</t>
  </si>
  <si>
    <t>1059.16925829355</t>
  </si>
  <si>
    <t>0.0938407903936519</t>
  </si>
  <si>
    <t>1059.575576414</t>
  </si>
  <si>
    <t>0.0939437309807742</t>
  </si>
  <si>
    <t>1059.89147443242</t>
  </si>
  <si>
    <t>0.0940546613668875</t>
  </si>
  <si>
    <t>1060.29617979665</t>
  </si>
  <si>
    <t>0.0941598367626217</t>
  </si>
  <si>
    <t>1060.42347384174</t>
  </si>
  <si>
    <t>0.0942676602579492</t>
  </si>
  <si>
    <t>1060.71253963374</t>
  </si>
  <si>
    <t>0.0943836605675117</t>
  </si>
  <si>
    <t>1060.68005075063</t>
  </si>
  <si>
    <t>0.0944883776917466</t>
  </si>
  <si>
    <t>1060.52438062244</t>
  </si>
  <si>
    <t>0.0945938887521556</t>
  </si>
  <si>
    <t>1060.41653321017</t>
  </si>
  <si>
    <t>0.0947097135631051</t>
  </si>
  <si>
    <t>1060.83788496754</t>
  </si>
  <si>
    <t>0.0948199025350669</t>
  </si>
  <si>
    <t>1061.14328879242</t>
  </si>
  <si>
    <t>0.094923885815381</t>
  </si>
  <si>
    <t>1060.72016312043</t>
  </si>
  <si>
    <t>0.0950419272442847</t>
  </si>
  <si>
    <t>1060.52179845715</t>
  </si>
  <si>
    <t>0.0951422356271002</t>
  </si>
  <si>
    <t>1060.25684362621</t>
  </si>
  <si>
    <t>0.0952461642295281</t>
  </si>
  <si>
    <t>1060.25007252109</t>
  </si>
  <si>
    <t>0.0953555215705678</t>
  </si>
  <si>
    <t>1060.47439692912</t>
  </si>
  <si>
    <t>0.095461787711078</t>
  </si>
  <si>
    <t>1060.39448708588</t>
  </si>
  <si>
    <t>0.0955600542641699</t>
  </si>
  <si>
    <t>1060.68388199697</t>
  </si>
  <si>
    <t>0.0956710594111147</t>
  </si>
  <si>
    <t>1060.47251940893</t>
  </si>
  <si>
    <t>0.0957720240360281</t>
  </si>
  <si>
    <t>1060.98054860894</t>
  </si>
  <si>
    <t>0.0958866864986267</t>
  </si>
  <si>
    <t>1060.92936438186</t>
  </si>
  <si>
    <t>0.0959996542459053</t>
  </si>
  <si>
    <t>1060.84744830232</t>
  </si>
  <si>
    <t>0.0960987562508776</t>
  </si>
  <si>
    <t>1060.90467177405</t>
  </si>
  <si>
    <t>0.0962065295048603</t>
  </si>
  <si>
    <t>1061.54026042956</t>
  </si>
  <si>
    <t>0.0963217025029262</t>
  </si>
  <si>
    <t>1061.29820646935</t>
  </si>
  <si>
    <t>0.0964237748902481</t>
  </si>
  <si>
    <t>1061.21248780619</t>
  </si>
  <si>
    <t>0.0965308471947914</t>
  </si>
  <si>
    <t>1061.21889883505</t>
  </si>
  <si>
    <t>0.0966431080535981</t>
  </si>
  <si>
    <t>1060.88323866199</t>
  </si>
  <si>
    <t>0.0967517526415441</t>
  </si>
  <si>
    <t>1061.87319833124</t>
  </si>
  <si>
    <t>0.0968623825536642</t>
  </si>
  <si>
    <t>1061.83601147195</t>
  </si>
  <si>
    <t>0.0969757050251983</t>
  </si>
  <si>
    <t>1061.34333450786</t>
  </si>
  <si>
    <t>0.0970783551177497</t>
  </si>
  <si>
    <t>1061.64042157423</t>
  </si>
  <si>
    <t>0.0971797164984512</t>
  </si>
  <si>
    <t>1061.61459766877</t>
  </si>
  <si>
    <t>0.09729789332517</t>
  </si>
  <si>
    <t>1061.73200553186</t>
  </si>
  <si>
    <t>0.0974122119954648</t>
  </si>
  <si>
    <t>1061.46776897743</t>
  </si>
  <si>
    <t>0.0975052499732479</t>
  </si>
  <si>
    <t>1061.39258742275</t>
  </si>
  <si>
    <t>0.0976161872389709</t>
  </si>
  <si>
    <t>1061.44800846301</t>
  </si>
  <si>
    <t>0.0977243988758947</t>
  </si>
  <si>
    <t>1061.61424572644</t>
  </si>
  <si>
    <t>0.0978297907582387</t>
  </si>
  <si>
    <t>1061.27020183408</t>
  </si>
  <si>
    <t>0.0979317304462508</t>
  </si>
  <si>
    <t>1061.07547691216</t>
  </si>
  <si>
    <t>0.0980432325632066</t>
  </si>
  <si>
    <t>1061.34817785976</t>
  </si>
  <si>
    <t>0.0981464802051334</t>
  </si>
  <si>
    <t>1061.85734940403</t>
  </si>
  <si>
    <t>0.0982556580292062</t>
  </si>
  <si>
    <t>1062.30017629415</t>
  </si>
  <si>
    <t>0.0983771051447463</t>
  </si>
  <si>
    <t>1062.58401413222</t>
  </si>
  <si>
    <t>0.0984908257825442</t>
  </si>
  <si>
    <t>1062.54940786649</t>
  </si>
  <si>
    <t>0.0985907571794327</t>
  </si>
  <si>
    <t>1062.52999704499</t>
  </si>
  <si>
    <t>0.0987037890413116</t>
  </si>
  <si>
    <t>1062.51559502638</t>
  </si>
  <si>
    <t>0.0988284510264592</t>
  </si>
  <si>
    <t>1062.90444481904</t>
  </si>
  <si>
    <t>0.0989331150147736</t>
  </si>
  <si>
    <t>1062.70549026992</t>
  </si>
  <si>
    <t>0.0990377575058483</t>
  </si>
  <si>
    <t>1062.75756040575</t>
  </si>
  <si>
    <t>0.0991566427195684</t>
  </si>
  <si>
    <t>1062.86435108951</t>
  </si>
  <si>
    <t>0.0992715713367551</t>
  </si>
  <si>
    <t>1062.44172244276</t>
  </si>
  <si>
    <t>0.0993742706285933</t>
  </si>
  <si>
    <t>1063.13611304542</t>
  </si>
  <si>
    <t>0.0994968677342798</t>
  </si>
  <si>
    <t>1063.18172141434</t>
  </si>
  <si>
    <t>0.0996208618630002</t>
  </si>
  <si>
    <t>1063.46788033435</t>
  </si>
  <si>
    <t>0.0997243049996414</t>
  </si>
  <si>
    <t>1063.46869088661</t>
  </si>
  <si>
    <t>0.0998412227970367</t>
  </si>
  <si>
    <t>1063.53266498011</t>
  </si>
  <si>
    <t>0.0999695669314426</t>
  </si>
  <si>
    <t>1063.24056583686</t>
  </si>
  <si>
    <t>0.100070087979403</t>
  </si>
  <si>
    <t>1063.03537450534</t>
  </si>
  <si>
    <t>0.100171599453616</t>
  </si>
  <si>
    <t>1063.02952694887</t>
  </si>
  <si>
    <t>0.100300796290941</t>
  </si>
  <si>
    <t>1063.49710309416</t>
  </si>
  <si>
    <t>0.100411476523421</t>
  </si>
  <si>
    <t>1063.3063380351</t>
  </si>
  <si>
    <t>0.100515501193874</t>
  </si>
  <si>
    <t>1063.12484028094</t>
  </si>
  <si>
    <t>0.100635442525932</t>
  </si>
  <si>
    <t>1063.27397635644</t>
  </si>
  <si>
    <t>0.100750927601606</t>
  </si>
  <si>
    <t>1063.32147287778</t>
  </si>
  <si>
    <t>0.100862642062937</t>
  </si>
  <si>
    <t>1063.2170687275</t>
  </si>
  <si>
    <t>0.10097870073834</t>
  </si>
  <si>
    <t>1063.54962554547</t>
  </si>
  <si>
    <t>0.10109750275004</t>
  </si>
  <si>
    <t>1063.43508527601</t>
  </si>
  <si>
    <t>0.101209420484939</t>
  </si>
  <si>
    <t>1063.75319363618</t>
  </si>
  <si>
    <t>0.101319284855352</t>
  </si>
  <si>
    <t>1063.85349993138</t>
  </si>
  <si>
    <t>0.101440802272367</t>
  </si>
  <si>
    <t>1063.84521529531</t>
  </si>
  <si>
    <t>0.101557456460724</t>
  </si>
  <si>
    <t>1064.12627296156</t>
  </si>
  <si>
    <t>0.101669943184512</t>
  </si>
  <si>
    <t>1063.83799675335</t>
  </si>
  <si>
    <t>0.10178203871872</t>
  </si>
  <si>
    <t>1064.04283376614</t>
  </si>
  <si>
    <t>0.101909198308131</t>
  </si>
  <si>
    <t>1064.34719284996</t>
  </si>
  <si>
    <t>0.102026270928932</t>
  </si>
  <si>
    <t>1064.38062381197</t>
  </si>
  <si>
    <t>0.102141164547966</t>
  </si>
  <si>
    <t>1064.99786584319</t>
  </si>
  <si>
    <t>0.102262760807447</t>
  </si>
  <si>
    <t>1064.26766761998</t>
  </si>
  <si>
    <t>0.102381483937639</t>
  </si>
  <si>
    <t>1064.14191358102</t>
  </si>
  <si>
    <t>0.102500802402788</t>
  </si>
  <si>
    <t>1064.65262551598</t>
  </si>
  <si>
    <t>0.102618310082785</t>
  </si>
  <si>
    <t>1064.44408272933</t>
  </si>
  <si>
    <t>0.102739249562595</t>
  </si>
  <si>
    <t>1064.00880407237</t>
  </si>
  <si>
    <t>0.102847675045268</t>
  </si>
  <si>
    <t>1064.16269943716</t>
  </si>
  <si>
    <t>0.102957065514581</t>
  </si>
  <si>
    <t>1063.85733899801</t>
  </si>
  <si>
    <t>0.103076304824735</t>
  </si>
  <si>
    <t>1064.30854016641</t>
  </si>
  <si>
    <t>0.103201525450226</t>
  </si>
  <si>
    <t>1064.72001012613</t>
  </si>
  <si>
    <t>0.103312284069011</t>
  </si>
  <si>
    <t>1064.6519715109</t>
  </si>
  <si>
    <t>0.103438377938984</t>
  </si>
  <si>
    <t>1064.44099899438</t>
  </si>
  <si>
    <t>0.103553550285618</t>
  </si>
  <si>
    <t>1064.1122303741</t>
  </si>
  <si>
    <t>0.103662485743784</t>
  </si>
  <si>
    <t>1064.09794852431</t>
  </si>
  <si>
    <t>0.103771797615782</t>
  </si>
  <si>
    <t>1064.74169484086</t>
  </si>
  <si>
    <t>0.103904790206889</t>
  </si>
  <si>
    <t>1064.46054584284</t>
  </si>
  <si>
    <t>0.10401769515623</t>
  </si>
  <si>
    <t>1064.77992339059</t>
  </si>
  <si>
    <t>0.104124775731176</t>
  </si>
  <si>
    <t>1064.6169712268</t>
  </si>
  <si>
    <t>0.104245428277288</t>
  </si>
  <si>
    <t>1064.56795553361</t>
  </si>
  <si>
    <t>0.10436652773136</t>
  </si>
  <si>
    <t>1064.51385871547</t>
  </si>
  <si>
    <t>0.104472532780171</t>
  </si>
  <si>
    <t>1064.709388878</t>
  </si>
  <si>
    <t>0.104594034638815</t>
  </si>
  <si>
    <t>1064.77628108882</t>
  </si>
  <si>
    <t>0.104722850122852</t>
  </si>
  <si>
    <t>1065.08842575496</t>
  </si>
  <si>
    <t>0.104832339673835</t>
  </si>
  <si>
    <t>1065.29183350849</t>
  </si>
  <si>
    <t>0.104951292710414</t>
  </si>
  <si>
    <t>1064.89786947643</t>
  </si>
  <si>
    <t>0.10507806044256</t>
  </si>
  <si>
    <t>1064.88369580347</t>
  </si>
  <si>
    <t>0.105187322485291</t>
  </si>
  <si>
    <t>1064.63043550169</t>
  </si>
  <si>
    <t>0.105293219609848</t>
  </si>
  <si>
    <t>1064.67870755003</t>
  </si>
  <si>
    <t>0.105414957058404</t>
  </si>
  <si>
    <t>1064.98374211425</t>
  </si>
  <si>
    <t>0.105541131780538</t>
  </si>
  <si>
    <t>1064.70094901075</t>
  </si>
  <si>
    <t>0.105641911360144</t>
  </si>
  <si>
    <t>1065.37178477086</t>
  </si>
  <si>
    <t>0.1057663608062</t>
  </si>
  <si>
    <t>1065.19019588019</t>
  </si>
  <si>
    <t>0.10589378970384</t>
  </si>
  <si>
    <t>1065.08827560155</t>
  </si>
  <si>
    <t>0.105999517809758</t>
  </si>
  <si>
    <t>1065.10826755579</t>
  </si>
  <si>
    <t>0.106115829896412</t>
  </si>
  <si>
    <t>1065.67752021224</t>
  </si>
  <si>
    <t>0.106250981597972</t>
  </si>
  <si>
    <t>1066.14271786345</t>
  </si>
  <si>
    <t>0.106376757817082</t>
  </si>
  <si>
    <t>1066.14153831979</t>
  </si>
  <si>
    <t>0.106492126001869</t>
  </si>
  <si>
    <t>1066.24333607183</t>
  </si>
  <si>
    <t>0.106618416035261</t>
  </si>
  <si>
    <t>1065.82731400126</t>
  </si>
  <si>
    <t>0.106739720238069</t>
  </si>
  <si>
    <t>1065.50036588287</t>
  </si>
  <si>
    <t>0.106852452045677</t>
  </si>
  <si>
    <t>1065.40184552115</t>
  </si>
  <si>
    <t>0.106968633592198</t>
  </si>
  <si>
    <t>1065.14328894788</t>
  </si>
  <si>
    <t>0.107084895776087</t>
  </si>
  <si>
    <t>1065.60753972709</t>
  </si>
  <si>
    <t>0.107211790745728</t>
  </si>
  <si>
    <t>1066.28230659196</t>
  </si>
  <si>
    <t>0.1073321759997</t>
  </si>
  <si>
    <t>1066.23383635135</t>
  </si>
  <si>
    <t>0.10745737718423</t>
  </si>
  <si>
    <t>1065.85215513737</t>
  </si>
  <si>
    <t>0.107581130479427</t>
  </si>
  <si>
    <t>1066.603134945</t>
  </si>
  <si>
    <t>0.107707492122311</t>
  </si>
  <si>
    <t>1066.33758299616</t>
  </si>
  <si>
    <t>0.107829813965487</t>
  </si>
  <si>
    <t>1066.23031637835</t>
  </si>
  <si>
    <t>0.107949414226626</t>
  </si>
  <si>
    <t>1066.51415201013</t>
  </si>
  <si>
    <t>0.108073158894343</t>
  </si>
  <si>
    <t>1066.31986910519</t>
  </si>
  <si>
    <t>0.108205643388267</t>
  </si>
  <si>
    <t>1066.3734618188</t>
  </si>
  <si>
    <t>0.10831794890914</t>
  </si>
  <si>
    <t>1066.06219936836</t>
  </si>
  <si>
    <t>0.108439464945886</t>
  </si>
  <si>
    <t>1066.07363716622</t>
  </si>
  <si>
    <t>0.108561363086409</t>
  </si>
  <si>
    <t>1066.70095602271</t>
  </si>
  <si>
    <t>0.108692696898952</t>
  </si>
  <si>
    <t>1066.43281824356</t>
  </si>
  <si>
    <t>0.108812622101999</t>
  </si>
  <si>
    <t>1066.97442518379</t>
  </si>
  <si>
    <t>0.108942419575112</t>
  </si>
  <si>
    <t>1066.86059819539</t>
  </si>
  <si>
    <t>0.109069600997632</t>
  </si>
  <si>
    <t>1066.67424920764</t>
  </si>
  <si>
    <t>0.109199500806028</t>
  </si>
  <si>
    <t>1066.69270767376</t>
  </si>
  <si>
    <t>0.109317945954915</t>
  </si>
  <si>
    <t>1066.65931691072</t>
  </si>
  <si>
    <t>0.109440415320767</t>
  </si>
  <si>
    <t>1066.21998060744</t>
  </si>
  <si>
    <t>0.109566677888677</t>
  </si>
  <si>
    <t>1066.51482069335</t>
  </si>
  <si>
    <t>0.109692173405971</t>
  </si>
  <si>
    <t>1066.22331039634</t>
  </si>
  <si>
    <t>0.109804145219911</t>
  </si>
  <si>
    <t>1065.80914393033</t>
  </si>
  <si>
    <t>0.109923916354966</t>
  </si>
  <si>
    <t>1065.74734810078</t>
  </si>
  <si>
    <t>0.11004455956247</t>
  </si>
  <si>
    <t>1065.97450404893</t>
  </si>
  <si>
    <t>0.110158420967643</t>
  </si>
  <si>
    <t>1066.62128844939</t>
  </si>
  <si>
    <t>0.110282914342952</t>
  </si>
  <si>
    <t>1067.01206435389</t>
  </si>
  <si>
    <t>0.11041590911141</t>
  </si>
  <si>
    <t>1067.05099259161</t>
  </si>
  <si>
    <t>0.110549125927245</t>
  </si>
  <si>
    <t>1066.88908069992</t>
  </si>
  <si>
    <t>0.110662523442607</t>
  </si>
  <si>
    <t>1066.69997995058</t>
  </si>
  <si>
    <t>0.110787871099468</t>
  </si>
  <si>
    <t>1066.61925382416</t>
  </si>
  <si>
    <t>0.110917089460952</t>
  </si>
  <si>
    <t>1067.08880156801</t>
  </si>
  <si>
    <t>0.111041780133436</t>
  </si>
  <si>
    <t>1067.38467079383</t>
  </si>
  <si>
    <t>0.11117298652483</t>
  </si>
  <si>
    <t>1067.07540186348</t>
  </si>
  <si>
    <t>0.111291135675656</t>
  </si>
  <si>
    <t>1067.22322559081</t>
  </si>
  <si>
    <t>0.111424256783438</t>
  </si>
  <si>
    <t>1067.11166529199</t>
  </si>
  <si>
    <t>0.111548957126047</t>
  </si>
  <si>
    <t>1067.17239410714</t>
  </si>
  <si>
    <t>0.111671757447588</t>
  </si>
  <si>
    <t>1067.16360975168</t>
  </si>
  <si>
    <t>0.111808013377941</t>
  </si>
  <si>
    <t>1067.56976992525</t>
  </si>
  <si>
    <t>0.111932978140462</t>
  </si>
  <si>
    <t>1067.57125624917</t>
  </si>
  <si>
    <t>0.11205182850907</t>
  </si>
  <si>
    <t>1067.22822870533</t>
  </si>
  <si>
    <t>0.112184380122251</t>
  </si>
  <si>
    <t>1067.47390567094</t>
  </si>
  <si>
    <t>0.112316695668118</t>
  </si>
  <si>
    <t>1067.1211582771</t>
  </si>
  <si>
    <t>0.112430850061966</t>
  </si>
  <si>
    <t>1066.81340864467</t>
  </si>
  <si>
    <t>0.112559325795052</t>
  </si>
  <si>
    <t>1066.93409763106</t>
  </si>
  <si>
    <t>0.112683759872115</t>
  </si>
  <si>
    <t>1066.975407596</t>
  </si>
  <si>
    <t>0.112797799575841</t>
  </si>
  <si>
    <t>1066.77462271975</t>
  </si>
  <si>
    <t>0.112918980458992</t>
  </si>
  <si>
    <t>1066.91574774574</t>
  </si>
  <si>
    <t>0.113047081583965</t>
  </si>
  <si>
    <t>1066.86936147577</t>
  </si>
  <si>
    <t>0.113171777257754</t>
  </si>
  <si>
    <t>1067.51325555756</t>
  </si>
  <si>
    <t>0.113295365955059</t>
  </si>
  <si>
    <t>1067.52512197296</t>
  </si>
  <si>
    <t>0.11342566381422</t>
  </si>
  <si>
    <t>1067.72609020663</t>
  </si>
  <si>
    <t>0.113561358844156</t>
  </si>
  <si>
    <t>1067.97994487084</t>
  </si>
  <si>
    <t>0.11369056222507</t>
  </si>
  <si>
    <t>1067.73994453461</t>
  </si>
  <si>
    <t>0.113812154437468</t>
  </si>
  <si>
    <t>1067.5925570323</t>
  </si>
  <si>
    <t>0.113942738168751</t>
  </si>
  <si>
    <t>1067.71636063176</t>
  </si>
  <si>
    <t>0.114075672966679</t>
  </si>
  <si>
    <t>1067.32226060406</t>
  </si>
  <si>
    <t>0.114194424741404</t>
  </si>
  <si>
    <t>1067.37913495503</t>
  </si>
  <si>
    <t>0.114315405356726</t>
  </si>
  <si>
    <t>1067.45458020841</t>
  </si>
  <si>
    <t>0.114447138158111</t>
  </si>
  <si>
    <t>1067.77086312119</t>
  </si>
  <si>
    <t>0.114579279238951</t>
  </si>
  <si>
    <t>1068.09956704599</t>
  </si>
  <si>
    <t>0.114695179003642</t>
  </si>
  <si>
    <t>1068.07924359449</t>
  </si>
  <si>
    <t>0.114831698235106</t>
  </si>
  <si>
    <t>1068.16473926182</t>
  </si>
  <si>
    <t>0.114971882729994</t>
  </si>
  <si>
    <t>1068.12000866073</t>
  </si>
  <si>
    <t>0.115093464515602</t>
  </si>
  <si>
    <t>1068.19053407927</t>
  </si>
  <si>
    <t>0.115222106997963</t>
  </si>
  <si>
    <t>1068.28524475177</t>
  </si>
  <si>
    <t>0.115359436034639</t>
  </si>
  <si>
    <t>1068.05189759639</t>
  </si>
  <si>
    <t>0.115485420238529</t>
  </si>
  <si>
    <t>1067.9402378437</t>
  </si>
  <si>
    <t>0.115608152963272</t>
  </si>
  <si>
    <t>1068.03909325906</t>
  </si>
  <si>
    <t>0.115742515267229</t>
  </si>
  <si>
    <t>1067.74275683942</t>
  </si>
  <si>
    <t>0.115878186594391</t>
  </si>
  <si>
    <t>1068.09479072577</t>
  </si>
  <si>
    <t>0.116001472382334</t>
  </si>
  <si>
    <t>1068.27347355508</t>
  </si>
  <si>
    <t>0.116119384148504</t>
  </si>
  <si>
    <t>1068.21822333612</t>
  </si>
  <si>
    <t>0.11626398977848</t>
  </si>
  <si>
    <t>1067.89668835873</t>
  </si>
  <si>
    <t>0.116389818631757</t>
  </si>
  <si>
    <t>1067.67846945778</t>
  </si>
  <si>
    <t>0.116507353059369</t>
  </si>
  <si>
    <t>1067.79853056671</t>
  </si>
  <si>
    <t>0.116639035721652</t>
  </si>
  <si>
    <t>1067.91302515974</t>
  </si>
  <si>
    <t>0.116775030893523</t>
  </si>
  <si>
    <t>1067.6721559579</t>
  </si>
  <si>
    <t>0.116894995435968</t>
  </si>
  <si>
    <t>1068.05917550611</t>
  </si>
  <si>
    <t>0.117016053677882</t>
  </si>
  <si>
    <t>1068.43756573267</t>
  </si>
  <si>
    <t>0.117160612547647</t>
  </si>
  <si>
    <t>1068.4412315991</t>
  </si>
  <si>
    <t>0.117298876600661</t>
  </si>
  <si>
    <t>1069.00659269116</t>
  </si>
  <si>
    <t>0.117423602246949</t>
  </si>
  <si>
    <t>1069.59205431483</t>
  </si>
  <si>
    <t>0.117568236771492</t>
  </si>
  <si>
    <t>1069.4738387743</t>
  </si>
  <si>
    <t>0.117718252415389</t>
  </si>
  <si>
    <t>1069.8323976497</t>
  </si>
  <si>
    <t>0.117854452716042</t>
  </si>
  <si>
    <t>1070.06265724022</t>
  </si>
  <si>
    <t>0.117992103582665</t>
  </si>
  <si>
    <t>1069.34513265737</t>
  </si>
  <si>
    <t>0.118130376859305</t>
  </si>
  <si>
    <t>1068.52811459851</t>
  </si>
  <si>
    <t>0.118266841677646</t>
  </si>
  <si>
    <t>1068.66969200788</t>
  </si>
  <si>
    <t>0.118403856664391</t>
  </si>
  <si>
    <t>1068.59482329986</t>
  </si>
  <si>
    <t>0.118529757795543</t>
  </si>
  <si>
    <t>1068.70108968402</t>
  </si>
  <si>
    <t>0.118665744232293</t>
  </si>
  <si>
    <t>1068.42008185124</t>
  </si>
  <si>
    <t>0.118797618523767</t>
  </si>
  <si>
    <t>1068.63367123363</t>
  </si>
  <si>
    <t>0.118929165341496</t>
  </si>
  <si>
    <t>1068.51809565438</t>
  </si>
  <si>
    <t>0.119063857305569</t>
  </si>
  <si>
    <t>1068.58637283008</t>
  </si>
  <si>
    <t>0.119199574802144</t>
  </si>
  <si>
    <t>1068.61739781715</t>
  </si>
  <si>
    <t>0.119333383128135</t>
  </si>
  <si>
    <t>1068.64234793502</t>
  </si>
  <si>
    <t>0.119466212804125</t>
  </si>
  <si>
    <t>1068.65276918745</t>
  </si>
  <si>
    <t>0.119594686542749</t>
  </si>
  <si>
    <t>1068.72192903325</t>
  </si>
  <si>
    <t>0.119731168579862</t>
  </si>
  <si>
    <t>1068.72774766749</t>
  </si>
  <si>
    <t>0.119869532062615</t>
  </si>
  <si>
    <t>1068.80757766332</t>
  </si>
  <si>
    <t>0.120004551737898</t>
  </si>
  <si>
    <t>1068.85082958466</t>
  </si>
  <si>
    <t>0.120139553185329</t>
  </si>
  <si>
    <t>1068.74658380894</t>
  </si>
  <si>
    <t>0.120270273299691</t>
  </si>
  <si>
    <t>1069.03882128686</t>
  </si>
  <si>
    <t>0.12041482697907</t>
  </si>
  <si>
    <t>1068.86685250146</t>
  </si>
  <si>
    <t>0.120546047729826</t>
  </si>
  <si>
    <t>1068.42459933131</t>
  </si>
  <si>
    <t>0.120670699234717</t>
  </si>
  <si>
    <t>1068.48450745718</t>
  </si>
  <si>
    <t>0.120806467081162</t>
  </si>
  <si>
    <t>1068.47635948202</t>
  </si>
  <si>
    <t>0.120945795930743</t>
  </si>
  <si>
    <t>1068.9069225754</t>
  </si>
  <si>
    <t>0.121073275239963</t>
  </si>
  <si>
    <t>1068.82693025378</t>
  </si>
  <si>
    <t>0.121211050969593</t>
  </si>
  <si>
    <t>1068.92863229604</t>
  </si>
  <si>
    <t>0.12134762193149</t>
  </si>
  <si>
    <t>1069.18932267548</t>
  </si>
  <si>
    <t>0.121481070989719</t>
  </si>
  <si>
    <t>1069.14547284923</t>
  </si>
  <si>
    <t>0.121626459979532</t>
  </si>
  <si>
    <t>1069.11385352651</t>
  </si>
  <si>
    <t>0.121760706697997</t>
  </si>
  <si>
    <t>1068.93623272697</t>
  </si>
  <si>
    <t>0.121891895250134</t>
  </si>
  <si>
    <t>1068.60060941521</t>
  </si>
  <si>
    <t>0.122019583753038</t>
  </si>
  <si>
    <t>1069.27633902797</t>
  </si>
  <si>
    <t>0.122162298170798</t>
  </si>
  <si>
    <t>1069.36412434501</t>
  </si>
  <si>
    <t>0.122299790033369</t>
  </si>
  <si>
    <t>1069.11869821965</t>
  </si>
  <si>
    <t>0.122429877882718</t>
  </si>
  <si>
    <t>1069.3730651722</t>
  </si>
  <si>
    <t>0.122570731507735</t>
  </si>
  <si>
    <t>1068.74685845917</t>
  </si>
  <si>
    <t>0.122712718576331</t>
  </si>
  <si>
    <t>1068.70488536517</t>
  </si>
  <si>
    <t>0.122845275191766</t>
  </si>
  <si>
    <t>1068.90711704127</t>
  </si>
  <si>
    <t>0.122976959801691</t>
  </si>
  <si>
    <t>1069.35363308492</t>
  </si>
  <si>
    <t>0.123121308049624</t>
  </si>
  <si>
    <t>1069.59215887254</t>
  </si>
  <si>
    <t>0.123259398826153</t>
  </si>
  <si>
    <t>1069.08113756</t>
  </si>
  <si>
    <t>0.123394434954191</t>
  </si>
  <si>
    <t>1069.34140380679</t>
  </si>
  <si>
    <t>0.123546007287593</t>
  </si>
  <si>
    <t>1069.40198472811</t>
  </si>
  <si>
    <t>0.123680202321251</t>
  </si>
  <si>
    <t>1069.50972924336</t>
  </si>
  <si>
    <t>0.12382063309825</t>
  </si>
  <si>
    <t>1069.26285164185</t>
  </si>
  <si>
    <t>0.123956344223141</t>
  </si>
  <si>
    <t>1069.6128960825</t>
  </si>
  <si>
    <t>0.124101805686279</t>
  </si>
  <si>
    <t>1069.11948334109</t>
  </si>
  <si>
    <t>0.124234712946209</t>
  </si>
  <si>
    <t>1068.95821812658</t>
  </si>
  <si>
    <t>0.124369771646092</t>
  </si>
  <si>
    <t>1068.78778616332</t>
  </si>
  <si>
    <t>0.124506826731683</t>
  </si>
  <si>
    <t>1068.83197492002</t>
  </si>
  <si>
    <t>0.124644541335709</t>
  </si>
  <si>
    <t>1068.81909315761</t>
  </si>
  <si>
    <t>0.124772176865805</t>
  </si>
  <si>
    <t>1068.95813740301</t>
  </si>
  <si>
    <t>0.124912279723636</t>
  </si>
  <si>
    <t>1068.83049090924</t>
  </si>
  <si>
    <t>0.125057222109565</t>
  </si>
  <si>
    <t>1068.62188072692</t>
  </si>
  <si>
    <t>0.125190505768206</t>
  </si>
  <si>
    <t>1068.07939458553</t>
  </si>
  <si>
    <t>0.125317373253338</t>
  </si>
  <si>
    <t>1068.5628929391</t>
  </si>
  <si>
    <t>0.125448640328328</t>
  </si>
  <si>
    <t>1068.38340751951</t>
  </si>
  <si>
    <t>0.125582898594464</t>
  </si>
  <si>
    <t>1068.84443683698</t>
  </si>
  <si>
    <t>0.125727086785595</t>
  </si>
  <si>
    <t>1068.98802829584</t>
  </si>
  <si>
    <t>0.125858105061975</t>
  </si>
  <si>
    <t>1068.63000239181</t>
  </si>
  <si>
    <t>0.12599668057918</t>
  </si>
  <si>
    <t>1068.47372639886</t>
  </si>
  <si>
    <t>0.126129592802097</t>
  </si>
  <si>
    <t>1069.14183714543</t>
  </si>
  <si>
    <t>0.126267576633118</t>
  </si>
  <si>
    <t>1069.1234081893</t>
  </si>
  <si>
    <t>0.126407377819882</t>
  </si>
  <si>
    <t>1069.3126553182</t>
  </si>
  <si>
    <t>0.126551703630602</t>
  </si>
  <si>
    <t>1069.62760603024</t>
  </si>
  <si>
    <t>0.126694634281744</t>
  </si>
  <si>
    <t>1069.73768279868</t>
  </si>
  <si>
    <t>0.126835760177638</t>
  </si>
  <si>
    <t>1069.67832617791</t>
  </si>
  <si>
    <t>0.126974046491037</t>
  </si>
  <si>
    <t>1069.35692444968</t>
  </si>
  <si>
    <t>0.127118854398962</t>
  </si>
  <si>
    <t>1069.65140306231</t>
  </si>
  <si>
    <t>0.127274158181955</t>
  </si>
  <si>
    <t>1069.6552920534</t>
  </si>
  <si>
    <t>0.127411768956473</t>
  </si>
  <si>
    <t>1069.64816173378</t>
  </si>
  <si>
    <t>0.127547393282942</t>
  </si>
  <si>
    <t>1069.46875359197</t>
  </si>
  <si>
    <t>0.1276895259553</t>
  </si>
  <si>
    <t>1069.39163397511</t>
  </si>
  <si>
    <t>0.127837303657823</t>
  </si>
  <si>
    <t>1069.35237343559</t>
  </si>
  <si>
    <t>0.127984823936423</t>
  </si>
  <si>
    <t>1069.49937557951</t>
  </si>
  <si>
    <t>0.128120954341746</t>
  </si>
  <si>
    <t>1069.24724447362</t>
  </si>
  <si>
    <t>0.128264131937129</t>
  </si>
  <si>
    <t>1069.00907654737</t>
  </si>
  <si>
    <t>0.128398688515435</t>
  </si>
  <si>
    <t>1068.81807421372</t>
  </si>
  <si>
    <t>0.128532899394454</t>
  </si>
  <si>
    <t>1068.77821814986</t>
  </si>
  <si>
    <t>0.128672670873648</t>
  </si>
  <si>
    <t>1069.23996760633</t>
  </si>
  <si>
    <t>0.128814346908034</t>
  </si>
  <si>
    <t>1069.29249809682</t>
  </si>
  <si>
    <t>0.128960802163939</t>
  </si>
  <si>
    <t>1069.35881188828</t>
  </si>
  <si>
    <t>0.129107768012036</t>
  </si>
  <si>
    <t>1069.68331969736</t>
  </si>
  <si>
    <t>0.129244195771443</t>
  </si>
  <si>
    <t>1069.7930441734</t>
  </si>
  <si>
    <t>0.12938458388108</t>
  </si>
  <si>
    <t>1069.20785636812</t>
  </si>
  <si>
    <t>0.129528767035476</t>
  </si>
  <si>
    <t>1068.96413872265</t>
  </si>
  <si>
    <t>0.129672816921159</t>
  </si>
  <si>
    <t>1068.76966555073</t>
  </si>
  <si>
    <t>0.129807347687348</t>
  </si>
  <si>
    <t>1069.00771819295</t>
  </si>
  <si>
    <t>0.129946082435373</t>
  </si>
  <si>
    <t>1069.3992447564</t>
  </si>
  <si>
    <t>0.130093997254901</t>
  </si>
  <si>
    <t>1069.3343542026</t>
  </si>
  <si>
    <t>0.130240684249492</t>
  </si>
  <si>
    <t>1068.90381997601</t>
  </si>
  <si>
    <t>0.130371664336515</t>
  </si>
  <si>
    <t>1069.13831581475</t>
  </si>
  <si>
    <t>0.130516665658489</t>
  </si>
  <si>
    <t>1069.16152978286</t>
  </si>
  <si>
    <t>0.130661278195924</t>
  </si>
  <si>
    <t>1068.99043303926</t>
  </si>
  <si>
    <t>0.130806053678129</t>
  </si>
  <si>
    <t>1069.16017225262</t>
  </si>
  <si>
    <t>0.130946917171897</t>
  </si>
  <si>
    <t>1069.12614144392</t>
  </si>
  <si>
    <t>0.131085105894091</t>
  </si>
  <si>
    <t>1069.39437331484</t>
  </si>
  <si>
    <t>0.131233332203128</t>
  </si>
  <si>
    <t>1069.47584489173</t>
  </si>
  <si>
    <t>0.131380321760302</t>
  </si>
  <si>
    <t>1069.37148983637</t>
  </si>
  <si>
    <t>0.131522441484556</t>
  </si>
  <si>
    <t>1068.80881897904</t>
  </si>
  <si>
    <t>0.131663214314059</t>
  </si>
  <si>
    <t>1068.57290375399</t>
  </si>
  <si>
    <t>0.131805906078365</t>
  </si>
  <si>
    <t>1069.09378265347</t>
  </si>
  <si>
    <t>0.131947557236463</t>
  </si>
  <si>
    <t>1069.15041784002</t>
  </si>
  <si>
    <t>0.132089504564606</t>
  </si>
  <si>
    <t>1068.89773022728</t>
  </si>
  <si>
    <t>0.132229544820427</t>
  </si>
  <si>
    <t>1068.77095682364</t>
  </si>
  <si>
    <t>0.132373165419596</t>
  </si>
  <si>
    <t>1068.8035919099</t>
  </si>
  <si>
    <t>0.132516439100997</t>
  </si>
  <si>
    <t>1069.22319291547</t>
  </si>
  <si>
    <t>0.132661292906872</t>
  </si>
  <si>
    <t>1069.14432038389</t>
  </si>
  <si>
    <t>0.132808144089893</t>
  </si>
  <si>
    <t>1069.43629299113</t>
  </si>
  <si>
    <t>0.132951355468312</t>
  </si>
  <si>
    <t>1069.05278517455</t>
  </si>
  <si>
    <t>0.133093700504117</t>
  </si>
  <si>
    <t>1068.79913125946</t>
  </si>
  <si>
    <t>0.133238572614906</t>
  </si>
  <si>
    <t>1068.59167193731</t>
  </si>
  <si>
    <t>0.133374967791188</t>
  </si>
  <si>
    <t>1068.94083676928</t>
  </si>
  <si>
    <t>0.133520899299812</t>
  </si>
  <si>
    <t>1068.86846670605</t>
  </si>
  <si>
    <t>0.133669885369136</t>
  </si>
  <si>
    <t>1069.16058360744</t>
  </si>
  <si>
    <t>0.133813156700875</t>
  </si>
  <si>
    <t>1068.89993260192</t>
  </si>
  <si>
    <t>0.133957425709587</t>
  </si>
  <si>
    <t>1069.01049374121</t>
  </si>
  <si>
    <t>0.134097123199041</t>
  </si>
  <si>
    <t>1069.31057201916</t>
  </si>
  <si>
    <t>0.134254115773118</t>
  </si>
  <si>
    <t>1069.03339859378</t>
  </si>
  <si>
    <t>0.134403644009187</t>
  </si>
  <si>
    <t>1069.11219154387</t>
  </si>
  <si>
    <t>0.134543553934322</t>
  </si>
  <si>
    <t>1069.16435440787</t>
  </si>
  <si>
    <t>0.134686730681758</t>
  </si>
  <si>
    <t>1069.41659829168</t>
  </si>
  <si>
    <t>0.134841952182855</t>
  </si>
  <si>
    <t>1069.26330117549</t>
  </si>
  <si>
    <t>0.134993996448528</t>
  </si>
  <si>
    <t>1068.87543351856</t>
  </si>
  <si>
    <t>0.135137912151679</t>
  </si>
  <si>
    <t>1068.39944255237</t>
  </si>
  <si>
    <t>0.135274648478198</t>
  </si>
  <si>
    <t>1068.5110560998</t>
  </si>
  <si>
    <t>0.135418625471041</t>
  </si>
  <si>
    <t>1068.79428230284</t>
  </si>
  <si>
    <t>0.135573153979732</t>
  </si>
  <si>
    <t>1069.13909494291</t>
  </si>
  <si>
    <t>0.135719527385357</t>
  </si>
  <si>
    <t>1069.14587578336</t>
  </si>
  <si>
    <t>0.135866570424725</t>
  </si>
  <si>
    <t>1068.92051977557</t>
  </si>
  <si>
    <t>0.136011833975935</t>
  </si>
  <si>
    <t>1068.87475693892</t>
  </si>
  <si>
    <t>0.136154932744561</t>
  </si>
  <si>
    <t>1068.56378914047</t>
  </si>
  <si>
    <t>0.136298224360993</t>
  </si>
  <si>
    <t>1068.65201973106</t>
  </si>
  <si>
    <t>0.136443130681754</t>
  </si>
  <si>
    <t>1069.10942965462</t>
  </si>
  <si>
    <t>0.136595337917884</t>
  </si>
  <si>
    <t>1068.8747125278</t>
  </si>
  <si>
    <t>0.136746354322054</t>
  </si>
  <si>
    <t>1068.75683353079</t>
  </si>
  <si>
    <t>0.136886830280856</t>
  </si>
  <si>
    <t>1068.91629713694</t>
  </si>
  <si>
    <t>0.137033173951235</t>
  </si>
  <si>
    <t>1068.50440887206</t>
  </si>
  <si>
    <t>0.137184205448045</t>
  </si>
  <si>
    <t>1068.69966658081</t>
  </si>
  <si>
    <t>0.137336736286714</t>
  </si>
  <si>
    <t>1068.7734829577</t>
  </si>
  <si>
    <t>0.137486737772369</t>
  </si>
  <si>
    <t>1069.10194322861</t>
  </si>
  <si>
    <t>0.137629808258937</t>
  </si>
  <si>
    <t>1069.17379144861</t>
  </si>
  <si>
    <t>0.137784309917144</t>
  </si>
  <si>
    <t>1068.83633541903</t>
  </si>
  <si>
    <t>0.137939649739162</t>
  </si>
  <si>
    <t>1068.60349161221</t>
  </si>
  <si>
    <t>0.138088759759411</t>
  </si>
  <si>
    <t>1068.54837356321</t>
  </si>
  <si>
    <t>0.138233690750719</t>
  </si>
  <si>
    <t>1067.80099101211</t>
  </si>
  <si>
    <t>0.138379340746997</t>
  </si>
  <si>
    <t>1068.44881060177</t>
  </si>
  <si>
    <t>0.13853087857047</t>
  </si>
  <si>
    <t>1068.95298743641</t>
  </si>
  <si>
    <t>0.138681035476023</t>
  </si>
  <si>
    <t>1068.81933771016</t>
  </si>
  <si>
    <t>0.138834777000691</t>
  </si>
  <si>
    <t>1068.71977191477</t>
  </si>
  <si>
    <t>0.138985192212328</t>
  </si>
  <si>
    <t>1068.19046144057</t>
  </si>
  <si>
    <t>0.139136982660801</t>
  </si>
  <si>
    <t>1068.18794326354</t>
  </si>
  <si>
    <t>0.139278034736227</t>
  </si>
  <si>
    <t>1068.1585713643</t>
  </si>
  <si>
    <t>0.139421041592707</t>
  </si>
  <si>
    <t>1067.92121531045</t>
  </si>
  <si>
    <t>0.139566397265932</t>
  </si>
  <si>
    <t>1068.15391175224</t>
  </si>
  <si>
    <t>0.139719000517808</t>
  </si>
  <si>
    <t>1068.11881058575</t>
  </si>
  <si>
    <t>0.139866144977305</t>
  </si>
  <si>
    <t>1067.81319384585</t>
  </si>
  <si>
    <t>0.140012883208374</t>
  </si>
  <si>
    <t>1068.0692843546</t>
  </si>
  <si>
    <t>0.14015918502949</t>
  </si>
  <si>
    <t>1068.11446446693</t>
  </si>
  <si>
    <t>0.140306679557278</t>
  </si>
  <si>
    <t>1068.36180464537</t>
  </si>
  <si>
    <t>0.140459028265851</t>
  </si>
  <si>
    <t>1068.61265286531</t>
  </si>
  <si>
    <t>0.140611667316551</t>
  </si>
  <si>
    <t>1068.03885652662</t>
  </si>
  <si>
    <t>0.140764808944338</t>
  </si>
  <si>
    <t>1067.58856762474</t>
  </si>
  <si>
    <t>0.140899443357008</t>
  </si>
  <si>
    <t>1067.87383437134</t>
  </si>
  <si>
    <t>0.141051449041793</t>
  </si>
  <si>
    <t>1068.21521419993</t>
  </si>
  <si>
    <t>0.141209516916631</t>
  </si>
  <si>
    <t>1068.46058785758</t>
  </si>
  <si>
    <t>0.141359686557838</t>
  </si>
  <si>
    <t>1068.55479506535</t>
  </si>
  <si>
    <t>0.141515906974192</t>
  </si>
  <si>
    <t>1068.4860078082</t>
  </si>
  <si>
    <t>0.141666838920252</t>
  </si>
  <si>
    <t>1068.23346764555</t>
  </si>
  <si>
    <t>0.141823708417782</t>
  </si>
  <si>
    <t>1068.05119150587</t>
  </si>
  <si>
    <t>0.141976321135188</t>
  </si>
  <si>
    <t>1068.25034751626</t>
  </si>
  <si>
    <t>0.14212500219115</t>
  </si>
  <si>
    <t>1068.21584390774</t>
  </si>
  <si>
    <t>0.142276246146328</t>
  </si>
  <si>
    <t>1068.08823245165</t>
  </si>
  <si>
    <t>0.142436836389501</t>
  </si>
  <si>
    <t>1068.31786376609</t>
  </si>
  <si>
    <t>0.142584419353906</t>
  </si>
  <si>
    <t>1068.22459114872</t>
  </si>
  <si>
    <t>0.142737662911891</t>
  </si>
  <si>
    <t>1068.10588910691</t>
  </si>
  <si>
    <t>0.142890943538562</t>
  </si>
  <si>
    <t>1068.23733867131</t>
  </si>
  <si>
    <t>0.143046743325299</t>
  </si>
  <si>
    <t>1068.05408919881</t>
  </si>
  <si>
    <t>0.143202216193134</t>
  </si>
  <si>
    <t>1068.10801493316</t>
  </si>
  <si>
    <t>0.143349948509284</t>
  </si>
  <si>
    <t>1067.94337972768</t>
  </si>
  <si>
    <t>0.143503125235077</t>
  </si>
  <si>
    <t>1067.84540108371</t>
  </si>
  <si>
    <t>0.143657135617653</t>
  </si>
  <si>
    <t>1067.59934620162</t>
  </si>
  <si>
    <t>0.143811071873861</t>
  </si>
  <si>
    <t>1067.43159202483</t>
  </si>
  <si>
    <t>0.143965175968975</t>
  </si>
  <si>
    <t>1067.41656423684</t>
  </si>
  <si>
    <t>0.144115930224997</t>
  </si>
  <si>
    <t>1067.70252681555</t>
  </si>
  <si>
    <t>0.14426764935921</t>
  </si>
  <si>
    <t>1067.22100466605</t>
  </si>
  <si>
    <t>0.144419839203755</t>
  </si>
  <si>
    <t>1067.37186461773</t>
  </si>
  <si>
    <t>0.144559664556607</t>
  </si>
  <si>
    <t>1067.57264542684</t>
  </si>
  <si>
    <t>0.144719928844767</t>
  </si>
  <si>
    <t>1067.37904488002</t>
  </si>
  <si>
    <t>0.144877347458756</t>
  </si>
  <si>
    <t>1067.83864227131</t>
  </si>
  <si>
    <t>0.145032999213049</t>
  </si>
  <si>
    <t>1067.42507624438</t>
  </si>
  <si>
    <t>0.145179816954994</t>
  </si>
  <si>
    <t>1067.72552258477</t>
  </si>
  <si>
    <t>0.145339730224563</t>
  </si>
  <si>
    <t>1067.91823888294</t>
  </si>
  <si>
    <t>0.145501167958616</t>
  </si>
  <si>
    <t>1067.44999900414</t>
  </si>
  <si>
    <t>0.145651952506665</t>
  </si>
  <si>
    <t>1066.95747861179</t>
  </si>
  <si>
    <t>0.145797502138381</t>
  </si>
  <si>
    <t>1066.93184709159</t>
  </si>
  <si>
    <t>0.145946058852448</t>
  </si>
  <si>
    <t>1066.9843185802</t>
  </si>
  <si>
    <t>0.146110476801041</t>
  </si>
  <si>
    <t>1067.23547796619</t>
  </si>
  <si>
    <t>0.146257800243918</t>
  </si>
  <si>
    <t>1067.14946809354</t>
  </si>
  <si>
    <t>0.146413297629019</t>
  </si>
  <si>
    <t>1067.0779957765</t>
  </si>
  <si>
    <t>0.146563733571639</t>
  </si>
  <si>
    <t>1067.00614856814</t>
  </si>
  <si>
    <t>0.146720389741622</t>
  </si>
  <si>
    <t>1066.86993505373</t>
  </si>
  <si>
    <t>0.146876468552606</t>
  </si>
  <si>
    <t>1067.31244883203</t>
  </si>
  <si>
    <t>0.147033698825423</t>
  </si>
  <si>
    <t>1067.50326991046</t>
  </si>
  <si>
    <t>0.147186523379427</t>
  </si>
  <si>
    <t>1067.07583024898</t>
  </si>
  <si>
    <t>0.14734071101908</t>
  </si>
  <si>
    <t>1067.0819245241</t>
  </si>
  <si>
    <t>0.14749769755553</t>
  </si>
  <si>
    <t>1066.23174628428</t>
  </si>
  <si>
    <t>0.147652349446304</t>
  </si>
  <si>
    <t>1066.46921470469</t>
  </si>
  <si>
    <t>0.147802599120419</t>
  </si>
  <si>
    <t>1066.10573041008</t>
  </si>
  <si>
    <t>0.147946661341124</t>
  </si>
  <si>
    <t>1066.48446824366</t>
  </si>
  <si>
    <t>0.148100079294706</t>
  </si>
  <si>
    <t>1066.32025598543</t>
  </si>
  <si>
    <t>0.148251867717538</t>
  </si>
  <si>
    <t>1066.44768824238</t>
  </si>
  <si>
    <t>0.148403572888331</t>
  </si>
  <si>
    <t>1066.15561056485</t>
  </si>
  <si>
    <t>0.148558797201447</t>
  </si>
  <si>
    <t>1065.81730330666</t>
  </si>
  <si>
    <t>0.148699249020179</t>
  </si>
  <si>
    <t>1065.44149735146</t>
  </si>
  <si>
    <t>0.148843162071579</t>
  </si>
  <si>
    <t>1065.84322837232</t>
  </si>
  <si>
    <t>0.149001477615517</t>
  </si>
  <si>
    <t>1066.19615472075</t>
  </si>
  <si>
    <t>0.149149990379132</t>
  </si>
  <si>
    <t>1066.29960390419</t>
  </si>
  <si>
    <t>0.149300516567135</t>
  </si>
  <si>
    <t>1066.19314380252</t>
  </si>
  <si>
    <t>0.149453346004865</t>
  </si>
  <si>
    <t>1065.97115259754</t>
  </si>
  <si>
    <t>0.149606543021612</t>
  </si>
  <si>
    <t>1065.73216184829</t>
  </si>
  <si>
    <t>0.149765078524881</t>
  </si>
  <si>
    <t>1065.86893825146</t>
  </si>
  <si>
    <t>0.149907545588772</t>
  </si>
  <si>
    <t>1065.7285537225</t>
  </si>
  <si>
    <t>0.150053970075882</t>
  </si>
  <si>
    <t>1065.54377486161</t>
  </si>
  <si>
    <t>0.150197728383155</t>
  </si>
  <si>
    <t>1065.52822581285</t>
  </si>
  <si>
    <t>0.150344691347212</t>
  </si>
  <si>
    <t>1065.15419082359</t>
  </si>
  <si>
    <t>0.150499394338085</t>
  </si>
  <si>
    <t>1065.17907969665</t>
  </si>
  <si>
    <t>0.150640765491914</t>
  </si>
  <si>
    <t>1065.11772060063</t>
  </si>
  <si>
    <t>0.150782366965881</t>
  </si>
  <si>
    <t>1065.66091243276</t>
  </si>
  <si>
    <t>0.150941927457984</t>
  </si>
  <si>
    <t>1065.48260186876</t>
  </si>
  <si>
    <t>0.151088550892739</t>
  </si>
  <si>
    <t>1065.06188728726</t>
  </si>
  <si>
    <t>0.151237524628483</t>
  </si>
  <si>
    <t>1065.03386241675</t>
  </si>
  <si>
    <t>0.151383164157455</t>
  </si>
  <si>
    <t>1064.97830421861</t>
  </si>
  <si>
    <t>0.151525941153162</t>
  </si>
  <si>
    <t>1064.42730408584</t>
  </si>
  <si>
    <t>0.15167368937743</t>
  </si>
  <si>
    <t>1064.83408778731</t>
  </si>
  <si>
    <t>0.151823556142395</t>
  </si>
  <si>
    <t>1065.48163896389</t>
  </si>
  <si>
    <t>0.15197148040934</t>
  </si>
  <si>
    <t>1065.31201164004</t>
  </si>
  <si>
    <t>0.152124212180571</t>
  </si>
  <si>
    <t>1065.43864327478</t>
  </si>
  <si>
    <t>0.15227159212208</t>
  </si>
  <si>
    <t>1065.03156159272</t>
  </si>
  <si>
    <t>0.152428976034053</t>
  </si>
  <si>
    <t>1065.3883667169</t>
  </si>
  <si>
    <t>0.152588473910656</t>
  </si>
  <si>
    <t>1065.49842238535</t>
  </si>
  <si>
    <t>0.152738323563487</t>
  </si>
  <si>
    <t>1064.9703641706</t>
  </si>
  <si>
    <t>0.152885013566312</t>
  </si>
  <si>
    <t>1064.94615194469</t>
  </si>
  <si>
    <t>0.153033759894858</t>
  </si>
  <si>
    <t>1064.78916935513</t>
  </si>
  <si>
    <t>0.153184152116195</t>
  </si>
  <si>
    <t>1064.63573885402</t>
  </si>
  <si>
    <t>0.153334611602542</t>
  </si>
  <si>
    <t>1064.54133982407</t>
  </si>
  <si>
    <t>0.153483091372654</t>
  </si>
  <si>
    <t>1064.31654476973</t>
  </si>
  <si>
    <t>0.153631758756166</t>
  </si>
  <si>
    <t>1063.94274291636</t>
  </si>
  <si>
    <t>0.153771140561361</t>
  </si>
  <si>
    <t>1064.45537263514</t>
  </si>
  <si>
    <t>0.153924915189908</t>
  </si>
  <si>
    <t>1064.76381420291</t>
  </si>
  <si>
    <t>0.154079644134102</t>
  </si>
  <si>
    <t>1064.06258686958</t>
  </si>
  <si>
    <t>0.15421995132977</t>
  </si>
  <si>
    <t>1064.18352827296</t>
  </si>
  <si>
    <t>0.154362902528077</t>
  </si>
  <si>
    <t>1064.16041605242</t>
  </si>
  <si>
    <t>0.15451912976476</t>
  </si>
  <si>
    <t>1064.0842970024</t>
  </si>
  <si>
    <t>0.154667653187645</t>
  </si>
  <si>
    <t>1064.13920346512</t>
  </si>
  <si>
    <t>0.154815326893366</t>
  </si>
  <si>
    <t>1063.89728602482</t>
  </si>
  <si>
    <t>0.154958811178144</t>
  </si>
  <si>
    <t>1064.34559362063</t>
  </si>
  <si>
    <t>0.155103371463709</t>
  </si>
  <si>
    <t>1063.70030230576</t>
  </si>
  <si>
    <t>0.155256393172623</t>
  </si>
  <si>
    <t>1064.00162556682</t>
  </si>
  <si>
    <t>0.155408135764776</t>
  </si>
  <si>
    <t>1063.90003749117</t>
  </si>
  <si>
    <t>0.155557045368546</t>
  </si>
  <si>
    <t>1063.9507874701</t>
  </si>
  <si>
    <t>0.155702296318478</t>
  </si>
  <si>
    <t>1063.83633955146</t>
  </si>
  <si>
    <t>0.155844517784451</t>
  </si>
  <si>
    <t>1063.87366185693</t>
  </si>
  <si>
    <t>0.155999328499451</t>
  </si>
  <si>
    <t>1063.45878912637</t>
  </si>
  <si>
    <t>0.156149145955453</t>
  </si>
  <si>
    <t>1063.86314862567</t>
  </si>
  <si>
    <t>0.15630046439594</t>
  </si>
  <si>
    <t>1063.67057336743</t>
  </si>
  <si>
    <t>0.156449957991636</t>
  </si>
  <si>
    <t>1063.42438680618</t>
  </si>
  <si>
    <t>0.156595596925241</t>
  </si>
  <si>
    <t>1064.1694366188</t>
  </si>
  <si>
    <t>0.156754561052508</t>
  </si>
  <si>
    <t>1063.70826258116</t>
  </si>
  <si>
    <t>0.156911051983521</t>
  </si>
  <si>
    <t>1063.11159530448</t>
  </si>
  <si>
    <t>0.157043092370783</t>
  </si>
  <si>
    <t>1062.74472642453</t>
  </si>
  <si>
    <t>0.157186963707649</t>
  </si>
  <si>
    <t>1062.36031851207</t>
  </si>
  <si>
    <t>0.157331401208009</t>
  </si>
  <si>
    <t>1062.9342207011</t>
  </si>
  <si>
    <t>0.157480362855364</t>
  </si>
  <si>
    <t>1063.2524754406</t>
  </si>
  <si>
    <t>0.157632534047912</t>
  </si>
  <si>
    <t>1063.2615188094</t>
  </si>
  <si>
    <t>0.157779631406959</t>
  </si>
  <si>
    <t>1063.26356718369</t>
  </si>
  <si>
    <t>0.157919997036453</t>
  </si>
  <si>
    <t>1062.99730627056</t>
  </si>
  <si>
    <t>0.158075510558567</t>
  </si>
  <si>
    <t>1062.93234244005</t>
  </si>
  <si>
    <t>0.158228416062456</t>
  </si>
  <si>
    <t>1063.00168849436</t>
  </si>
  <si>
    <t>0.158376657912815</t>
  </si>
  <si>
    <t>1063.10796409832</t>
  </si>
  <si>
    <t>0.158529070311374</t>
  </si>
  <si>
    <t>1063.28485870729</t>
  </si>
  <si>
    <t>0.15867685039973</t>
  </si>
  <si>
    <t>1062.92180786979</t>
  </si>
  <si>
    <t>0.158823625391164</t>
  </si>
  <si>
    <t>1062.60970578116</t>
  </si>
  <si>
    <t>0.158968392745146</t>
  </si>
  <si>
    <t>1062.54640610312</t>
  </si>
  <si>
    <t>0.159122939079896</t>
  </si>
  <si>
    <t>1062.20947348677</t>
  </si>
  <si>
    <t>0.159268834560143</t>
  </si>
  <si>
    <t>1062.26222911113</t>
  </si>
  <si>
    <t>0.159411651524608</t>
  </si>
  <si>
    <t>1062.46553877172</t>
  </si>
  <si>
    <t>0.159556621597926</t>
  </si>
  <si>
    <t>1062.52214716902</t>
  </si>
  <si>
    <t>0.159712545679376</t>
  </si>
  <si>
    <t>1062.35344445186</t>
  </si>
  <si>
    <t>0.159856579190769</t>
  </si>
  <si>
    <t>1062.07022875586</t>
  </si>
  <si>
    <t>0.160004560053013</t>
  </si>
  <si>
    <t>1061.73760847744</t>
  </si>
  <si>
    <t>0.160149464041593</t>
  </si>
  <si>
    <t>1061.41305077343</t>
  </si>
  <si>
    <t>0.160286869333902</t>
  </si>
  <si>
    <t>1061.36262085933</t>
  </si>
  <si>
    <t>0.160432307550001</t>
  </si>
  <si>
    <t>1062.01181472901</t>
  </si>
  <si>
    <t>0.160584664763693</t>
  </si>
  <si>
    <t>1062.37102258028</t>
  </si>
  <si>
    <t>0.1607374051991</t>
  </si>
  <si>
    <t>1061.99574553328</t>
  </si>
  <si>
    <t>0.160884948527005</t>
  </si>
  <si>
    <t>1062.07277909234</t>
  </si>
  <si>
    <t>0.16103386740125</t>
  </si>
  <si>
    <t>1061.82667146851</t>
  </si>
  <si>
    <t>0.161184042301901</t>
  </si>
  <si>
    <t>1062.02593879346</t>
  </si>
  <si>
    <t>0.16133443242219</t>
  </si>
  <si>
    <t>1062.31219468802</t>
  </si>
  <si>
    <t>0.161486553207856</t>
  </si>
  <si>
    <t>1062.44981241357</t>
  </si>
  <si>
    <t>0.161639859145627</t>
  </si>
  <si>
    <t>1062.33936179119</t>
  </si>
  <si>
    <t>0.161794191247346</t>
  </si>
  <si>
    <t>1062.35599137467</t>
  </si>
  <si>
    <t>0.161955014337264</t>
  </si>
  <si>
    <t>1061.98892859237</t>
  </si>
  <si>
    <t>0.162111683553934</t>
  </si>
  <si>
    <t>1062.06409518876</t>
  </si>
  <si>
    <t>0.162265428174744</t>
  </si>
  <si>
    <t>1061.51459354745</t>
  </si>
  <si>
    <t>0.162405403120825</t>
  </si>
  <si>
    <t>1061.21929977352</t>
  </si>
  <si>
    <t>0.162550800734314</t>
  </si>
  <si>
    <t>1061.18836796468</t>
  </si>
  <si>
    <t>0.162703468729138</t>
  </si>
  <si>
    <t>1060.55719105796</t>
  </si>
  <si>
    <t>0.162857429050666</t>
  </si>
  <si>
    <t>1061.28519002357</t>
  </si>
  <si>
    <t>0.163012423947593</t>
  </si>
  <si>
    <t>1060.96515791551</t>
  </si>
  <si>
    <t>0.163144155668761</t>
  </si>
  <si>
    <t>1060.79048487911</t>
  </si>
  <si>
    <t>0.163288150629833</t>
  </si>
  <si>
    <t>1061.0907062978</t>
  </si>
  <si>
    <t>0.163441328934482</t>
  </si>
  <si>
    <t>1060.40083610762</t>
  </si>
  <si>
    <t>0.163593436004077</t>
  </si>
  <si>
    <t>1060.62719192935</t>
  </si>
  <si>
    <t>0.163741280050719</t>
  </si>
  <si>
    <t>1060.58330155976</t>
  </si>
  <si>
    <t>0.163883420218402</t>
  </si>
  <si>
    <t>1060.3310365253</t>
  </si>
  <si>
    <t>0.164021103873349</t>
  </si>
  <si>
    <t>1060.38837471852</t>
  </si>
  <si>
    <t>0.164170415952156</t>
  </si>
  <si>
    <t>1060.71713652871</t>
  </si>
  <si>
    <t>0.164325009943179</t>
  </si>
  <si>
    <t>1060.92026824268</t>
  </si>
  <si>
    <t>0.164489238641839</t>
  </si>
  <si>
    <t>1060.81336789071</t>
  </si>
  <si>
    <t>0.164631381160497</t>
  </si>
  <si>
    <t>1060.97714743095</t>
  </si>
  <si>
    <t>0.164776643092261</t>
  </si>
  <si>
    <t>1061.10368338887</t>
  </si>
  <si>
    <t>0.164926809818846</t>
  </si>
  <si>
    <t>1060.97150692397</t>
  </si>
  <si>
    <t>0.165094107950357</t>
  </si>
  <si>
    <t>1060.51759617778</t>
  </si>
  <si>
    <t>0.165251578925115</t>
  </si>
  <si>
    <t>1060.23302488793</t>
  </si>
  <si>
    <t>0.165397480948067</t>
  </si>
  <si>
    <t>1059.93546758342</t>
  </si>
  <si>
    <t>0.165532361683041</t>
  </si>
  <si>
    <t>1059.60918700063</t>
  </si>
  <si>
    <t>0.165679820729185</t>
  </si>
  <si>
    <t>1059.76438821397</t>
  </si>
  <si>
    <t>0.165830631044558</t>
  </si>
  <si>
    <t>1059.86438211742</t>
  </si>
  <si>
    <t>0.165988331226275</t>
  </si>
  <si>
    <t>1059.81059568188</t>
  </si>
  <si>
    <t>0.166136097719749</t>
  </si>
  <si>
    <t>1059.54633083052</t>
  </si>
  <si>
    <t>0.166274723581297</t>
  </si>
  <si>
    <t>1059.13925563745</t>
  </si>
  <si>
    <t>0.166417903792157</t>
  </si>
  <si>
    <t>1058.98925288907</t>
  </si>
  <si>
    <t>0.166557525415923</t>
  </si>
  <si>
    <t>1059.39659401826</t>
  </si>
  <si>
    <t>0.166710676767025</t>
  </si>
  <si>
    <t>1059.07795607762</t>
  </si>
  <si>
    <t>0.166858119814403</t>
  </si>
  <si>
    <t>1059.43998623281</t>
  </si>
  <si>
    <t>0.167010249895039</t>
  </si>
  <si>
    <t>1059.54223317574</t>
  </si>
  <si>
    <t>0.167155994063747</t>
  </si>
  <si>
    <t>1059.48170476905</t>
  </si>
  <si>
    <t>0.167306739506569</t>
  </si>
  <si>
    <t>1059.43203738284</t>
  </si>
  <si>
    <t>0.167452519246025</t>
  </si>
  <si>
    <t>1059.07642433244</t>
  </si>
  <si>
    <t>0.167603495662328</t>
  </si>
  <si>
    <t>1058.59417201149</t>
  </si>
  <si>
    <t>0.167746859820134</t>
  </si>
  <si>
    <t>1058.07928847606</t>
  </si>
  <si>
    <t>0.167876128847476</t>
  </si>
  <si>
    <t>1058.22952224307</t>
  </si>
  <si>
    <t>0.16802299668938</t>
  </si>
  <si>
    <t>1058.99209960779</t>
  </si>
  <si>
    <t>0.168177242272914</t>
  </si>
  <si>
    <t>1059.2193572078</t>
  </si>
  <si>
    <t>0.168330982008632</t>
  </si>
  <si>
    <t>1059.18497579019</t>
  </si>
  <si>
    <t>0.168485927666948</t>
  </si>
  <si>
    <t>1059.50562302012</t>
  </si>
  <si>
    <t>0.168638213561699</t>
  </si>
  <si>
    <t>1059.25025073189</t>
  </si>
  <si>
    <t>0.168785461203184</t>
  </si>
  <si>
    <t>1059.27269581632</t>
  </si>
  <si>
    <t>0.168936934597985</t>
  </si>
  <si>
    <t>1058.87145806973</t>
  </si>
  <si>
    <t>0.169092051825081</t>
  </si>
  <si>
    <t>1058.73976258418</t>
  </si>
  <si>
    <t>0.169250103503558</t>
  </si>
  <si>
    <t>1058.79484512023</t>
  </si>
  <si>
    <t>0.169400631897344</t>
  </si>
  <si>
    <t>1058.42978536755</t>
  </si>
  <si>
    <t>0.169543286662382</t>
  </si>
  <si>
    <t>1058.36771147907</t>
  </si>
  <si>
    <t>0.169683956150744</t>
  </si>
  <si>
    <t>1058.56184565762</t>
  </si>
  <si>
    <t>0.169839203132468</t>
  </si>
  <si>
    <t>1058.37480558908</t>
  </si>
  <si>
    <t>0.170004453825612</t>
  </si>
  <si>
    <t>1058.38813948432</t>
  </si>
  <si>
    <t>0.170158541404153</t>
  </si>
  <si>
    <t>1058.07468403066</t>
  </si>
  <si>
    <t>0.170302855443886</t>
  </si>
  <si>
    <t>1058.25112610587</t>
  </si>
  <si>
    <t>0.170449288798759</t>
  </si>
  <si>
    <t>1057.94725182892</t>
  </si>
  <si>
    <t>0.1705936099673</t>
  </si>
  <si>
    <t>1057.72399097057</t>
  </si>
  <si>
    <t>0.170744947143151</t>
  </si>
  <si>
    <t>1057.70961112516</t>
  </si>
  <si>
    <t>0.170905367612273</t>
  </si>
  <si>
    <t>1058.60248332108</t>
  </si>
  <si>
    <t>0.171071413522237</t>
  </si>
  <si>
    <t>1058.24788931095</t>
  </si>
  <si>
    <t>0.171217440098045</t>
  </si>
  <si>
    <t>1058.16806706745</t>
  </si>
  <si>
    <t>0.171365004850875</t>
  </si>
  <si>
    <t>1057.60501048856</t>
  </si>
  <si>
    <t>0.171508183837523</t>
  </si>
  <si>
    <t>1056.90896565778</t>
  </si>
  <si>
    <t>0.171662000680919</t>
  </si>
  <si>
    <t>1056.93096495943</t>
  </si>
  <si>
    <t>0.171813676259679</t>
  </si>
  <si>
    <t>1056.87445251743</t>
  </si>
  <si>
    <t>0.171954291422338</t>
  </si>
  <si>
    <t>1057.33163610452</t>
  </si>
  <si>
    <t>0.172099395263893</t>
  </si>
  <si>
    <t>1057.38256316841</t>
  </si>
  <si>
    <t>0.172242086964814</t>
  </si>
  <si>
    <t>1057.07962857168</t>
  </si>
  <si>
    <t>0.172402855339933</t>
  </si>
  <si>
    <t>1056.76233248936</t>
  </si>
  <si>
    <t>0.172559551949348</t>
  </si>
  <si>
    <t>1057.08637134146</t>
  </si>
  <si>
    <t>0.17271091515359</t>
  </si>
  <si>
    <t>1056.53149609052</t>
  </si>
  <si>
    <t>0.172860522003102</t>
  </si>
  <si>
    <t>1056.85054862344</t>
  </si>
  <si>
    <t>0.173001616746275</t>
  </si>
  <si>
    <t>1056.39428304243</t>
  </si>
  <si>
    <t>0.17314024389817</t>
  </si>
  <si>
    <t>1056.50508127891</t>
  </si>
  <si>
    <t>0.173298675174649</t>
  </si>
  <si>
    <t>1056.61974999138</t>
  </si>
  <si>
    <t>0.173454781252868</t>
  </si>
  <si>
    <t>1056.03509766515</t>
  </si>
  <si>
    <t>0.173602985083367</t>
  </si>
  <si>
    <t>1055.77953518776</t>
  </si>
  <si>
    <t>0.173744904675313</t>
  </si>
  <si>
    <t>1055.88667927652</t>
  </si>
  <si>
    <t>0.173878693615375</t>
  </si>
  <si>
    <t>1056.05248079759</t>
  </si>
  <si>
    <t>0.174029544271135</t>
  </si>
  <si>
    <t>1055.63194183355</t>
  </si>
  <si>
    <t>0.174180421077302</t>
  </si>
  <si>
    <t>1055.63236272629</t>
  </si>
  <si>
    <t>0.174328644540853</t>
  </si>
  <si>
    <t>1055.33097788237</t>
  </si>
  <si>
    <t>0.174477188256201</t>
  </si>
  <si>
    <t>1055.53886761726</t>
  </si>
  <si>
    <t>0.17461281498649</t>
  </si>
  <si>
    <t>1055.17202267874</t>
  </si>
  <si>
    <t>0.174751218977844</t>
  </si>
  <si>
    <t>1055.52967410447</t>
  </si>
  <si>
    <t>0.174897373833642</t>
  </si>
  <si>
    <t>1055.81067107246</t>
  </si>
  <si>
    <t>0.175053445549083</t>
  </si>
  <si>
    <t>1055.59756036073</t>
  </si>
  <si>
    <t>0.175207421557802</t>
  </si>
  <si>
    <t>1055.50428858785</t>
  </si>
  <si>
    <t>0.175351976005719</t>
  </si>
  <si>
    <t>1055.30214845471</t>
  </si>
  <si>
    <t>0.175491352193872</t>
  </si>
  <si>
    <t>1055.29755614538</t>
  </si>
  <si>
    <t>0.175637359858168</t>
  </si>
  <si>
    <t>1055.96662778809</t>
  </si>
  <si>
    <t>0.175795640158013</t>
  </si>
  <si>
    <t>1055.89016888395</t>
  </si>
  <si>
    <t>0.17595505723505</t>
  </si>
  <si>
    <t>1055.23196668245</t>
  </si>
  <si>
    <t>0.176107644987553</t>
  </si>
  <si>
    <t>1054.87009251911</t>
  </si>
  <si>
    <t>0.176255680690527</t>
  </si>
  <si>
    <t>1054.99508363015</t>
  </si>
  <si>
    <t>0.176406583099927</t>
  </si>
  <si>
    <t>1055.16753255509</t>
  </si>
  <si>
    <t>0.176553686636797</t>
  </si>
  <si>
    <t>1055.25357998696</t>
  </si>
  <si>
    <t>0.17670042707877</t>
  </si>
  <si>
    <t>1055.62043037067</t>
  </si>
  <si>
    <t>0.176864801536808</t>
  </si>
  <si>
    <t>1055.03877232779</t>
  </si>
  <si>
    <t>0.177016704386187</t>
  </si>
  <si>
    <t>1054.90225114472</t>
  </si>
  <si>
    <t>0.177169032728724</t>
  </si>
  <si>
    <t>1054.23029049706</t>
  </si>
  <si>
    <t>0.177310895666161</t>
  </si>
  <si>
    <t>1054.46034622564</t>
  </si>
  <si>
    <t>0.177458928839549</t>
  </si>
  <si>
    <t>1054.00243190639</t>
  </si>
  <si>
    <t>0.177603021751393</t>
  </si>
  <si>
    <t>1054.25312076311</t>
  </si>
  <si>
    <t>0.177746294751102</t>
  </si>
  <si>
    <t>1054.17619837623</t>
  </si>
  <si>
    <t>0.177902000451861</t>
  </si>
  <si>
    <t>1053.86151443935</t>
  </si>
  <si>
    <t>0.178054213494175</t>
  </si>
  <si>
    <t>1053.3861174899</t>
  </si>
  <si>
    <t>0.178199331175962</t>
  </si>
  <si>
    <t>1053.31170866325</t>
  </si>
  <si>
    <t>0.178346307607712</t>
  </si>
  <si>
    <t>1053.20384589794</t>
  </si>
  <si>
    <t>0.178482666910204</t>
  </si>
  <si>
    <t>1053.66314760496</t>
  </si>
  <si>
    <t>0.178628929842992</t>
  </si>
  <si>
    <t>1053.27305117262</t>
  </si>
  <si>
    <t>0.178774781956293</t>
  </si>
  <si>
    <t>1053.45171768475</t>
  </si>
  <si>
    <t>0.178924175557005</t>
  </si>
  <si>
    <t>1053.49465196257</t>
  </si>
  <si>
    <t>0.179082364754853</t>
  </si>
  <si>
    <t>1053.55005309554</t>
  </si>
  <si>
    <t>0.179231907041112</t>
  </si>
  <si>
    <t>1053.94872064526</t>
  </si>
  <si>
    <t>0.179384851866271</t>
  </si>
  <si>
    <t>1054.08345022454</t>
  </si>
  <si>
    <t>0.179542832016853</t>
  </si>
  <si>
    <t>1053.88174746678</t>
  </si>
  <si>
    <t>0.179696624162415</t>
  </si>
  <si>
    <t>1053.84185842331</t>
  </si>
  <si>
    <t>0.179852298812638</t>
  </si>
  <si>
    <t>1052.81545484292</t>
  </si>
  <si>
    <t>0.180001862147415</t>
  </si>
  <si>
    <t>1052.62877177702</t>
  </si>
  <si>
    <t>0.180144850228995</t>
  </si>
  <si>
    <t>1052.36572713591</t>
  </si>
  <si>
    <t>0.180286204176163</t>
  </si>
  <si>
    <t>1052.44295138318</t>
  </si>
  <si>
    <t>0.180432397967721</t>
  </si>
  <si>
    <t>1052.22028761402</t>
  </si>
  <si>
    <t>0.180569396366183</t>
  </si>
  <si>
    <t>1052.03946622068</t>
  </si>
  <si>
    <t>0.180722311684106</t>
  </si>
  <si>
    <t>1051.95250108769</t>
  </si>
  <si>
    <t>0.180876155723265</t>
  </si>
  <si>
    <t>1052.02315974793</t>
  </si>
  <si>
    <t>0.181020747931345</t>
  </si>
  <si>
    <t>1052.11836015906</t>
  </si>
  <si>
    <t>0.181166950934258</t>
  </si>
  <si>
    <t>1052.07473408584</t>
  </si>
  <si>
    <t>0.18131107381713</t>
  </si>
  <si>
    <t>1052.15783952348</t>
  </si>
  <si>
    <t>0.181457719865944</t>
  </si>
  <si>
    <t>1051.83156359075</t>
  </si>
  <si>
    <t>0.1816129264577</t>
  </si>
  <si>
    <t>1051.93203155015</t>
  </si>
  <si>
    <t>0.181764731045087</t>
  </si>
  <si>
    <t>1051.38882115189</t>
  </si>
  <si>
    <t>0.181911388228881</t>
  </si>
  <si>
    <t>1051.27878095843</t>
  </si>
  <si>
    <t>0.182047582527862</t>
  </si>
  <si>
    <t>1051.40581833053</t>
  </si>
  <si>
    <t>0.182183661254339</t>
  </si>
  <si>
    <t>1050.90057857218</t>
  </si>
  <si>
    <t>0.182320769205187</t>
  </si>
  <si>
    <t>1051.65862836805</t>
  </si>
  <si>
    <t>0.182481409572482</t>
  </si>
  <si>
    <t>1051.42101843159</t>
  </si>
  <si>
    <t>0.182634265573797</t>
  </si>
  <si>
    <t>1051.55689221201</t>
  </si>
  <si>
    <t>0.182792295664396</t>
  </si>
  <si>
    <t>1051.42555207454</t>
  </si>
  <si>
    <t>0.182934652643905</t>
  </si>
  <si>
    <t>1051.31536660465</t>
  </si>
  <si>
    <t>0.18307916080344</t>
  </si>
  <si>
    <t>1051.1474078838</t>
  </si>
  <si>
    <t>0.183224908111402</t>
  </si>
  <si>
    <t>1051.37431951567</t>
  </si>
  <si>
    <t>0.183369878273723</t>
  </si>
  <si>
    <t>1050.65325343949</t>
  </si>
  <si>
    <t>0.183521086954181</t>
  </si>
  <si>
    <t>1050.86486988617</t>
  </si>
  <si>
    <t>0.183669773219953</t>
  </si>
  <si>
    <t>1050.73382969824</t>
  </si>
  <si>
    <t>0.183818999213676</t>
  </si>
  <si>
    <t>1050.28266172399</t>
  </si>
  <si>
    <t>0.183963360272903</t>
  </si>
  <si>
    <t>1049.84208582532</t>
  </si>
  <si>
    <t>0.184095769779698</t>
  </si>
  <si>
    <t>1049.85363350584</t>
  </si>
  <si>
    <t>0.184234165073238</t>
  </si>
  <si>
    <t>1050.17657338954</t>
  </si>
  <si>
    <t>0.184385611020817</t>
  </si>
  <si>
    <t>1050.37587486848</t>
  </si>
  <si>
    <t>0.184533239544196</t>
  </si>
  <si>
    <t>1049.99890005921</t>
  </si>
  <si>
    <t>0.18468678880618</t>
  </si>
  <si>
    <t>1049.92838233261</t>
  </si>
  <si>
    <t>0.184831489147834</t>
  </si>
  <si>
    <t>1050.25520079381</t>
  </si>
  <si>
    <t>0.18497963239804</t>
  </si>
  <si>
    <t>1050.09449628651</t>
  </si>
  <si>
    <t>0.185127018473865</t>
  </si>
  <si>
    <t>1050.19752612821</t>
  </si>
  <si>
    <t>0.185271326260933</t>
  </si>
  <si>
    <t>1049.58138216158</t>
  </si>
  <si>
    <t>0.185414955577182</t>
  </si>
  <si>
    <t>1049.56093662988</t>
  </si>
  <si>
    <t>0.185564830358446</t>
  </si>
  <si>
    <t>1049.50403442636</t>
  </si>
  <si>
    <t>0.185711994857659</t>
  </si>
  <si>
    <t>1049.55507817077</t>
  </si>
  <si>
    <t>0.185866310604594</t>
  </si>
  <si>
    <t>1050.05069135385</t>
  </si>
  <si>
    <t>0.186025435258998</t>
  </si>
  <si>
    <t>1050.10884293093</t>
  </si>
  <si>
    <t>0.186173208473135</t>
  </si>
  <si>
    <t>1049.73626458218</t>
  </si>
  <si>
    <t>0.186323935916083</t>
  </si>
  <si>
    <t>1049.78914427709</t>
  </si>
  <si>
    <t>0.186475278274118</t>
  </si>
  <si>
    <t>1049.05374828246</t>
  </si>
  <si>
    <t>0.186621767918351</t>
  </si>
  <si>
    <t>1048.2507600732</t>
  </si>
  <si>
    <t>0.186773354957492</t>
  </si>
  <si>
    <t>1048.98553835108</t>
  </si>
  <si>
    <t>0.186925691558865</t>
  </si>
  <si>
    <t>1049.36207949689</t>
  </si>
  <si>
    <t>0.187081422907429</t>
  </si>
  <si>
    <t>1049.41345551184</t>
  </si>
  <si>
    <t>0.187225178647457</t>
  </si>
  <si>
    <t>1049.24553818622</t>
  </si>
  <si>
    <t>0.187377620182652</t>
  </si>
  <si>
    <t>1048.8411429872</t>
  </si>
  <si>
    <t>0.187533339078225</t>
  </si>
  <si>
    <t>1048.92443949949</t>
  </si>
  <si>
    <t>0.187689130222644</t>
  </si>
  <si>
    <t>1048.58344522523</t>
  </si>
  <si>
    <t>0.187836754288945</t>
  </si>
  <si>
    <t>1048.3042817626</t>
  </si>
  <si>
    <t>0.187990414546537</t>
  </si>
  <si>
    <t>1048.51853672796</t>
  </si>
  <si>
    <t>0.188138206336281</t>
  </si>
  <si>
    <t>1047.85580599664</t>
  </si>
  <si>
    <t>0.188285069789292</t>
  </si>
  <si>
    <t>1047.290125357</t>
  </si>
  <si>
    <t>0.188422674426153</t>
  </si>
  <si>
    <t>1047.58790330852</t>
  </si>
  <si>
    <t>0.188566835231297</t>
  </si>
  <si>
    <t>1047.24792649</t>
  </si>
  <si>
    <t>0.188709818517761</t>
  </si>
  <si>
    <t>1047.60484874478</t>
  </si>
  <si>
    <t>0.188864462698642</t>
  </si>
  <si>
    <t>1047.4164062742</t>
  </si>
  <si>
    <t>0.189010159511655</t>
  </si>
  <si>
    <t>1047.43907121296</t>
  </si>
  <si>
    <t>0.189157685057202</t>
  </si>
  <si>
    <t>1047.42214344496</t>
  </si>
  <si>
    <t>0.18930410986017</t>
  </si>
  <si>
    <t>1046.84564693067</t>
  </si>
  <si>
    <t>0.189449087635347</t>
  </si>
  <si>
    <t>1047.10017140738</t>
  </si>
  <si>
    <t>0.189599476253167</t>
  </si>
  <si>
    <t>1046.76836760372</t>
  </si>
  <si>
    <t>0.189744411216207</t>
  </si>
  <si>
    <t>1046.78937778005</t>
  </si>
  <si>
    <t>0.189891712951249</t>
  </si>
  <si>
    <t>1047.017976062</t>
  </si>
  <si>
    <t>0.19003851165677</t>
  </si>
  <si>
    <t>1047.1051456922</t>
  </si>
  <si>
    <t>0.19019079446503</t>
  </si>
  <si>
    <t>1046.67561646517</t>
  </si>
  <si>
    <t>0.19033021589607</t>
  </si>
  <si>
    <t>1046.63780487977</t>
  </si>
  <si>
    <t>0.190478297395168</t>
  </si>
  <si>
    <t>1046.18346427597</t>
  </si>
  <si>
    <t>0.190620969170634</t>
  </si>
  <si>
    <t>1046.44757717674</t>
  </si>
  <si>
    <t>0.190778338661261</t>
  </si>
  <si>
    <t>1046.81869593315</t>
  </si>
  <si>
    <t>0.190924507133514</t>
  </si>
  <si>
    <t>1046.49733418318</t>
  </si>
  <si>
    <t>0.19106976950047</t>
  </si>
  <si>
    <t>1046.20623876711</t>
  </si>
  <si>
    <t>0.191211433841029</t>
  </si>
  <si>
    <t>1045.94658764686</t>
  </si>
  <si>
    <t>0.191362096057635</t>
  </si>
  <si>
    <t>1045.97900707841</t>
  </si>
  <si>
    <t>0.191517099652736</t>
  </si>
  <si>
    <t>1046.0062259541</t>
  </si>
  <si>
    <t>0.19166786960402</t>
  </si>
  <si>
    <t>1045.62333504142</t>
  </si>
  <si>
    <t>0.19181465767263</t>
  </si>
  <si>
    <t>1045.92267439582</t>
  </si>
  <si>
    <t>0.191967304403129</t>
  </si>
  <si>
    <t>1045.81701741726</t>
  </si>
  <si>
    <t>0.192112569088915</t>
  </si>
  <si>
    <t>1045.22294647092</t>
  </si>
  <si>
    <t>0.192256141341941</t>
  </si>
  <si>
    <t>1044.89399881954</t>
  </si>
  <si>
    <t>0.192399500904974</t>
  </si>
  <si>
    <t>1044.86145522814</t>
  </si>
  <si>
    <t>0.19254501010929</t>
  </si>
  <si>
    <t>1044.83621397339</t>
  </si>
  <si>
    <t>0.192694818676478</t>
  </si>
  <si>
    <t>1045.07628046901</t>
  </si>
  <si>
    <t>0.192839881728533</t>
  </si>
  <si>
    <t>1044.93497595113</t>
  </si>
  <si>
    <t>0.192984463018094</t>
  </si>
  <si>
    <t>1044.94747059525</t>
  </si>
  <si>
    <t>0.193135261434298</t>
  </si>
  <si>
    <t>1044.90905171874</t>
  </si>
  <si>
    <t>0.1932848856545</t>
  </si>
  <si>
    <t>1044.58741203264</t>
  </si>
  <si>
    <t>0.193427407046325</t>
  </si>
  <si>
    <t>1044.36542359296</t>
  </si>
  <si>
    <t>0.19357612422102</t>
  </si>
  <si>
    <t>1043.97902337605</t>
  </si>
  <si>
    <t>0.193716494017405</t>
  </si>
  <si>
    <t>1043.98101797193</t>
  </si>
  <si>
    <t>0.193863288580689</t>
  </si>
  <si>
    <t>1044.39024395006</t>
  </si>
  <si>
    <t>0.194011768357783</t>
  </si>
  <si>
    <t>1044.00673924436</t>
  </si>
  <si>
    <t>0.194155221611214</t>
  </si>
  <si>
    <t>1043.46476346091</t>
  </si>
  <si>
    <t>0.194296142812101</t>
  </si>
  <si>
    <t>1043.88197051926</t>
  </si>
  <si>
    <t>0.19444678191105</t>
  </si>
  <si>
    <t>1043.60637923771</t>
  </si>
  <si>
    <t>0.194598624933451</t>
  </si>
  <si>
    <t>1044.0108957578</t>
  </si>
  <si>
    <t>0.194754833196125</t>
  </si>
  <si>
    <t>1043.67245188789</t>
  </si>
  <si>
    <t>0.194895229247649</t>
  </si>
  <si>
    <t>1043.32929426919</t>
  </si>
  <si>
    <t>0.195035586433459</t>
  </si>
  <si>
    <t>1043.12755188257</t>
  </si>
  <si>
    <t>0.195179256841487</t>
  </si>
  <si>
    <t>1042.58367966938</t>
  </si>
  <si>
    <t>0.195324438764284</t>
  </si>
  <si>
    <t>1042.978351965</t>
  </si>
  <si>
    <t>0.195475018797995</t>
  </si>
  <si>
    <t>1043.38916409748</t>
  </si>
  <si>
    <t>0.195627682232988</t>
  </si>
  <si>
    <t>1043.52352011617</t>
  </si>
  <si>
    <t>0.195776110859445</t>
  </si>
  <si>
    <t>1043.37703843963</t>
  </si>
  <si>
    <t>0.195919866328038</t>
  </si>
  <si>
    <t>1043.51431397775</t>
  </si>
  <si>
    <t>0.196072557559242</t>
  </si>
  <si>
    <t>1043.53002553346</t>
  </si>
  <si>
    <t>0.196230353553428</t>
  </si>
  <si>
    <t>1043.27017088705</t>
  </si>
  <si>
    <t>0.196385771470159</t>
  </si>
  <si>
    <t>1043.09359480183</t>
  </si>
  <si>
    <t>0.196538716770937</t>
  </si>
  <si>
    <t>1042.7832167206</t>
  </si>
  <si>
    <t>0.196688922825521</t>
  </si>
  <si>
    <t>1042.88484171986</t>
  </si>
  <si>
    <t>0.196842739668103</t>
  </si>
  <si>
    <t>1042.65268456996</t>
  </si>
  <si>
    <t>0.196995959257517</t>
  </si>
  <si>
    <t>1042.59003925247</t>
  </si>
  <si>
    <t>0.197147492195402</t>
  </si>
  <si>
    <t>1042.33879331727</t>
  </si>
  <si>
    <t>0.197302003086613</t>
  </si>
  <si>
    <t>1042.11207265345</t>
  </si>
  <si>
    <t>0.197452381211161</t>
  </si>
  <si>
    <t>1041.63489134494</t>
  </si>
  <si>
    <t>0.197595895925855</t>
  </si>
  <si>
    <t>1041.34841862517</t>
  </si>
  <si>
    <t>0.197746611976529</t>
  </si>
  <si>
    <t>1041.21310222708</t>
  </si>
  <si>
    <t>0.197893905031456</t>
  </si>
  <si>
    <t>1041.4315254672</t>
  </si>
  <si>
    <t>0.198041749392297</t>
  </si>
  <si>
    <t>1040.86816244982</t>
  </si>
  <si>
    <t>0.198188750722629</t>
  </si>
  <si>
    <t>1041.10971915995</t>
  </si>
  <si>
    <t>0.198330937762829</t>
  </si>
  <si>
    <t>1041.05335103882</t>
  </si>
  <si>
    <t>0.198477476576108</t>
  </si>
  <si>
    <t>1041.27456420813</t>
  </si>
  <si>
    <t>0.198630732245811</t>
  </si>
  <si>
    <t>1041.21790795076</t>
  </si>
  <si>
    <t>0.198784537004318</t>
  </si>
  <si>
    <t>1041.05703103932</t>
  </si>
  <si>
    <t>0.198938165448069</t>
  </si>
  <si>
    <t>1040.20457296309</t>
  </si>
  <si>
    <t>0.199079291973149</t>
  </si>
  <si>
    <t>1039.87886770484</t>
  </si>
  <si>
    <t>0.199220169655183</t>
  </si>
  <si>
    <t>1039.94411139193</t>
  </si>
  <si>
    <t>0.199369744614038</t>
  </si>
  <si>
    <t>1040.26837117368</t>
  </si>
  <si>
    <t>0.199515997789452</t>
  </si>
  <si>
    <t>1040.84934474613</t>
  </si>
  <si>
    <t>0.199670448283521</t>
  </si>
  <si>
    <t>1040.19654265289</t>
  </si>
  <si>
    <t>0.199817877716741</t>
  </si>
  <si>
    <t>1040.14890427352</t>
  </si>
  <si>
    <t>0.199969384002184</t>
  </si>
  <si>
    <t>1039.79017544223</t>
  </si>
  <si>
    <t>0.200119113791775</t>
  </si>
  <si>
    <t>1039.54570857467</t>
  </si>
  <si>
    <t>0.20026007376383</t>
  </si>
  <si>
    <t>1039.21507414602</t>
  </si>
  <si>
    <t>0.200395640367656</t>
  </si>
  <si>
    <t>1039.0461186987</t>
  </si>
  <si>
    <t>0.200539990783146</t>
  </si>
  <si>
    <t>1038.88098961639</t>
  </si>
  <si>
    <t>0.200684415612199</t>
  </si>
  <si>
    <t>1039.36466039319</t>
  </si>
  <si>
    <t>0.200838704809436</t>
  </si>
  <si>
    <t>1039.06150028969</t>
  </si>
  <si>
    <t>0.200995483962728</t>
  </si>
  <si>
    <t>1039.16667914123</t>
  </si>
  <si>
    <t>0.201146069363873</t>
  </si>
  <si>
    <t>1039.10545004564</t>
  </si>
  <si>
    <t>0.201290977832149</t>
  </si>
  <si>
    <t>1038.85477638668</t>
  </si>
  <si>
    <t>0.201429716913533</t>
  </si>
  <si>
    <t>1038.95518364707</t>
  </si>
  <si>
    <t>0.201571805528772</t>
  </si>
  <si>
    <t>1038.49300964822</t>
  </si>
  <si>
    <t>0.201713093730764</t>
  </si>
  <si>
    <t>1038.08567013542</t>
  </si>
  <si>
    <t>0.201865264524993</t>
  </si>
  <si>
    <t>1038.28398733697</t>
  </si>
  <si>
    <t>0.202017240949497</t>
  </si>
  <si>
    <t>1038.02225332473</t>
  </si>
  <si>
    <t>0.202174177837132</t>
  </si>
  <si>
    <t>1037.89823027669</t>
  </si>
  <si>
    <t>0.202314430038467</t>
  </si>
  <si>
    <t>1038.04403977023</t>
  </si>
  <si>
    <t>0.202460158130508</t>
  </si>
  <si>
    <t>1037.63286578463</t>
  </si>
  <si>
    <t>0.202608184566302</t>
  </si>
  <si>
    <t>1037.53897063927</t>
  </si>
  <si>
    <t>0.202748128781538</t>
  </si>
  <si>
    <t>1037.54325569182</t>
  </si>
  <si>
    <t>0.20289567542829</t>
  </si>
  <si>
    <t>1037.64451802949</t>
  </si>
  <si>
    <t>0.203045936972341</t>
  </si>
  <si>
    <t>1037.48796791074</t>
  </si>
  <si>
    <t>0.203190361394727</t>
  </si>
  <si>
    <t>1037.63844717562</t>
  </si>
  <si>
    <t>0.203341851599983</t>
  </si>
  <si>
    <t>1037.95045640308</t>
  </si>
  <si>
    <t>0.20349367978499</t>
  </si>
  <si>
    <t>1037.53593252703</t>
  </si>
  <si>
    <t>0.203639976879963</t>
  </si>
  <si>
    <t>1037.13373648157</t>
  </si>
  <si>
    <t>0.203791095146514</t>
  </si>
  <si>
    <t>1036.84461514179</t>
  </si>
  <si>
    <t>0.203932867644119</t>
  </si>
  <si>
    <t>1036.7621216415</t>
  </si>
  <si>
    <t>0.20408403658369</t>
  </si>
  <si>
    <t>1036.39689958925</t>
  </si>
  <si>
    <t>0.20422569163057</t>
  </si>
  <si>
    <t>1036.27393150115</t>
  </si>
  <si>
    <t>0.204368825992721</t>
  </si>
  <si>
    <t>1035.66916556433</t>
  </si>
  <si>
    <t>0.204515773165588</t>
  </si>
  <si>
    <t>1035.59902103905</t>
  </si>
  <si>
    <t>0.204655659412143</t>
  </si>
  <si>
    <t>1034.99920531938</t>
  </si>
  <si>
    <t>0.204796948944609</t>
  </si>
  <si>
    <t>1035.21547694853</t>
  </si>
  <si>
    <t>0.204940855157118</t>
  </si>
  <si>
    <t>1035.89010758943</t>
  </si>
  <si>
    <t>0.205091492493616</t>
  </si>
  <si>
    <t>1035.9642053453</t>
  </si>
  <si>
    <t>0.205235147735502</t>
  </si>
  <si>
    <t>1035.7001142687</t>
  </si>
  <si>
    <t>0.205379995802161</t>
  </si>
  <si>
    <t>1035.64599447203</t>
  </si>
  <si>
    <t>0.205526358449966</t>
  </si>
  <si>
    <t>1034.99050097278</t>
  </si>
  <si>
    <t>0.20567539124703</t>
  </si>
  <si>
    <t>1034.7776182577</t>
  </si>
  <si>
    <t>0.20582190018857</t>
  </si>
  <si>
    <t>1034.65810943852</t>
  </si>
  <si>
    <t>0.205962248132418</t>
  </si>
  <si>
    <t>1034.42611157017</t>
  </si>
  <si>
    <t>0.206104812075937</t>
  </si>
  <si>
    <t>1034.73311086783</t>
  </si>
  <si>
    <t>0.206246010684227</t>
  </si>
  <si>
    <t>1034.85167027667</t>
  </si>
  <si>
    <t>0.206395012040251</t>
  </si>
  <si>
    <t>1034.62163109717</t>
  </si>
  <si>
    <t>0.206539786903864</t>
  </si>
  <si>
    <t>1034.58986336324</t>
  </si>
  <si>
    <t>0.206685203555175</t>
  </si>
  <si>
    <t>1034.16399852263</t>
  </si>
  <si>
    <t>0.206829728154573</t>
  </si>
  <si>
    <t>1034.19161342642</t>
  </si>
  <si>
    <t>0.206975538044063</t>
  </si>
  <si>
    <t>1034.52669666654</t>
  </si>
  <si>
    <t>0.207128916491544</t>
  </si>
  <si>
    <t>1034.29339964856</t>
  </si>
  <si>
    <t>0.207281079189457</t>
  </si>
  <si>
    <t>1034.01241065472</t>
  </si>
  <si>
    <t>0.20742858298612</t>
  </si>
  <si>
    <t>1034.26713062843</t>
  </si>
  <si>
    <t>0.207579602816889</t>
  </si>
  <si>
    <t>1033.92754639769</t>
  </si>
  <si>
    <t>0.207732226598488</t>
  </si>
  <si>
    <t>1033.87286535728</t>
  </si>
  <si>
    <t>0.207873649534675</t>
  </si>
  <si>
    <t>1033.50413670304</t>
  </si>
  <si>
    <t>0.208021727816537</t>
  </si>
  <si>
    <t>1033.17719927267</t>
  </si>
  <si>
    <t>0.208168574096408</t>
  </si>
  <si>
    <t>1033.09799665781</t>
  </si>
  <si>
    <t>0.208312619820081</t>
  </si>
  <si>
    <t>1032.74530776114</t>
  </si>
  <si>
    <t>0.208464262288755</t>
  </si>
  <si>
    <t>1032.86443931538</t>
  </si>
  <si>
    <t>0.208607471663737</t>
  </si>
  <si>
    <t>1032.3995999419</t>
  </si>
  <si>
    <t>0.208747353643517</t>
  </si>
  <si>
    <t>1032.57743334027</t>
  </si>
  <si>
    <t>0.208903181275688</t>
  </si>
  <si>
    <t>1032.58744938633</t>
  </si>
  <si>
    <t>0.209046686738536</t>
  </si>
  <si>
    <t>1032.34684200415</t>
  </si>
  <si>
    <t>0.20918839612048</t>
  </si>
  <si>
    <t>1031.98435656583</t>
  </si>
  <si>
    <t>0.209331275211568</t>
  </si>
  <si>
    <t>1031.91363595486</t>
  </si>
  <si>
    <t>0.20947500250013</t>
  </si>
  <si>
    <t>1031.99302988928</t>
  </si>
  <si>
    <t>0.209626808656763</t>
  </si>
  <si>
    <t>1032.31737349734</t>
  </si>
  <si>
    <t>0.209784311505893</t>
  </si>
  <si>
    <t>1032.5539032828</t>
  </si>
  <si>
    <t>0.209939298182817</t>
  </si>
  <si>
    <t>1032.52614902297</t>
  </si>
  <si>
    <t>0.210097242472942</t>
  </si>
  <si>
    <t>1032.29455609292</t>
  </si>
  <si>
    <t>0.210253690110052</t>
  </si>
  <si>
    <t>1031.66930540245</t>
  </si>
  <si>
    <t>0.210403623643592</t>
  </si>
  <si>
    <t>1031.09888733265</t>
  </si>
  <si>
    <t>0.210553817637016</t>
  </si>
  <si>
    <t>1031.18358612575</t>
  </si>
  <si>
    <t>0.210701989955619</t>
  </si>
  <si>
    <t>1030.86984842973</t>
  </si>
  <si>
    <t>0.210849555759998</t>
  </si>
  <si>
    <t>1030.54073245079</t>
  </si>
  <si>
    <t>0.210994761883717</t>
  </si>
  <si>
    <t>1030.27760766961</t>
  </si>
  <si>
    <t>0.211139230572855</t>
  </si>
  <si>
    <t>1030.00853531137</t>
  </si>
  <si>
    <t>0.211293385413803</t>
  </si>
  <si>
    <t>1029.7701284015</t>
  </si>
  <si>
    <t>0.211434682568194</t>
  </si>
  <si>
    <t>1029.63068722338</t>
  </si>
  <si>
    <t>0.211578333996578</t>
  </si>
  <si>
    <t>1029.75595760161</t>
  </si>
  <si>
    <t>0.211726712565426</t>
  </si>
  <si>
    <t>1030.22205284802</t>
  </si>
  <si>
    <t>0.211876632635138</t>
  </si>
  <si>
    <t>1029.69268261011</t>
  </si>
  <si>
    <t>0.21202911057967</t>
  </si>
  <si>
    <t>1029.46241815586</t>
  </si>
  <si>
    <t>0.212175444938268</t>
  </si>
  <si>
    <t>1029.16499825459</t>
  </si>
  <si>
    <t>0.212321757886254</t>
  </si>
  <si>
    <t>1028.5338746462</t>
  </si>
  <si>
    <t>0.212466035006981</t>
  </si>
  <si>
    <t>1028.77106377712</t>
  </si>
  <si>
    <t>0.212610385433248</t>
  </si>
  <si>
    <t>1028.46969639701</t>
  </si>
  <si>
    <t>0.212749765098826</t>
  </si>
  <si>
    <t>1028.08593060731</t>
  </si>
  <si>
    <t>0.212892305651342</t>
  </si>
  <si>
    <t>1028.29066443319</t>
  </si>
  <si>
    <t>0.213038494942946</t>
  </si>
  <si>
    <t>1028.19728483435</t>
  </si>
  <si>
    <t>0.213184907433737</t>
  </si>
  <si>
    <t>1028.4941278897</t>
  </si>
  <si>
    <t>0.213338070110804</t>
  </si>
  <si>
    <t>1028.34179742741</t>
  </si>
  <si>
    <t>0.213485510761829</t>
  </si>
  <si>
    <t>1028.11756747115</t>
  </si>
  <si>
    <t>0.213627344741345</t>
  </si>
  <si>
    <t>1028.04774955846</t>
  </si>
  <si>
    <t>0.213773125796526</t>
  </si>
  <si>
    <t>1027.8375073969</t>
  </si>
  <si>
    <t>0.213919393177428</t>
  </si>
  <si>
    <t>1027.51366386951</t>
  </si>
  <si>
    <t>0.214065470000503</t>
  </si>
  <si>
    <t>1027.69333439021</t>
  </si>
  <si>
    <t>0.21421676888017</t>
  </si>
  <si>
    <t>1027.24714096753</t>
  </si>
  <si>
    <t>0.214368383103183</t>
  </si>
  <si>
    <t>1027.39125141726</t>
  </si>
  <si>
    <t>0.214521477363496</t>
  </si>
  <si>
    <t>1027.36976812641</t>
  </si>
  <si>
    <t>0.21467077242378</t>
  </si>
  <si>
    <t>1026.6934365522</t>
  </si>
  <si>
    <t>0.214814842533198</t>
  </si>
  <si>
    <t>1026.56913107794</t>
  </si>
  <si>
    <t>0.214957821455727</t>
  </si>
  <si>
    <t>1026.55409991306</t>
  </si>
  <si>
    <t>0.215104347535971</t>
  </si>
  <si>
    <t>1026.00151533676</t>
  </si>
  <si>
    <t>0.215248711905916</t>
  </si>
  <si>
    <t>1026.20340289367</t>
  </si>
  <si>
    <t>0.215393149294677</t>
  </si>
  <si>
    <t>1026.01737240871</t>
  </si>
  <si>
    <t>0.215542877342142</t>
  </si>
  <si>
    <t>1026.07012357632</t>
  </si>
  <si>
    <t>0.215686202597447</t>
  </si>
  <si>
    <t>1025.89567084333</t>
  </si>
  <si>
    <t>0.215834291914452</t>
  </si>
  <si>
    <t>1025.47560947287</t>
  </si>
  <si>
    <t>0.215986036319793</t>
  </si>
  <si>
    <t>1025.47454017273</t>
  </si>
  <si>
    <t>0.216132693190699</t>
  </si>
  <si>
    <t>1025.38301510659</t>
  </si>
  <si>
    <t>0.216283567120456</t>
  </si>
  <si>
    <t>1024.92000678616</t>
  </si>
  <si>
    <t>0.216424686038914</t>
  </si>
  <si>
    <t>1025.41486705115</t>
  </si>
  <si>
    <t>0.216571184851278</t>
  </si>
  <si>
    <t>1024.73759096378</t>
  </si>
  <si>
    <t>0.216714812728508</t>
  </si>
  <si>
    <t>1024.65740939726</t>
  </si>
  <si>
    <t>0.216861662667421</t>
  </si>
  <si>
    <t>1024.15750330789</t>
  </si>
  <si>
    <t>0.217006242112809</t>
  </si>
  <si>
    <t>1023.8900505618</t>
  </si>
  <si>
    <t>0.217149526445289</t>
  </si>
  <si>
    <t>1023.69101285484</t>
  </si>
  <si>
    <t>0.217284340391435</t>
  </si>
  <si>
    <t>1023.66113430882</t>
  </si>
  <si>
    <t>0.217427584885183</t>
  </si>
  <si>
    <t>1023.73107054023</t>
  </si>
  <si>
    <t>0.21757861946826</t>
  </si>
  <si>
    <t>1023.85606118011</t>
  </si>
  <si>
    <t>0.217730492711051</t>
  </si>
  <si>
    <t>1023.34094006997</t>
  </si>
  <si>
    <t>0.217878429420362</t>
  </si>
  <si>
    <t>1023.23357242279</t>
  </si>
  <si>
    <t>0.218023386165497</t>
  </si>
  <si>
    <t>1023.18922961018</t>
  </si>
  <si>
    <t>0.218167311055632</t>
  </si>
  <si>
    <t>1023.10907529069</t>
  </si>
  <si>
    <t>0.218317017387906</t>
  </si>
  <si>
    <t>1023.27657926386</t>
  </si>
  <si>
    <t>0.218462771412411</t>
  </si>
  <si>
    <t>1023.45814261974</t>
  </si>
  <si>
    <t>0.218616157012595</t>
  </si>
  <si>
    <t>1022.70206745932</t>
  </si>
  <si>
    <t>0.218765945835258</t>
  </si>
  <si>
    <t>1022.54483721801</t>
  </si>
  <si>
    <t>0.218913710748227</t>
  </si>
  <si>
    <t>1021.96548179687</t>
  </si>
  <si>
    <t>0.219060948858494</t>
  </si>
  <si>
    <t>1021.58298671351</t>
  </si>
  <si>
    <t>0.219203976506924</t>
  </si>
  <si>
    <t>1021.72393612344</t>
  </si>
  <si>
    <t>0.219347937263343</t>
  </si>
  <si>
    <t>1021.87139464833</t>
  </si>
  <si>
    <t>0.219501486272969</t>
  </si>
  <si>
    <t>1021.44451999895</t>
  </si>
  <si>
    <t>0.219640749959086</t>
  </si>
  <si>
    <t>1021.12400980849</t>
  </si>
  <si>
    <t>0.219783470440196</t>
  </si>
  <si>
    <t>1021.04007529567</t>
  </si>
  <si>
    <t>0.21993033763063</t>
  </si>
  <si>
    <t>1021.42730746378</t>
  </si>
  <si>
    <t>0.220078733996396</t>
  </si>
  <si>
    <t>1021.47131076349</t>
  </si>
  <si>
    <t>0.220233814747965</t>
  </si>
  <si>
    <t>1021.32953732092</t>
  </si>
  <si>
    <t>0.220389039553697</t>
  </si>
  <si>
    <t>1021.04410056654</t>
  </si>
  <si>
    <t>0.220543287846525</t>
  </si>
  <si>
    <t>1020.45803052992</t>
  </si>
  <si>
    <t>0.220707763263433</t>
  </si>
  <si>
    <t>1020.15119248012</t>
  </si>
  <si>
    <t>0.220859927482453</t>
  </si>
  <si>
    <t>1020.22841737611</t>
  </si>
  <si>
    <t>0.221018433703553</t>
  </si>
  <si>
    <t>1020.11899145641</t>
  </si>
  <si>
    <t>0.221169673488025</t>
  </si>
  <si>
    <t>1020.31024099156</t>
  </si>
  <si>
    <t>0.221321879404898</t>
  </si>
  <si>
    <t>1019.72220410631</t>
  </si>
  <si>
    <t>0.221476133147239</t>
  </si>
  <si>
    <t>1019.11704969792</t>
  </si>
  <si>
    <t>0.221620681284581</t>
  </si>
  <si>
    <t>1018.6279741264</t>
  </si>
  <si>
    <t>0.221763343314757</t>
  </si>
  <si>
    <t>1017.79405784894</t>
  </si>
  <si>
    <t>0.221900744467307</t>
  </si>
  <si>
    <t>1018.08880209682</t>
  </si>
  <si>
    <t>0.222048475804246</t>
  </si>
  <si>
    <t>1018.08300335055</t>
  </si>
  <si>
    <t>0.222196576846008</t>
  </si>
  <si>
    <t>1017.84420632685</t>
  </si>
  <si>
    <t>0.222342418994034</t>
  </si>
  <si>
    <t>1017.83249625914</t>
  </si>
  <si>
    <t>0.222489395471583</t>
  </si>
  <si>
    <t>1017.52801160317</t>
  </si>
  <si>
    <t>0.222638456204844</t>
  </si>
  <si>
    <t>1017.70243022488</t>
  </si>
  <si>
    <t>0.222792972834225</t>
  </si>
  <si>
    <t>1017.64967347986</t>
  </si>
  <si>
    <t>0.222948061755062</t>
  </si>
  <si>
    <t>1017.1456118603</t>
  </si>
  <si>
    <t>0.223101506058954</t>
  </si>
  <si>
    <t>1017.0332941131</t>
  </si>
  <si>
    <t>0.223255895288443</t>
  </si>
  <si>
    <t>1017.06931270016</t>
  </si>
  <si>
    <t>0.223415102259775</t>
  </si>
  <si>
    <t>1016.39088229026</t>
  </si>
  <si>
    <t>0.223568959003068</t>
  </si>
  <si>
    <t>1015.59664393559</t>
  </si>
  <si>
    <t>0.223715811179208</t>
  </si>
  <si>
    <t>1015.43814185375</t>
  </si>
  <si>
    <t>0.22386688556213</t>
  </si>
  <si>
    <t>1015.51661253464</t>
  </si>
  <si>
    <t>0.224021733592892</t>
  </si>
  <si>
    <t>1015.51817405077</t>
  </si>
  <si>
    <t>0.224176799543288</t>
  </si>
  <si>
    <t>1014.837906898</t>
  </si>
  <si>
    <t>0.224324120624787</t>
  </si>
  <si>
    <t>1015.1774233749</t>
  </si>
  <si>
    <t>0.224483771481362</t>
  </si>
  <si>
    <t>1014.7826621186</t>
  </si>
  <si>
    <t>0.224639993315796</t>
  </si>
  <si>
    <t>1013.95116189356</t>
  </si>
  <si>
    <t>0.224787599501198</t>
  </si>
  <si>
    <t>1013.76348298553</t>
  </si>
  <si>
    <t>0.224935462798835</t>
  </si>
  <si>
    <t>1013.72598764601</t>
  </si>
  <si>
    <t>0.225085516486042</t>
  </si>
  <si>
    <t>1013.39585176105</t>
  </si>
  <si>
    <t>0.22524097520331</t>
  </si>
  <si>
    <t>1013.34259603986</t>
  </si>
  <si>
    <t>0.225403211673953</t>
  </si>
  <si>
    <t>1012.73769344517</t>
  </si>
  <si>
    <t>0.225569435401505</t>
  </si>
  <si>
    <t>1012.12003230951</t>
  </si>
  <si>
    <t>0.225740498988458</t>
  </si>
  <si>
    <t>1012.19595371976</t>
  </si>
  <si>
    <t>0.22590963866943</t>
  </si>
  <si>
    <t>1011.82389799864</t>
  </si>
  <si>
    <t>0.226084024141145</t>
  </si>
  <si>
    <t>1011.65502974188</t>
  </si>
  <si>
    <t>0.226246383869702</t>
  </si>
  <si>
    <t>1010.78202145611</t>
  </si>
  <si>
    <t>0.226418334244904</t>
  </si>
  <si>
    <t>1010.22262592801</t>
  </si>
  <si>
    <t>0.22659365196476</t>
  </si>
  <si>
    <t>1009.85645708722</t>
  </si>
  <si>
    <t>0.226768270827834</t>
  </si>
  <si>
    <t>1009.18615014481</t>
  </si>
  <si>
    <t>0.226940855174118</t>
  </si>
  <si>
    <t>1008.391029788</t>
  </si>
  <si>
    <t>0.227100181610608</t>
  </si>
  <si>
    <t>1007.54608093469</t>
  </si>
  <si>
    <t>0.227260354513209</t>
  </si>
  <si>
    <t>1007.08420124894</t>
  </si>
  <si>
    <t>0.22743103638076</t>
  </si>
  <si>
    <t>1006.58516590629</t>
  </si>
  <si>
    <t>0.227597442628247</t>
  </si>
  <si>
    <t>1005.63619307004</t>
  </si>
  <si>
    <t>0.227755737459056</t>
  </si>
  <si>
    <t>1005.42126371648</t>
  </si>
  <si>
    <t>0.227928003182491</t>
  </si>
  <si>
    <t>1005.3131710413</t>
  </si>
  <si>
    <t>0.228101406899204</t>
  </si>
  <si>
    <t>1004.55096631916</t>
  </si>
  <si>
    <t>0.228299519291067</t>
  </si>
  <si>
    <t>1003.96535947565</t>
  </si>
  <si>
    <t>0.228522195983828</t>
  </si>
  <si>
    <t>1003.18811188024</t>
  </si>
  <si>
    <t>0.228757473829633</t>
  </si>
  <si>
    <t>1002.0278937268</t>
  </si>
  <si>
    <t>0.229016528484027</t>
  </si>
  <si>
    <t>1000.18478508064</t>
  </si>
  <si>
    <t>0.229334995210667</t>
  </si>
  <si>
    <t>997.383146446902</t>
  </si>
  <si>
    <t>0.229713020793131</t>
  </si>
  <si>
    <t>994.110656983555</t>
  </si>
  <si>
    <t>0.230138219000203</t>
  </si>
  <si>
    <t>989.849072452158</t>
  </si>
  <si>
    <t>0.230710396195894</t>
  </si>
  <si>
    <t>983.150083888821</t>
  </si>
  <si>
    <t>0.231401664510528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</si>
</sst>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4" borderId="2" xfId="0" applyFont="1" applyFill="1" applyBorder="1" applyAlignment="1">
      <alignment horizontal="center" vertical="top"/>
    </xf>
    <xf numFmtId="10" fontId="0" fillId="4" borderId="2" xfId="0" applyNumberFormat="1" applyFill="1" applyBorder="1"/>
    <xf numFmtId="0" fontId="1" fillId="4" borderId="0" xfId="0" applyFont="1" applyFill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Stress/Strain Curve</a:t>
            </a:r>
          </a:p>
        </c:rich>
      </c:tx>
      <c:layout>
        <c:manualLayout>
          <c:xMode val="edge"/>
          <c:yMode val="edge"/>
          <c:x val="0.360148648651252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4576824376050409E-2"/>
          <c:y val="5.5291181230188731E-2"/>
          <c:w val="0.90899085623146669"/>
          <c:h val="0.89873013974443317"/>
        </c:manualLayout>
      </c:layout>
      <c:scatterChart>
        <c:scatterStyle val="smoothMarker"/>
        <c:varyColors val="0"/>
        <c:ser>
          <c:idx val="0"/>
          <c:order val="0"/>
          <c:tx>
            <c:v>Stress/ 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'Monotonic-0-degree (version 2).'!$L$8:$L$2636</c:f>
              <c:numCache>
                <c:formatCode>General</c:formatCode>
                <c:ptCount val="2629"/>
                <c:pt idx="0">
                  <c:v>1.0771701316028265E-4</c:v>
                </c:pt>
                <c:pt idx="1">
                  <c:v>1.1824852219363459E-4</c:v>
                </c:pt>
                <c:pt idx="2">
                  <c:v>1.2084552394320313E-4</c:v>
                </c:pt>
                <c:pt idx="3">
                  <c:v>1.4129781090465785E-4</c:v>
                </c:pt>
                <c:pt idx="4">
                  <c:v>1.4722235962388074E-4</c:v>
                </c:pt>
                <c:pt idx="5">
                  <c:v>1.7431873956113753E-4</c:v>
                </c:pt>
                <c:pt idx="6">
                  <c:v>1.8829605956936787E-4</c:v>
                </c:pt>
                <c:pt idx="7">
                  <c:v>2.0726661765401686E-4</c:v>
                </c:pt>
                <c:pt idx="8">
                  <c:v>2.236458845333331E-4</c:v>
                </c:pt>
                <c:pt idx="9">
                  <c:v>2.3668237740627485E-4</c:v>
                </c:pt>
                <c:pt idx="10">
                  <c:v>2.6123380365952612E-4</c:v>
                </c:pt>
                <c:pt idx="11">
                  <c:v>2.7759984366337019E-4</c:v>
                </c:pt>
                <c:pt idx="12">
                  <c:v>3.0313688216718833E-4</c:v>
                </c:pt>
                <c:pt idx="13">
                  <c:v>3.1525947163848296E-4</c:v>
                </c:pt>
                <c:pt idx="14">
                  <c:v>3.3580115656718407E-4</c:v>
                </c:pt>
                <c:pt idx="15">
                  <c:v>3.6148101622720678E-4</c:v>
                </c:pt>
                <c:pt idx="16">
                  <c:v>3.7826623891214521E-4</c:v>
                </c:pt>
                <c:pt idx="17">
                  <c:v>4.0136644677088342E-4</c:v>
                </c:pt>
                <c:pt idx="18">
                  <c:v>4.1759978100288801E-4</c:v>
                </c:pt>
                <c:pt idx="19">
                  <c:v>4.3628014651205839E-4</c:v>
                </c:pt>
                <c:pt idx="20">
                  <c:v>4.642608367462537E-4</c:v>
                </c:pt>
                <c:pt idx="21">
                  <c:v>4.8510833493174981E-4</c:v>
                </c:pt>
                <c:pt idx="22">
                  <c:v>4.9376316959132453E-4</c:v>
                </c:pt>
                <c:pt idx="23">
                  <c:v>5.1786777218423906E-4</c:v>
                </c:pt>
                <c:pt idx="24">
                  <c:v>5.3947812569710152E-4</c:v>
                </c:pt>
                <c:pt idx="25">
                  <c:v>5.5413498350979473E-4</c:v>
                </c:pt>
                <c:pt idx="26">
                  <c:v>5.7842419685219754E-4</c:v>
                </c:pt>
                <c:pt idx="27">
                  <c:v>5.9339661851153208E-4</c:v>
                </c:pt>
                <c:pt idx="28">
                  <c:v>6.1544721880870247E-4</c:v>
                </c:pt>
                <c:pt idx="29">
                  <c:v>6.4137802920931147E-4</c:v>
                </c:pt>
                <c:pt idx="30">
                  <c:v>6.559587275835598E-4</c:v>
                </c:pt>
                <c:pt idx="31">
                  <c:v>6.8345588622593587E-4</c:v>
                </c:pt>
                <c:pt idx="32">
                  <c:v>6.9134919259298785E-4</c:v>
                </c:pt>
                <c:pt idx="33">
                  <c:v>7.1749802021522197E-4</c:v>
                </c:pt>
                <c:pt idx="34">
                  <c:v>7.3933867268756058E-4</c:v>
                </c:pt>
                <c:pt idx="35">
                  <c:v>7.4911800965727726E-4</c:v>
                </c:pt>
                <c:pt idx="36">
                  <c:v>7.7480361595330964E-4</c:v>
                </c:pt>
                <c:pt idx="37">
                  <c:v>7.9108700612438518E-4</c:v>
                </c:pt>
                <c:pt idx="38">
                  <c:v>8.139371779050307E-4</c:v>
                </c:pt>
                <c:pt idx="39">
                  <c:v>8.2961643649410056E-4</c:v>
                </c:pt>
                <c:pt idx="40">
                  <c:v>8.5113717878584623E-4</c:v>
                </c:pt>
                <c:pt idx="41">
                  <c:v>8.740542218465487E-4</c:v>
                </c:pt>
                <c:pt idx="42">
                  <c:v>8.9738973165545514E-4</c:v>
                </c:pt>
                <c:pt idx="43">
                  <c:v>9.1786223936996805E-4</c:v>
                </c:pt>
                <c:pt idx="44">
                  <c:v>9.3604191321731316E-4</c:v>
                </c:pt>
                <c:pt idx="45">
                  <c:v>9.5623895222042414E-4</c:v>
                </c:pt>
                <c:pt idx="46">
                  <c:v>9.7172608004501555E-4</c:v>
                </c:pt>
                <c:pt idx="47">
                  <c:v>1.006323766295558E-3</c:v>
                </c:pt>
                <c:pt idx="48">
                  <c:v>1.0259774287560688E-3</c:v>
                </c:pt>
                <c:pt idx="49">
                  <c:v>1.0521333163869039E-3</c:v>
                </c:pt>
                <c:pt idx="50">
                  <c:v>1.0691305606308843E-3</c:v>
                </c:pt>
                <c:pt idx="51">
                  <c:v>1.087660711904602E-3</c:v>
                </c:pt>
                <c:pt idx="52">
                  <c:v>1.1089145300761806E-3</c:v>
                </c:pt>
                <c:pt idx="53">
                  <c:v>1.1233625440777231E-3</c:v>
                </c:pt>
                <c:pt idx="54">
                  <c:v>1.1521075069709326E-3</c:v>
                </c:pt>
                <c:pt idx="55">
                  <c:v>1.1662131438787849E-3</c:v>
                </c:pt>
                <c:pt idx="56">
                  <c:v>1.1825180503644021E-3</c:v>
                </c:pt>
                <c:pt idx="57">
                  <c:v>1.2054740105299101E-3</c:v>
                </c:pt>
                <c:pt idx="58">
                  <c:v>1.2234269019768486E-3</c:v>
                </c:pt>
                <c:pt idx="59">
                  <c:v>1.2489387766811556E-3</c:v>
                </c:pt>
                <c:pt idx="60">
                  <c:v>1.2573598697108916E-3</c:v>
                </c:pt>
                <c:pt idx="61">
                  <c:v>1.2763089091271946E-3</c:v>
                </c:pt>
                <c:pt idx="62">
                  <c:v>1.2994440157765132E-3</c:v>
                </c:pt>
                <c:pt idx="63">
                  <c:v>1.3143495130505634E-3</c:v>
                </c:pt>
                <c:pt idx="64">
                  <c:v>1.3357030569306058E-3</c:v>
                </c:pt>
                <c:pt idx="65">
                  <c:v>1.3546769515317943E-3</c:v>
                </c:pt>
                <c:pt idx="66">
                  <c:v>1.3774187018217338E-3</c:v>
                </c:pt>
                <c:pt idx="67">
                  <c:v>1.3942570184409945E-3</c:v>
                </c:pt>
                <c:pt idx="68">
                  <c:v>1.4080471774909782E-3</c:v>
                </c:pt>
                <c:pt idx="69">
                  <c:v>1.4282877244144098E-3</c:v>
                </c:pt>
                <c:pt idx="70">
                  <c:v>1.4384050742766677E-3</c:v>
                </c:pt>
                <c:pt idx="71">
                  <c:v>1.4627614560854163E-3</c:v>
                </c:pt>
                <c:pt idx="72">
                  <c:v>1.4755471611642896E-3</c:v>
                </c:pt>
                <c:pt idx="73">
                  <c:v>1.5014659856311223E-3</c:v>
                </c:pt>
                <c:pt idx="74">
                  <c:v>1.5220183035710695E-3</c:v>
                </c:pt>
                <c:pt idx="75">
                  <c:v>1.538003299073102E-3</c:v>
                </c:pt>
                <c:pt idx="76">
                  <c:v>1.5603131765907852E-3</c:v>
                </c:pt>
                <c:pt idx="77">
                  <c:v>1.5763932697170223E-3</c:v>
                </c:pt>
                <c:pt idx="78">
                  <c:v>1.5927983668426818E-3</c:v>
                </c:pt>
                <c:pt idx="79">
                  <c:v>1.6194177798162816E-3</c:v>
                </c:pt>
                <c:pt idx="80">
                  <c:v>1.6339520358146671E-3</c:v>
                </c:pt>
                <c:pt idx="81">
                  <c:v>1.6523098287430135E-3</c:v>
                </c:pt>
                <c:pt idx="82">
                  <c:v>1.6700327904844059E-3</c:v>
                </c:pt>
                <c:pt idx="83">
                  <c:v>1.6898858755297023E-3</c:v>
                </c:pt>
                <c:pt idx="84">
                  <c:v>1.7097322108505922E-3</c:v>
                </c:pt>
                <c:pt idx="85">
                  <c:v>1.729008702822512E-3</c:v>
                </c:pt>
                <c:pt idx="86">
                  <c:v>1.755044887125424E-3</c:v>
                </c:pt>
                <c:pt idx="87">
                  <c:v>1.773978052357148E-3</c:v>
                </c:pt>
                <c:pt idx="88">
                  <c:v>1.7960914701347314E-3</c:v>
                </c:pt>
                <c:pt idx="89">
                  <c:v>1.8039671474559147E-3</c:v>
                </c:pt>
                <c:pt idx="90">
                  <c:v>1.8303507138592763E-3</c:v>
                </c:pt>
                <c:pt idx="91">
                  <c:v>1.8523230821195433E-3</c:v>
                </c:pt>
                <c:pt idx="92">
                  <c:v>1.8639366482639712E-3</c:v>
                </c:pt>
                <c:pt idx="93">
                  <c:v>1.8855894658109929E-3</c:v>
                </c:pt>
                <c:pt idx="94">
                  <c:v>1.8987683675449215E-3</c:v>
                </c:pt>
                <c:pt idx="95">
                  <c:v>1.921197827505474E-3</c:v>
                </c:pt>
                <c:pt idx="96">
                  <c:v>1.9456737105208355E-3</c:v>
                </c:pt>
                <c:pt idx="97">
                  <c:v>1.9570438323066345E-3</c:v>
                </c:pt>
                <c:pt idx="98">
                  <c:v>1.9800240458867717E-3</c:v>
                </c:pt>
                <c:pt idx="99">
                  <c:v>1.9934111965198187E-3</c:v>
                </c:pt>
                <c:pt idx="100">
                  <c:v>2.0199624020877144E-3</c:v>
                </c:pt>
                <c:pt idx="101">
                  <c:v>2.0386100908155037E-3</c:v>
                </c:pt>
                <c:pt idx="102">
                  <c:v>2.0555875809133502E-3</c:v>
                </c:pt>
                <c:pt idx="103">
                  <c:v>2.0693324093655481E-3</c:v>
                </c:pt>
                <c:pt idx="104">
                  <c:v>2.0936894027289679E-3</c:v>
                </c:pt>
                <c:pt idx="105">
                  <c:v>2.1080619341844005E-3</c:v>
                </c:pt>
                <c:pt idx="106">
                  <c:v>2.1241620825044323E-3</c:v>
                </c:pt>
                <c:pt idx="107">
                  <c:v>2.1469620294701022E-3</c:v>
                </c:pt>
                <c:pt idx="108">
                  <c:v>2.1630332365881627E-3</c:v>
                </c:pt>
                <c:pt idx="109">
                  <c:v>2.1792947635534466E-3</c:v>
                </c:pt>
                <c:pt idx="110">
                  <c:v>2.2070806657570998E-3</c:v>
                </c:pt>
                <c:pt idx="111">
                  <c:v>2.223164518857873E-3</c:v>
                </c:pt>
                <c:pt idx="112">
                  <c:v>2.2405559443399595E-3</c:v>
                </c:pt>
                <c:pt idx="113">
                  <c:v>2.2561060444450613E-3</c:v>
                </c:pt>
                <c:pt idx="114">
                  <c:v>2.2756966847724642E-3</c:v>
                </c:pt>
                <c:pt idx="115">
                  <c:v>2.2974465736978456E-3</c:v>
                </c:pt>
                <c:pt idx="116">
                  <c:v>2.3115501288501006E-3</c:v>
                </c:pt>
                <c:pt idx="117">
                  <c:v>2.3352090791759076E-3</c:v>
                </c:pt>
                <c:pt idx="118">
                  <c:v>2.3557204056512972E-3</c:v>
                </c:pt>
                <c:pt idx="119">
                  <c:v>2.3723909132794762E-3</c:v>
                </c:pt>
                <c:pt idx="120">
                  <c:v>2.3875030842355122E-3</c:v>
                </c:pt>
                <c:pt idx="121">
                  <c:v>2.4051890680997809E-3</c:v>
                </c:pt>
                <c:pt idx="122">
                  <c:v>2.4296371397508972E-3</c:v>
                </c:pt>
                <c:pt idx="123">
                  <c:v>2.4473984078121221E-3</c:v>
                </c:pt>
                <c:pt idx="124">
                  <c:v>2.4672474972961597E-3</c:v>
                </c:pt>
                <c:pt idx="125">
                  <c:v>2.4839965271489812E-3</c:v>
                </c:pt>
                <c:pt idx="126">
                  <c:v>2.4969253154747957E-3</c:v>
                </c:pt>
                <c:pt idx="127">
                  <c:v>2.5237873898059427E-3</c:v>
                </c:pt>
                <c:pt idx="128">
                  <c:v>2.5452129180967712E-3</c:v>
                </c:pt>
                <c:pt idx="129">
                  <c:v>2.555890765370513E-3</c:v>
                </c:pt>
                <c:pt idx="130">
                  <c:v>2.5767533518483519E-3</c:v>
                </c:pt>
                <c:pt idx="131">
                  <c:v>2.5918985389731678E-3</c:v>
                </c:pt>
                <c:pt idx="132">
                  <c:v>2.6099776844361257E-3</c:v>
                </c:pt>
                <c:pt idx="133">
                  <c:v>2.6244050253034813E-3</c:v>
                </c:pt>
                <c:pt idx="134">
                  <c:v>2.6406601399658661E-3</c:v>
                </c:pt>
                <c:pt idx="135">
                  <c:v>2.6663719955611737E-3</c:v>
                </c:pt>
                <c:pt idx="136">
                  <c:v>2.6793865925638354E-3</c:v>
                </c:pt>
                <c:pt idx="137">
                  <c:v>2.6971309081306868E-3</c:v>
                </c:pt>
                <c:pt idx="138">
                  <c:v>2.7197062772361833E-3</c:v>
                </c:pt>
                <c:pt idx="139">
                  <c:v>2.7350080263553E-3</c:v>
                </c:pt>
                <c:pt idx="140">
                  <c:v>2.7490210609263524E-3</c:v>
                </c:pt>
                <c:pt idx="141">
                  <c:v>2.7669232255301849E-3</c:v>
                </c:pt>
                <c:pt idx="142">
                  <c:v>2.787039695415112E-3</c:v>
                </c:pt>
                <c:pt idx="143">
                  <c:v>2.8129776062434785E-3</c:v>
                </c:pt>
                <c:pt idx="144">
                  <c:v>2.8278411525531236E-3</c:v>
                </c:pt>
                <c:pt idx="145">
                  <c:v>2.8451551351074311E-3</c:v>
                </c:pt>
                <c:pt idx="146">
                  <c:v>2.8631277676003201E-3</c:v>
                </c:pt>
                <c:pt idx="147">
                  <c:v>2.8838794733065417E-3</c:v>
                </c:pt>
                <c:pt idx="148">
                  <c:v>2.9042282852647146E-3</c:v>
                </c:pt>
                <c:pt idx="149">
                  <c:v>2.9173915929526059E-3</c:v>
                </c:pt>
                <c:pt idx="150">
                  <c:v>2.9393772694266706E-3</c:v>
                </c:pt>
                <c:pt idx="151">
                  <c:v>2.9551967112883938E-3</c:v>
                </c:pt>
                <c:pt idx="152">
                  <c:v>2.969322549516055E-3</c:v>
                </c:pt>
                <c:pt idx="153">
                  <c:v>2.9853333931003636E-3</c:v>
                </c:pt>
                <c:pt idx="154">
                  <c:v>3.0120755349103499E-3</c:v>
                </c:pt>
                <c:pt idx="155">
                  <c:v>3.0246795918879702E-3</c:v>
                </c:pt>
                <c:pt idx="156">
                  <c:v>3.0462066440842092E-3</c:v>
                </c:pt>
                <c:pt idx="157">
                  <c:v>3.0618992695195233E-3</c:v>
                </c:pt>
                <c:pt idx="158">
                  <c:v>3.0818921173218672E-3</c:v>
                </c:pt>
                <c:pt idx="159">
                  <c:v>3.096738610946074E-3</c:v>
                </c:pt>
                <c:pt idx="160">
                  <c:v>3.1184603138666536E-3</c:v>
                </c:pt>
                <c:pt idx="161">
                  <c:v>3.1304829542654618E-3</c:v>
                </c:pt>
                <c:pt idx="162">
                  <c:v>3.1447535548562826E-3</c:v>
                </c:pt>
                <c:pt idx="163">
                  <c:v>3.1687610689182873E-3</c:v>
                </c:pt>
                <c:pt idx="164">
                  <c:v>3.1820081103950998E-3</c:v>
                </c:pt>
                <c:pt idx="165">
                  <c:v>3.2105915158515087E-3</c:v>
                </c:pt>
                <c:pt idx="166">
                  <c:v>3.2210530244078999E-3</c:v>
                </c:pt>
                <c:pt idx="167">
                  <c:v>3.2349956093997026E-3</c:v>
                </c:pt>
                <c:pt idx="168">
                  <c:v>3.2534467800804661E-3</c:v>
                </c:pt>
                <c:pt idx="169">
                  <c:v>3.2655899978901162E-3</c:v>
                </c:pt>
                <c:pt idx="170">
                  <c:v>3.2996063952393769E-3</c:v>
                </c:pt>
                <c:pt idx="171">
                  <c:v>3.30792548025585E-3</c:v>
                </c:pt>
                <c:pt idx="172">
                  <c:v>3.3291324341125287E-3</c:v>
                </c:pt>
                <c:pt idx="173">
                  <c:v>3.351795787937976E-3</c:v>
                </c:pt>
                <c:pt idx="174">
                  <c:v>3.3639476010960006E-3</c:v>
                </c:pt>
                <c:pt idx="175">
                  <c:v>3.3850232048575823E-3</c:v>
                </c:pt>
                <c:pt idx="176">
                  <c:v>3.3968225644554562E-3</c:v>
                </c:pt>
                <c:pt idx="177">
                  <c:v>3.4199303280503628E-3</c:v>
                </c:pt>
                <c:pt idx="178">
                  <c:v>3.4374456099570037E-3</c:v>
                </c:pt>
                <c:pt idx="179">
                  <c:v>3.4487277239597562E-3</c:v>
                </c:pt>
                <c:pt idx="180">
                  <c:v>3.472885282469979E-3</c:v>
                </c:pt>
                <c:pt idx="181">
                  <c:v>3.4893686002001301E-3</c:v>
                </c:pt>
                <c:pt idx="182">
                  <c:v>3.5003695328094816E-3</c:v>
                </c:pt>
                <c:pt idx="183">
                  <c:v>3.5225863710601486E-3</c:v>
                </c:pt>
                <c:pt idx="184">
                  <c:v>3.5414991514347593E-3</c:v>
                </c:pt>
                <c:pt idx="185">
                  <c:v>3.5600537817091055E-3</c:v>
                </c:pt>
                <c:pt idx="186">
                  <c:v>3.580632981266276E-3</c:v>
                </c:pt>
                <c:pt idx="187">
                  <c:v>3.5991520863248804E-3</c:v>
                </c:pt>
                <c:pt idx="188">
                  <c:v>3.6153400725838386E-3</c:v>
                </c:pt>
                <c:pt idx="189">
                  <c:v>3.6225172498740459E-3</c:v>
                </c:pt>
                <c:pt idx="190">
                  <c:v>3.6348720236997856E-3</c:v>
                </c:pt>
                <c:pt idx="191">
                  <c:v>3.6574392820257211E-3</c:v>
                </c:pt>
                <c:pt idx="192">
                  <c:v>3.669502564758279E-3</c:v>
                </c:pt>
                <c:pt idx="193">
                  <c:v>3.6933079194992348E-3</c:v>
                </c:pt>
                <c:pt idx="194">
                  <c:v>3.7096230517010879E-3</c:v>
                </c:pt>
                <c:pt idx="195">
                  <c:v>3.721105428002385E-3</c:v>
                </c:pt>
                <c:pt idx="196">
                  <c:v>3.7379981995279195E-3</c:v>
                </c:pt>
                <c:pt idx="197">
                  <c:v>3.7546786615338655E-3</c:v>
                </c:pt>
                <c:pt idx="198">
                  <c:v>3.7690244409207844E-3</c:v>
                </c:pt>
                <c:pt idx="199">
                  <c:v>3.7907119749569173E-3</c:v>
                </c:pt>
                <c:pt idx="200">
                  <c:v>3.8044411296344074E-3</c:v>
                </c:pt>
                <c:pt idx="201">
                  <c:v>3.8250946681310061E-3</c:v>
                </c:pt>
                <c:pt idx="202">
                  <c:v>3.8341425297290549E-3</c:v>
                </c:pt>
                <c:pt idx="203">
                  <c:v>3.8536220086975094E-3</c:v>
                </c:pt>
                <c:pt idx="204">
                  <c:v>3.8693739038783265E-3</c:v>
                </c:pt>
                <c:pt idx="205">
                  <c:v>3.8883196268174386E-3</c:v>
                </c:pt>
                <c:pt idx="206">
                  <c:v>3.9033338935413825E-3</c:v>
                </c:pt>
                <c:pt idx="207">
                  <c:v>3.9079165484111429E-3</c:v>
                </c:pt>
                <c:pt idx="208">
                  <c:v>3.9413856717396408E-3</c:v>
                </c:pt>
                <c:pt idx="209">
                  <c:v>3.959003067334447E-3</c:v>
                </c:pt>
                <c:pt idx="210">
                  <c:v>3.9737477677447069E-3</c:v>
                </c:pt>
                <c:pt idx="211">
                  <c:v>3.9976741516559453E-3</c:v>
                </c:pt>
                <c:pt idx="212">
                  <c:v>4.0055265304936877E-3</c:v>
                </c:pt>
                <c:pt idx="213">
                  <c:v>4.0274531503015571E-3</c:v>
                </c:pt>
                <c:pt idx="214">
                  <c:v>4.044662496171629E-3</c:v>
                </c:pt>
                <c:pt idx="215">
                  <c:v>4.0555428269174474E-3</c:v>
                </c:pt>
                <c:pt idx="216">
                  <c:v>4.0742016899223158E-3</c:v>
                </c:pt>
                <c:pt idx="217">
                  <c:v>4.0903501044422148E-3</c:v>
                </c:pt>
                <c:pt idx="218">
                  <c:v>4.1046646207435348E-3</c:v>
                </c:pt>
                <c:pt idx="219">
                  <c:v>4.1251804445789544E-3</c:v>
                </c:pt>
                <c:pt idx="220">
                  <c:v>4.1330992095700144E-3</c:v>
                </c:pt>
                <c:pt idx="221">
                  <c:v>4.1562385126420222E-3</c:v>
                </c:pt>
                <c:pt idx="222">
                  <c:v>4.1692746723181427E-3</c:v>
                </c:pt>
                <c:pt idx="223">
                  <c:v>4.1911535043037216E-3</c:v>
                </c:pt>
                <c:pt idx="224">
                  <c:v>4.2068703774704001E-3</c:v>
                </c:pt>
                <c:pt idx="225">
                  <c:v>4.2156775003351458E-3</c:v>
                </c:pt>
                <c:pt idx="226">
                  <c:v>4.238938785299174E-3</c:v>
                </c:pt>
                <c:pt idx="227">
                  <c:v>4.2515170641492768E-3</c:v>
                </c:pt>
                <c:pt idx="228">
                  <c:v>4.2693318558423522E-3</c:v>
                </c:pt>
                <c:pt idx="229">
                  <c:v>4.29526594187665E-3</c:v>
                </c:pt>
                <c:pt idx="230">
                  <c:v>4.3047337279508843E-3</c:v>
                </c:pt>
                <c:pt idx="231">
                  <c:v>4.3288271493685899E-3</c:v>
                </c:pt>
                <c:pt idx="232">
                  <c:v>4.3419309681548314E-3</c:v>
                </c:pt>
                <c:pt idx="233">
                  <c:v>4.3608079749047736E-3</c:v>
                </c:pt>
                <c:pt idx="234">
                  <c:v>4.3770136996311116E-3</c:v>
                </c:pt>
                <c:pt idx="235">
                  <c:v>4.3814579943347622E-3</c:v>
                </c:pt>
                <c:pt idx="236">
                  <c:v>4.4071990187074831E-3</c:v>
                </c:pt>
                <c:pt idx="237">
                  <c:v>4.412254928910524E-3</c:v>
                </c:pt>
                <c:pt idx="238">
                  <c:v>4.4280726383404048E-3</c:v>
                </c:pt>
                <c:pt idx="239">
                  <c:v>4.4462978991579036E-3</c:v>
                </c:pt>
                <c:pt idx="240">
                  <c:v>4.4598228417339616E-3</c:v>
                </c:pt>
                <c:pt idx="241">
                  <c:v>4.4812806318651902E-3</c:v>
                </c:pt>
                <c:pt idx="242">
                  <c:v>4.4918183109677236E-3</c:v>
                </c:pt>
                <c:pt idx="243">
                  <c:v>4.517218239014297E-3</c:v>
                </c:pt>
                <c:pt idx="244">
                  <c:v>4.5312524963556054E-3</c:v>
                </c:pt>
                <c:pt idx="245">
                  <c:v>4.5436760829868925E-3</c:v>
                </c:pt>
                <c:pt idx="246">
                  <c:v>4.5557388196346485E-3</c:v>
                </c:pt>
                <c:pt idx="247">
                  <c:v>4.5740338192687014E-3</c:v>
                </c:pt>
                <c:pt idx="248">
                  <c:v>4.5957799491079991E-3</c:v>
                </c:pt>
                <c:pt idx="249">
                  <c:v>4.6083624313448326E-3</c:v>
                </c:pt>
                <c:pt idx="250">
                  <c:v>4.6282287859918348E-3</c:v>
                </c:pt>
                <c:pt idx="251">
                  <c:v>4.6453847047946461E-3</c:v>
                </c:pt>
                <c:pt idx="252">
                  <c:v>4.6556363999488365E-3</c:v>
                </c:pt>
                <c:pt idx="253">
                  <c:v>4.6719568412419456E-3</c:v>
                </c:pt>
                <c:pt idx="254">
                  <c:v>4.688122401055944E-3</c:v>
                </c:pt>
                <c:pt idx="255">
                  <c:v>4.6989754558602412E-3</c:v>
                </c:pt>
                <c:pt idx="256">
                  <c:v>4.71685722982152E-3</c:v>
                </c:pt>
                <c:pt idx="257">
                  <c:v>4.7397147297259141E-3</c:v>
                </c:pt>
                <c:pt idx="258">
                  <c:v>4.7501512018075656E-3</c:v>
                </c:pt>
                <c:pt idx="259">
                  <c:v>4.7640565526286894E-3</c:v>
                </c:pt>
                <c:pt idx="260">
                  <c:v>4.7828057501330635E-3</c:v>
                </c:pt>
                <c:pt idx="261">
                  <c:v>4.7993739348290041E-3</c:v>
                </c:pt>
                <c:pt idx="262">
                  <c:v>4.81312545361597E-3</c:v>
                </c:pt>
                <c:pt idx="263">
                  <c:v>4.8240452167101055E-3</c:v>
                </c:pt>
                <c:pt idx="264">
                  <c:v>4.8315670795839299E-3</c:v>
                </c:pt>
                <c:pt idx="265">
                  <c:v>4.8512570328149776E-3</c:v>
                </c:pt>
                <c:pt idx="266">
                  <c:v>4.8634163428992218E-3</c:v>
                </c:pt>
                <c:pt idx="267">
                  <c:v>4.8871078556657075E-3</c:v>
                </c:pt>
                <c:pt idx="268">
                  <c:v>4.9018113644563122E-3</c:v>
                </c:pt>
                <c:pt idx="269">
                  <c:v>4.9212019988475412E-3</c:v>
                </c:pt>
                <c:pt idx="270">
                  <c:v>4.9327425113978385E-3</c:v>
                </c:pt>
                <c:pt idx="271">
                  <c:v>4.9583889855732317E-3</c:v>
                </c:pt>
                <c:pt idx="272">
                  <c:v>4.9664264058358236E-3</c:v>
                </c:pt>
                <c:pt idx="273">
                  <c:v>4.9874070878217136E-3</c:v>
                </c:pt>
                <c:pt idx="274">
                  <c:v>4.9891630900177992E-3</c:v>
                </c:pt>
                <c:pt idx="275">
                  <c:v>5.0025290217528967E-3</c:v>
                </c:pt>
                <c:pt idx="276">
                  <c:v>5.0148783410069531E-3</c:v>
                </c:pt>
                <c:pt idx="277">
                  <c:v>5.0264496262410422E-3</c:v>
                </c:pt>
                <c:pt idx="278">
                  <c:v>5.0481859201195233E-3</c:v>
                </c:pt>
                <c:pt idx="279">
                  <c:v>5.058025917120958E-3</c:v>
                </c:pt>
                <c:pt idx="280">
                  <c:v>5.077054462847788E-3</c:v>
                </c:pt>
                <c:pt idx="281">
                  <c:v>5.092784564935217E-3</c:v>
                </c:pt>
                <c:pt idx="282">
                  <c:v>5.1083291041669606E-3</c:v>
                </c:pt>
                <c:pt idx="283">
                  <c:v>5.1211823847035721E-3</c:v>
                </c:pt>
                <c:pt idx="284">
                  <c:v>5.1285416748570612E-3</c:v>
                </c:pt>
                <c:pt idx="285">
                  <c:v>5.1423371667409651E-3</c:v>
                </c:pt>
                <c:pt idx="286">
                  <c:v>5.1519398981020245E-3</c:v>
                </c:pt>
                <c:pt idx="287">
                  <c:v>5.1673604640627346E-3</c:v>
                </c:pt>
                <c:pt idx="288">
                  <c:v>5.180036731699607E-3</c:v>
                </c:pt>
                <c:pt idx="289">
                  <c:v>5.1877115410131321E-3</c:v>
                </c:pt>
                <c:pt idx="290">
                  <c:v>5.2106987010132116E-3</c:v>
                </c:pt>
                <c:pt idx="291">
                  <c:v>5.2241271763864509E-3</c:v>
                </c:pt>
                <c:pt idx="292">
                  <c:v>5.233351299920766E-3</c:v>
                </c:pt>
                <c:pt idx="293">
                  <c:v>5.2548453345520902E-3</c:v>
                </c:pt>
                <c:pt idx="294">
                  <c:v>5.2660201102680887E-3</c:v>
                </c:pt>
                <c:pt idx="295">
                  <c:v>5.2788073109265015E-3</c:v>
                </c:pt>
                <c:pt idx="296">
                  <c:v>5.2945783887384393E-3</c:v>
                </c:pt>
                <c:pt idx="297">
                  <c:v>5.3070829638781217E-3</c:v>
                </c:pt>
                <c:pt idx="298">
                  <c:v>5.3280297219611382E-3</c:v>
                </c:pt>
                <c:pt idx="299">
                  <c:v>5.341047358285801E-3</c:v>
                </c:pt>
                <c:pt idx="300">
                  <c:v>5.3595432992117505E-3</c:v>
                </c:pt>
                <c:pt idx="301">
                  <c:v>5.375419486980189E-3</c:v>
                </c:pt>
                <c:pt idx="302">
                  <c:v>5.3781145239835057E-3</c:v>
                </c:pt>
                <c:pt idx="303">
                  <c:v>5.3943290998868729E-3</c:v>
                </c:pt>
                <c:pt idx="304">
                  <c:v>5.4170564190047154E-3</c:v>
                </c:pt>
                <c:pt idx="305">
                  <c:v>5.4229546331140237E-3</c:v>
                </c:pt>
                <c:pt idx="306">
                  <c:v>5.4516336199425851E-3</c:v>
                </c:pt>
                <c:pt idx="307">
                  <c:v>5.4531970428723132E-3</c:v>
                </c:pt>
                <c:pt idx="308">
                  <c:v>5.4766687167310327E-3</c:v>
                </c:pt>
                <c:pt idx="309">
                  <c:v>5.4895082186405247E-3</c:v>
                </c:pt>
                <c:pt idx="310">
                  <c:v>5.5053758308022567E-3</c:v>
                </c:pt>
                <c:pt idx="311">
                  <c:v>5.5193528115754483E-3</c:v>
                </c:pt>
                <c:pt idx="312">
                  <c:v>5.5213951449908927E-3</c:v>
                </c:pt>
                <c:pt idx="313">
                  <c:v>5.5525415694469768E-3</c:v>
                </c:pt>
                <c:pt idx="314">
                  <c:v>5.5635353852701791E-3</c:v>
                </c:pt>
                <c:pt idx="315">
                  <c:v>5.5826027919388798E-3</c:v>
                </c:pt>
                <c:pt idx="316">
                  <c:v>5.59522640536769E-3</c:v>
                </c:pt>
                <c:pt idx="317">
                  <c:v>5.6129669905838767E-3</c:v>
                </c:pt>
                <c:pt idx="318">
                  <c:v>5.626992390052871E-3</c:v>
                </c:pt>
                <c:pt idx="319">
                  <c:v>5.637178317114854E-3</c:v>
                </c:pt>
                <c:pt idx="320">
                  <c:v>5.6541006108147751E-3</c:v>
                </c:pt>
                <c:pt idx="321">
                  <c:v>5.6630570581186861E-3</c:v>
                </c:pt>
                <c:pt idx="322">
                  <c:v>5.6776022965304655E-3</c:v>
                </c:pt>
                <c:pt idx="323">
                  <c:v>5.6966867001444271E-3</c:v>
                </c:pt>
                <c:pt idx="324">
                  <c:v>5.7140073314155904E-3</c:v>
                </c:pt>
                <c:pt idx="325">
                  <c:v>5.7309503899086456E-3</c:v>
                </c:pt>
                <c:pt idx="326">
                  <c:v>5.7417791110635939E-3</c:v>
                </c:pt>
                <c:pt idx="327">
                  <c:v>5.7575707406757586E-3</c:v>
                </c:pt>
                <c:pt idx="328">
                  <c:v>5.7669802023189521E-3</c:v>
                </c:pt>
                <c:pt idx="329">
                  <c:v>5.7810576969958257E-3</c:v>
                </c:pt>
                <c:pt idx="330">
                  <c:v>5.7954919871114679E-3</c:v>
                </c:pt>
                <c:pt idx="331">
                  <c:v>5.8098436034736056E-3</c:v>
                </c:pt>
                <c:pt idx="332">
                  <c:v>5.8282494968453311E-3</c:v>
                </c:pt>
                <c:pt idx="333">
                  <c:v>5.8343536147413928E-3</c:v>
                </c:pt>
                <c:pt idx="334">
                  <c:v>5.8500732557423187E-3</c:v>
                </c:pt>
                <c:pt idx="335">
                  <c:v>5.8733678025386302E-3</c:v>
                </c:pt>
                <c:pt idx="336">
                  <c:v>5.8814792466386013E-3</c:v>
                </c:pt>
                <c:pt idx="337">
                  <c:v>5.9038656663841409E-3</c:v>
                </c:pt>
                <c:pt idx="338">
                  <c:v>5.9059752059089669E-3</c:v>
                </c:pt>
                <c:pt idx="339">
                  <c:v>5.92084348170636E-3</c:v>
                </c:pt>
                <c:pt idx="340">
                  <c:v>5.9404852374310242E-3</c:v>
                </c:pt>
                <c:pt idx="341">
                  <c:v>5.9517583141980978E-3</c:v>
                </c:pt>
                <c:pt idx="342">
                  <c:v>5.9651479112854972E-3</c:v>
                </c:pt>
                <c:pt idx="343">
                  <c:v>5.9713777647980018E-3</c:v>
                </c:pt>
                <c:pt idx="344">
                  <c:v>5.9836229102762034E-3</c:v>
                </c:pt>
                <c:pt idx="345">
                  <c:v>5.9970091877374768E-3</c:v>
                </c:pt>
                <c:pt idx="346">
                  <c:v>6.0128043813539199E-3</c:v>
                </c:pt>
                <c:pt idx="347">
                  <c:v>6.0252612861271763E-3</c:v>
                </c:pt>
                <c:pt idx="348">
                  <c:v>6.0402543509484544E-3</c:v>
                </c:pt>
                <c:pt idx="349">
                  <c:v>6.0522422767491906E-3</c:v>
                </c:pt>
                <c:pt idx="350">
                  <c:v>6.0675249380565347E-3</c:v>
                </c:pt>
                <c:pt idx="351">
                  <c:v>6.0807086854656562E-3</c:v>
                </c:pt>
                <c:pt idx="352">
                  <c:v>6.0925081004810141E-3</c:v>
                </c:pt>
                <c:pt idx="353">
                  <c:v>6.109879368814802E-3</c:v>
                </c:pt>
                <c:pt idx="354">
                  <c:v>6.1296743353790361E-3</c:v>
                </c:pt>
                <c:pt idx="355">
                  <c:v>6.1418123256916802E-3</c:v>
                </c:pt>
                <c:pt idx="356">
                  <c:v>6.1562866051876513E-3</c:v>
                </c:pt>
                <c:pt idx="357">
                  <c:v>6.1697410757913925E-3</c:v>
                </c:pt>
                <c:pt idx="358">
                  <c:v>6.1757935760913566E-3</c:v>
                </c:pt>
                <c:pt idx="359">
                  <c:v>6.1891610114719105E-3</c:v>
                </c:pt>
                <c:pt idx="360">
                  <c:v>6.2033771834435801E-3</c:v>
                </c:pt>
                <c:pt idx="361">
                  <c:v>6.2214616554103225E-3</c:v>
                </c:pt>
                <c:pt idx="362">
                  <c:v>6.2333700401533167E-3</c:v>
                </c:pt>
                <c:pt idx="363">
                  <c:v>6.2485038747915871E-3</c:v>
                </c:pt>
                <c:pt idx="364">
                  <c:v>6.2507359694823905E-3</c:v>
                </c:pt>
                <c:pt idx="365">
                  <c:v>6.2688101853832735E-3</c:v>
                </c:pt>
                <c:pt idx="366">
                  <c:v>6.2818965612253331E-3</c:v>
                </c:pt>
                <c:pt idx="367">
                  <c:v>6.2962364989543902E-3</c:v>
                </c:pt>
                <c:pt idx="368">
                  <c:v>6.3094461522326274E-3</c:v>
                </c:pt>
                <c:pt idx="369">
                  <c:v>6.3212811881842969E-3</c:v>
                </c:pt>
                <c:pt idx="370">
                  <c:v>6.3429510369940609E-3</c:v>
                </c:pt>
                <c:pt idx="371">
                  <c:v>6.3364042934584272E-3</c:v>
                </c:pt>
                <c:pt idx="372">
                  <c:v>6.3645618548826442E-3</c:v>
                </c:pt>
                <c:pt idx="373">
                  <c:v>6.3787921618573482E-3</c:v>
                </c:pt>
                <c:pt idx="374">
                  <c:v>6.3941500818349168E-3</c:v>
                </c:pt>
                <c:pt idx="375">
                  <c:v>6.4208745992978995E-3</c:v>
                </c:pt>
                <c:pt idx="376">
                  <c:v>6.4469036765961683E-3</c:v>
                </c:pt>
                <c:pt idx="377">
                  <c:v>6.4498821030120473E-3</c:v>
                </c:pt>
                <c:pt idx="378">
                  <c:v>6.4640605923756795E-3</c:v>
                </c:pt>
                <c:pt idx="379">
                  <c:v>6.4843712010381914E-3</c:v>
                </c:pt>
                <c:pt idx="380">
                  <c:v>6.5020667428067024E-3</c:v>
                </c:pt>
                <c:pt idx="381">
                  <c:v>6.5213746874084521E-3</c:v>
                </c:pt>
                <c:pt idx="382">
                  <c:v>6.5358333541134803E-3</c:v>
                </c:pt>
                <c:pt idx="383">
                  <c:v>6.550058332686055E-3</c:v>
                </c:pt>
                <c:pt idx="384">
                  <c:v>6.5716668438181502E-3</c:v>
                </c:pt>
                <c:pt idx="385">
                  <c:v>6.5864695682173397E-3</c:v>
                </c:pt>
                <c:pt idx="386">
                  <c:v>6.596427076238128E-3</c:v>
                </c:pt>
                <c:pt idx="387">
                  <c:v>6.6120895673324196E-3</c:v>
                </c:pt>
                <c:pt idx="388">
                  <c:v>6.6281103165864476E-3</c:v>
                </c:pt>
                <c:pt idx="389">
                  <c:v>6.639172542935055E-3</c:v>
                </c:pt>
                <c:pt idx="390">
                  <c:v>6.6510398158575734E-3</c:v>
                </c:pt>
                <c:pt idx="391">
                  <c:v>6.6638899064702037E-3</c:v>
                </c:pt>
                <c:pt idx="392">
                  <c:v>6.6757344806748749E-3</c:v>
                </c:pt>
                <c:pt idx="393">
                  <c:v>6.6928845799371604E-3</c:v>
                </c:pt>
                <c:pt idx="394">
                  <c:v>6.6994167035724595E-3</c:v>
                </c:pt>
                <c:pt idx="395">
                  <c:v>6.719739155246908E-3</c:v>
                </c:pt>
                <c:pt idx="396">
                  <c:v>6.7292291845928599E-3</c:v>
                </c:pt>
                <c:pt idx="397">
                  <c:v>6.7415694848269245E-3</c:v>
                </c:pt>
                <c:pt idx="398">
                  <c:v>6.7586909926591774E-3</c:v>
                </c:pt>
                <c:pt idx="399">
                  <c:v>6.7705012004800093E-3</c:v>
                </c:pt>
                <c:pt idx="400">
                  <c:v>6.7815979856995718E-3</c:v>
                </c:pt>
                <c:pt idx="401">
                  <c:v>6.8028791866748296E-3</c:v>
                </c:pt>
                <c:pt idx="402">
                  <c:v>6.8167831225465093E-3</c:v>
                </c:pt>
                <c:pt idx="403">
                  <c:v>6.8200386679567746E-3</c:v>
                </c:pt>
                <c:pt idx="404">
                  <c:v>6.8458947654654635E-3</c:v>
                </c:pt>
                <c:pt idx="405">
                  <c:v>6.850859233116683E-3</c:v>
                </c:pt>
                <c:pt idx="406">
                  <c:v>6.8643289309470524E-3</c:v>
                </c:pt>
                <c:pt idx="407">
                  <c:v>6.8806924908994069E-3</c:v>
                </c:pt>
                <c:pt idx="408">
                  <c:v>6.8861185290095203E-3</c:v>
                </c:pt>
                <c:pt idx="409">
                  <c:v>6.9102379923888773E-3</c:v>
                </c:pt>
                <c:pt idx="410">
                  <c:v>6.9277728145131969E-3</c:v>
                </c:pt>
                <c:pt idx="411">
                  <c:v>6.9419322462156716E-3</c:v>
                </c:pt>
                <c:pt idx="412">
                  <c:v>6.9608111766184698E-3</c:v>
                </c:pt>
                <c:pt idx="413">
                  <c:v>6.9608234599461399E-3</c:v>
                </c:pt>
                <c:pt idx="414">
                  <c:v>6.980278616506662E-3</c:v>
                </c:pt>
                <c:pt idx="415">
                  <c:v>6.9949661924987574E-3</c:v>
                </c:pt>
                <c:pt idx="416">
                  <c:v>7.0021711759974525E-3</c:v>
                </c:pt>
                <c:pt idx="417">
                  <c:v>7.0189031265488391E-3</c:v>
                </c:pt>
                <c:pt idx="418">
                  <c:v>7.0281388872739598E-3</c:v>
                </c:pt>
                <c:pt idx="419">
                  <c:v>7.0491077862319578E-3</c:v>
                </c:pt>
                <c:pt idx="420">
                  <c:v>7.0543652949932997E-3</c:v>
                </c:pt>
                <c:pt idx="421">
                  <c:v>7.0715370782636891E-3</c:v>
                </c:pt>
                <c:pt idx="422">
                  <c:v>7.0826261887099928E-3</c:v>
                </c:pt>
                <c:pt idx="423">
                  <c:v>7.0967292441766741E-3</c:v>
                </c:pt>
                <c:pt idx="424">
                  <c:v>7.1198221074534806E-3</c:v>
                </c:pt>
                <c:pt idx="425">
                  <c:v>7.1311339120237738E-3</c:v>
                </c:pt>
                <c:pt idx="426">
                  <c:v>7.1474952739563466E-3</c:v>
                </c:pt>
                <c:pt idx="427">
                  <c:v>7.1644834129348947E-3</c:v>
                </c:pt>
                <c:pt idx="428">
                  <c:v>7.1745731443819362E-3</c:v>
                </c:pt>
                <c:pt idx="429">
                  <c:v>7.1881771804382889E-3</c:v>
                </c:pt>
                <c:pt idx="430">
                  <c:v>7.2019377867031604E-3</c:v>
                </c:pt>
                <c:pt idx="431">
                  <c:v>7.2184222366095995E-3</c:v>
                </c:pt>
                <c:pt idx="432">
                  <c:v>7.2352719241561185E-3</c:v>
                </c:pt>
                <c:pt idx="433">
                  <c:v>7.2514683338170622E-3</c:v>
                </c:pt>
                <c:pt idx="434">
                  <c:v>7.2655697306399257E-3</c:v>
                </c:pt>
                <c:pt idx="435">
                  <c:v>7.2798060021359058E-3</c:v>
                </c:pt>
                <c:pt idx="436">
                  <c:v>7.3009025283917598E-3</c:v>
                </c:pt>
                <c:pt idx="437">
                  <c:v>7.3052767857936587E-3</c:v>
                </c:pt>
                <c:pt idx="438">
                  <c:v>7.3249635964633113E-3</c:v>
                </c:pt>
                <c:pt idx="439">
                  <c:v>7.3348552491201936E-3</c:v>
                </c:pt>
                <c:pt idx="440">
                  <c:v>7.3463249655483821E-3</c:v>
                </c:pt>
                <c:pt idx="441">
                  <c:v>7.3657784016842656E-3</c:v>
                </c:pt>
                <c:pt idx="442">
                  <c:v>7.3727272038800343E-3</c:v>
                </c:pt>
                <c:pt idx="443">
                  <c:v>7.3962997581926305E-3</c:v>
                </c:pt>
                <c:pt idx="444">
                  <c:v>7.4088809970311881E-3</c:v>
                </c:pt>
                <c:pt idx="445">
                  <c:v>7.4289398733116546E-3</c:v>
                </c:pt>
                <c:pt idx="446">
                  <c:v>7.4408230546735886E-3</c:v>
                </c:pt>
                <c:pt idx="447">
                  <c:v>7.4547823985825776E-3</c:v>
                </c:pt>
                <c:pt idx="448">
                  <c:v>7.4771556521476962E-3</c:v>
                </c:pt>
                <c:pt idx="449">
                  <c:v>7.4913549700136115E-3</c:v>
                </c:pt>
                <c:pt idx="450">
                  <c:v>7.5084029844473378E-3</c:v>
                </c:pt>
                <c:pt idx="451">
                  <c:v>7.5299272492152566E-3</c:v>
                </c:pt>
                <c:pt idx="452">
                  <c:v>7.5446926875872913E-3</c:v>
                </c:pt>
                <c:pt idx="453">
                  <c:v>7.5619658146017284E-3</c:v>
                </c:pt>
                <c:pt idx="454">
                  <c:v>7.5716767626812101E-3</c:v>
                </c:pt>
                <c:pt idx="455">
                  <c:v>7.5908723606708242E-3</c:v>
                </c:pt>
                <c:pt idx="456">
                  <c:v>7.6020120363516396E-3</c:v>
                </c:pt>
                <c:pt idx="457">
                  <c:v>7.61865380333091E-3</c:v>
                </c:pt>
                <c:pt idx="458">
                  <c:v>7.6399287513264419E-3</c:v>
                </c:pt>
                <c:pt idx="459">
                  <c:v>7.6491443371845191E-3</c:v>
                </c:pt>
                <c:pt idx="460">
                  <c:v>7.6731342107735365E-3</c:v>
                </c:pt>
                <c:pt idx="461">
                  <c:v>7.6883206404960843E-3</c:v>
                </c:pt>
                <c:pt idx="462">
                  <c:v>7.7014000056109654E-3</c:v>
                </c:pt>
                <c:pt idx="463">
                  <c:v>7.7206053876693239E-3</c:v>
                </c:pt>
                <c:pt idx="464">
                  <c:v>7.7364740978075114E-3</c:v>
                </c:pt>
                <c:pt idx="465">
                  <c:v>7.7535879656784939E-3</c:v>
                </c:pt>
                <c:pt idx="466">
                  <c:v>7.7653691022495789E-3</c:v>
                </c:pt>
                <c:pt idx="467">
                  <c:v>7.7825048562387535E-3</c:v>
                </c:pt>
                <c:pt idx="468">
                  <c:v>7.7972376879071924E-3</c:v>
                </c:pt>
                <c:pt idx="469">
                  <c:v>7.8173458082563731E-3</c:v>
                </c:pt>
                <c:pt idx="470">
                  <c:v>7.8290179054756066E-3</c:v>
                </c:pt>
                <c:pt idx="471">
                  <c:v>7.8405389865851861E-3</c:v>
                </c:pt>
                <c:pt idx="472">
                  <c:v>7.8628234806911897E-3</c:v>
                </c:pt>
                <c:pt idx="473">
                  <c:v>7.8784069549230323E-3</c:v>
                </c:pt>
                <c:pt idx="474">
                  <c:v>7.896903668513082E-3</c:v>
                </c:pt>
                <c:pt idx="475">
                  <c:v>7.9150997464741846E-3</c:v>
                </c:pt>
                <c:pt idx="476">
                  <c:v>7.9334896699974535E-3</c:v>
                </c:pt>
                <c:pt idx="477">
                  <c:v>7.9490655465372304E-3</c:v>
                </c:pt>
                <c:pt idx="478">
                  <c:v>7.966211145872374E-3</c:v>
                </c:pt>
                <c:pt idx="479">
                  <c:v>7.9829847189035359E-3</c:v>
                </c:pt>
                <c:pt idx="480">
                  <c:v>8.005316564547697E-3</c:v>
                </c:pt>
                <c:pt idx="481">
                  <c:v>8.0232464979729905E-3</c:v>
                </c:pt>
                <c:pt idx="482">
                  <c:v>8.0460516442279056E-3</c:v>
                </c:pt>
                <c:pt idx="483">
                  <c:v>8.0567524745257524E-3</c:v>
                </c:pt>
                <c:pt idx="484">
                  <c:v>8.0852751926602899E-3</c:v>
                </c:pt>
                <c:pt idx="485">
                  <c:v>8.1040654302628416E-3</c:v>
                </c:pt>
                <c:pt idx="486">
                  <c:v>8.1198529985843249E-3</c:v>
                </c:pt>
                <c:pt idx="487">
                  <c:v>8.1495033629808804E-3</c:v>
                </c:pt>
                <c:pt idx="488">
                  <c:v>8.1646038970813201E-3</c:v>
                </c:pt>
                <c:pt idx="489">
                  <c:v>8.182958922878231E-3</c:v>
                </c:pt>
                <c:pt idx="490">
                  <c:v>8.2041331057707001E-3</c:v>
                </c:pt>
                <c:pt idx="491">
                  <c:v>8.2238072804074851E-3</c:v>
                </c:pt>
                <c:pt idx="492">
                  <c:v>8.2493601091526633E-3</c:v>
                </c:pt>
                <c:pt idx="493">
                  <c:v>8.2708576074008184E-3</c:v>
                </c:pt>
                <c:pt idx="494">
                  <c:v>8.2925444209389649E-3</c:v>
                </c:pt>
                <c:pt idx="495">
                  <c:v>8.3234271498962235E-3</c:v>
                </c:pt>
                <c:pt idx="496">
                  <c:v>8.3330679307838194E-3</c:v>
                </c:pt>
                <c:pt idx="497">
                  <c:v>8.3553082610338687E-3</c:v>
                </c:pt>
                <c:pt idx="498">
                  <c:v>8.3803252454347291E-3</c:v>
                </c:pt>
                <c:pt idx="499">
                  <c:v>8.3888911387137704E-3</c:v>
                </c:pt>
                <c:pt idx="500">
                  <c:v>8.4140818858656884E-3</c:v>
                </c:pt>
                <c:pt idx="501">
                  <c:v>8.4369459403002955E-3</c:v>
                </c:pt>
                <c:pt idx="502">
                  <c:v>8.4619543892978343E-3</c:v>
                </c:pt>
                <c:pt idx="503">
                  <c:v>8.4892953691616622E-3</c:v>
                </c:pt>
                <c:pt idx="504">
                  <c:v>8.5052882369233643E-3</c:v>
                </c:pt>
                <c:pt idx="505">
                  <c:v>8.5390817796842794E-3</c:v>
                </c:pt>
                <c:pt idx="506">
                  <c:v>8.5554662915035846E-3</c:v>
                </c:pt>
                <c:pt idx="507">
                  <c:v>8.5852573958904183E-3</c:v>
                </c:pt>
                <c:pt idx="508">
                  <c:v>8.6149430163984866E-3</c:v>
                </c:pt>
                <c:pt idx="509">
                  <c:v>8.6366829616465988E-3</c:v>
                </c:pt>
                <c:pt idx="510">
                  <c:v>8.6577948829643561E-3</c:v>
                </c:pt>
                <c:pt idx="511">
                  <c:v>8.694042899731063E-3</c:v>
                </c:pt>
                <c:pt idx="512">
                  <c:v>8.7135119704732141E-3</c:v>
                </c:pt>
                <c:pt idx="513">
                  <c:v>8.7434404555319523E-3</c:v>
                </c:pt>
                <c:pt idx="514">
                  <c:v>8.7666395722869692E-3</c:v>
                </c:pt>
                <c:pt idx="515">
                  <c:v>8.8013741315779923E-3</c:v>
                </c:pt>
                <c:pt idx="516">
                  <c:v>8.8258412213573258E-3</c:v>
                </c:pt>
                <c:pt idx="517">
                  <c:v>8.8571928393960993E-3</c:v>
                </c:pt>
                <c:pt idx="518">
                  <c:v>8.8929396388782861E-3</c:v>
                </c:pt>
                <c:pt idx="519">
                  <c:v>8.9203171538781312E-3</c:v>
                </c:pt>
                <c:pt idx="520">
                  <c:v>8.9513752020997719E-3</c:v>
                </c:pt>
                <c:pt idx="521">
                  <c:v>8.9844412389297676E-3</c:v>
                </c:pt>
                <c:pt idx="522">
                  <c:v>9.009922721952229E-3</c:v>
                </c:pt>
                <c:pt idx="523">
                  <c:v>9.0468054741113992E-3</c:v>
                </c:pt>
                <c:pt idx="524">
                  <c:v>9.074160751446271E-3</c:v>
                </c:pt>
                <c:pt idx="525">
                  <c:v>9.1031959384286678E-3</c:v>
                </c:pt>
                <c:pt idx="526">
                  <c:v>9.1401026477180812E-3</c:v>
                </c:pt>
                <c:pt idx="527">
                  <c:v>9.1769798779351743E-3</c:v>
                </c:pt>
                <c:pt idx="528">
                  <c:v>9.2177227695631071E-3</c:v>
                </c:pt>
                <c:pt idx="529">
                  <c:v>9.244927750043876E-3</c:v>
                </c:pt>
                <c:pt idx="530">
                  <c:v>9.2865840998218666E-3</c:v>
                </c:pt>
                <c:pt idx="531">
                  <c:v>9.324860851854723E-3</c:v>
                </c:pt>
                <c:pt idx="532">
                  <c:v>9.3622661147776121E-3</c:v>
                </c:pt>
                <c:pt idx="533">
                  <c:v>9.409251376139861E-3</c:v>
                </c:pt>
                <c:pt idx="534">
                  <c:v>9.4387323562070101E-3</c:v>
                </c:pt>
                <c:pt idx="535">
                  <c:v>9.4898005366295616E-3</c:v>
                </c:pt>
                <c:pt idx="536">
                  <c:v>9.5185980781251484E-3</c:v>
                </c:pt>
                <c:pt idx="537">
                  <c:v>9.5586409724224899E-3</c:v>
                </c:pt>
                <c:pt idx="538">
                  <c:v>9.6019107486902348E-3</c:v>
                </c:pt>
                <c:pt idx="539">
                  <c:v>9.6420144417596609E-3</c:v>
                </c:pt>
                <c:pt idx="540">
                  <c:v>9.6798020046052098E-3</c:v>
                </c:pt>
                <c:pt idx="541">
                  <c:v>9.724294364649352E-3</c:v>
                </c:pt>
                <c:pt idx="542">
                  <c:v>9.7612559758133884E-3</c:v>
                </c:pt>
                <c:pt idx="543">
                  <c:v>9.8053261037373621E-3</c:v>
                </c:pt>
                <c:pt idx="544">
                  <c:v>9.8487429893959286E-3</c:v>
                </c:pt>
                <c:pt idx="545">
                  <c:v>9.892178162255209E-3</c:v>
                </c:pt>
                <c:pt idx="546">
                  <c:v>9.9470571371548938E-3</c:v>
                </c:pt>
                <c:pt idx="547">
                  <c:v>9.9748099386493677E-3</c:v>
                </c:pt>
                <c:pt idx="548">
                  <c:v>1.0031438392520235E-2</c:v>
                </c:pt>
                <c:pt idx="549">
                  <c:v>1.007183891671957E-2</c:v>
                </c:pt>
                <c:pt idx="550">
                  <c:v>1.011434173047512E-2</c:v>
                </c:pt>
                <c:pt idx="551">
                  <c:v>1.016020194594262E-2</c:v>
                </c:pt>
                <c:pt idx="552">
                  <c:v>1.0197006287103048E-2</c:v>
                </c:pt>
                <c:pt idx="553">
                  <c:v>1.024416407826619E-2</c:v>
                </c:pt>
                <c:pt idx="554">
                  <c:v>1.0292597184289431E-2</c:v>
                </c:pt>
                <c:pt idx="555">
                  <c:v>1.0335967715774868E-2</c:v>
                </c:pt>
                <c:pt idx="556">
                  <c:v>1.0383453791639737E-2</c:v>
                </c:pt>
                <c:pt idx="557">
                  <c:v>1.0432101925904958E-2</c:v>
                </c:pt>
                <c:pt idx="558">
                  <c:v>1.0480753453723009E-2</c:v>
                </c:pt>
                <c:pt idx="559">
                  <c:v>1.0534240113700301E-2</c:v>
                </c:pt>
                <c:pt idx="560">
                  <c:v>1.0577633283741049E-2</c:v>
                </c:pt>
                <c:pt idx="561">
                  <c:v>1.0630761290591748E-2</c:v>
                </c:pt>
                <c:pt idx="562">
                  <c:v>1.0678021009280038E-2</c:v>
                </c:pt>
                <c:pt idx="563">
                  <c:v>1.0723699178003277E-2</c:v>
                </c:pt>
                <c:pt idx="564">
                  <c:v>1.0777817782952261E-2</c:v>
                </c:pt>
                <c:pt idx="565">
                  <c:v>1.0828204391144448E-2</c:v>
                </c:pt>
                <c:pt idx="566">
                  <c:v>1.0878230038314894E-2</c:v>
                </c:pt>
                <c:pt idx="567">
                  <c:v>1.0934692927850209E-2</c:v>
                </c:pt>
                <c:pt idx="568">
                  <c:v>1.0986576412801886E-2</c:v>
                </c:pt>
                <c:pt idx="569">
                  <c:v>1.1040022353024887E-2</c:v>
                </c:pt>
                <c:pt idx="570">
                  <c:v>1.109826998632563E-2</c:v>
                </c:pt>
                <c:pt idx="571">
                  <c:v>1.1140225522693458E-2</c:v>
                </c:pt>
                <c:pt idx="572">
                  <c:v>1.1204145544518668E-2</c:v>
                </c:pt>
                <c:pt idx="573">
                  <c:v>1.1241369782423643E-2</c:v>
                </c:pt>
                <c:pt idx="574">
                  <c:v>1.1294577646777037E-2</c:v>
                </c:pt>
                <c:pt idx="575">
                  <c:v>1.1352616941318141E-2</c:v>
                </c:pt>
                <c:pt idx="576">
                  <c:v>1.1402433647945414E-2</c:v>
                </c:pt>
                <c:pt idx="577">
                  <c:v>1.1458638928017219E-2</c:v>
                </c:pt>
                <c:pt idx="578">
                  <c:v>1.1507193787455371E-2</c:v>
                </c:pt>
                <c:pt idx="579">
                  <c:v>1.1563063052962622E-2</c:v>
                </c:pt>
                <c:pt idx="580">
                  <c:v>1.1615724477926579E-2</c:v>
                </c:pt>
                <c:pt idx="581">
                  <c:v>1.1666281036850391E-2</c:v>
                </c:pt>
                <c:pt idx="582">
                  <c:v>1.1720533469270124E-2</c:v>
                </c:pt>
                <c:pt idx="583">
                  <c:v>1.1784320773190731E-2</c:v>
                </c:pt>
                <c:pt idx="584">
                  <c:v>1.1834988169288374E-2</c:v>
                </c:pt>
                <c:pt idx="585">
                  <c:v>1.1893569864991882E-2</c:v>
                </c:pt>
                <c:pt idx="586">
                  <c:v>1.1951043819439776E-2</c:v>
                </c:pt>
                <c:pt idx="587">
                  <c:v>1.2009231943412434E-2</c:v>
                </c:pt>
                <c:pt idx="588">
                  <c:v>1.2070740723334051E-2</c:v>
                </c:pt>
                <c:pt idx="589">
                  <c:v>1.2124621867904072E-2</c:v>
                </c:pt>
                <c:pt idx="590">
                  <c:v>1.2185884914976996E-2</c:v>
                </c:pt>
                <c:pt idx="591">
                  <c:v>1.2240023635146449E-2</c:v>
                </c:pt>
                <c:pt idx="592">
                  <c:v>1.2298795063205544E-2</c:v>
                </c:pt>
                <c:pt idx="593">
                  <c:v>1.2358241451987313E-2</c:v>
                </c:pt>
                <c:pt idx="594">
                  <c:v>1.2419214959234398E-2</c:v>
                </c:pt>
                <c:pt idx="595">
                  <c:v>1.2466035972855845E-2</c:v>
                </c:pt>
                <c:pt idx="596">
                  <c:v>1.253315213750612E-2</c:v>
                </c:pt>
                <c:pt idx="597">
                  <c:v>1.2588861369890705E-2</c:v>
                </c:pt>
                <c:pt idx="598">
                  <c:v>1.2651254842204937E-2</c:v>
                </c:pt>
                <c:pt idx="599">
                  <c:v>1.2710592637297943E-2</c:v>
                </c:pt>
                <c:pt idx="600">
                  <c:v>1.2766846564236982E-2</c:v>
                </c:pt>
                <c:pt idx="601">
                  <c:v>1.2826219163709861E-2</c:v>
                </c:pt>
                <c:pt idx="602">
                  <c:v>1.2886473159357356E-2</c:v>
                </c:pt>
                <c:pt idx="603">
                  <c:v>1.2942215862265601E-2</c:v>
                </c:pt>
                <c:pt idx="604">
                  <c:v>1.3004715130839093E-2</c:v>
                </c:pt>
                <c:pt idx="605">
                  <c:v>1.3063328167256695E-2</c:v>
                </c:pt>
                <c:pt idx="606">
                  <c:v>1.3118057090836814E-2</c:v>
                </c:pt>
                <c:pt idx="607">
                  <c:v>1.3184486123358239E-2</c:v>
                </c:pt>
                <c:pt idx="608">
                  <c:v>1.3240572666009481E-2</c:v>
                </c:pt>
                <c:pt idx="609">
                  <c:v>1.3296677602692843E-2</c:v>
                </c:pt>
                <c:pt idx="610">
                  <c:v>1.3355908190820477E-2</c:v>
                </c:pt>
                <c:pt idx="611">
                  <c:v>1.3417577564205111E-2</c:v>
                </c:pt>
                <c:pt idx="612">
                  <c:v>1.3483222910055097E-2</c:v>
                </c:pt>
                <c:pt idx="613">
                  <c:v>1.3544048905060465E-2</c:v>
                </c:pt>
                <c:pt idx="614">
                  <c:v>1.3601621160057007E-2</c:v>
                </c:pt>
                <c:pt idx="615">
                  <c:v>1.3660153287111799E-2</c:v>
                </c:pt>
                <c:pt idx="616">
                  <c:v>1.3718409269060426E-2</c:v>
                </c:pt>
                <c:pt idx="617">
                  <c:v>1.3780390711323878E-2</c:v>
                </c:pt>
                <c:pt idx="618">
                  <c:v>1.3840760901394114E-2</c:v>
                </c:pt>
                <c:pt idx="619">
                  <c:v>1.3898461022804372E-2</c:v>
                </c:pt>
                <c:pt idx="620">
                  <c:v>1.3968576433093721E-2</c:v>
                </c:pt>
                <c:pt idx="621">
                  <c:v>1.4021307203852362E-2</c:v>
                </c:pt>
                <c:pt idx="622">
                  <c:v>1.4082221005946919E-2</c:v>
                </c:pt>
                <c:pt idx="623">
                  <c:v>1.415180128715853E-2</c:v>
                </c:pt>
                <c:pt idx="624">
                  <c:v>1.4210001377013722E-2</c:v>
                </c:pt>
                <c:pt idx="625">
                  <c:v>1.4274477199188116E-2</c:v>
                </c:pt>
                <c:pt idx="626">
                  <c:v>1.4329748102785502E-2</c:v>
                </c:pt>
                <c:pt idx="627">
                  <c:v>1.439671491824304E-2</c:v>
                </c:pt>
                <c:pt idx="628">
                  <c:v>1.445357688894492E-2</c:v>
                </c:pt>
                <c:pt idx="629">
                  <c:v>1.4524694624821801E-2</c:v>
                </c:pt>
                <c:pt idx="630">
                  <c:v>1.4583255928131391E-2</c:v>
                </c:pt>
                <c:pt idx="631">
                  <c:v>1.4639266943745925E-2</c:v>
                </c:pt>
                <c:pt idx="632">
                  <c:v>1.4698502668800175E-2</c:v>
                </c:pt>
                <c:pt idx="633">
                  <c:v>1.4759575977557093E-2</c:v>
                </c:pt>
                <c:pt idx="634">
                  <c:v>1.4814900368899585E-2</c:v>
                </c:pt>
                <c:pt idx="635">
                  <c:v>1.4886422520726927E-2</c:v>
                </c:pt>
                <c:pt idx="636">
                  <c:v>1.4939241109538317E-2</c:v>
                </c:pt>
                <c:pt idx="637">
                  <c:v>1.5002870026839503E-2</c:v>
                </c:pt>
                <c:pt idx="638">
                  <c:v>1.5080439217488853E-2</c:v>
                </c:pt>
                <c:pt idx="639">
                  <c:v>1.5126912196711079E-2</c:v>
                </c:pt>
                <c:pt idx="640">
                  <c:v>1.5194522210318712E-2</c:v>
                </c:pt>
                <c:pt idx="641">
                  <c:v>1.525478846081044E-2</c:v>
                </c:pt>
                <c:pt idx="642">
                  <c:v>1.5313011811723386E-2</c:v>
                </c:pt>
                <c:pt idx="643">
                  <c:v>1.5378038473450146E-2</c:v>
                </c:pt>
                <c:pt idx="644">
                  <c:v>1.5437297800585798E-2</c:v>
                </c:pt>
                <c:pt idx="645">
                  <c:v>1.5493591983482989E-2</c:v>
                </c:pt>
                <c:pt idx="646">
                  <c:v>1.5564204548899398E-2</c:v>
                </c:pt>
                <c:pt idx="647">
                  <c:v>1.562590121225884E-2</c:v>
                </c:pt>
                <c:pt idx="648">
                  <c:v>1.5692145242404299E-2</c:v>
                </c:pt>
                <c:pt idx="649">
                  <c:v>1.5757753178421621E-2</c:v>
                </c:pt>
                <c:pt idx="650">
                  <c:v>1.5815105026788661E-2</c:v>
                </c:pt>
                <c:pt idx="651">
                  <c:v>1.5879092165205121E-2</c:v>
                </c:pt>
                <c:pt idx="652">
                  <c:v>1.5943597953362022E-2</c:v>
                </c:pt>
                <c:pt idx="653">
                  <c:v>1.6003604264867355E-2</c:v>
                </c:pt>
                <c:pt idx="654">
                  <c:v>1.6063037038616088E-2</c:v>
                </c:pt>
                <c:pt idx="655">
                  <c:v>1.6127359133389939E-2</c:v>
                </c:pt>
                <c:pt idx="656">
                  <c:v>1.6184453536840091E-2</c:v>
                </c:pt>
                <c:pt idx="657">
                  <c:v>1.6249583912628481E-2</c:v>
                </c:pt>
                <c:pt idx="658">
                  <c:v>1.6302913237917473E-2</c:v>
                </c:pt>
                <c:pt idx="659">
                  <c:v>1.6370688588793026E-2</c:v>
                </c:pt>
                <c:pt idx="660">
                  <c:v>1.6428401816096002E-2</c:v>
                </c:pt>
                <c:pt idx="661">
                  <c:v>1.6493360284685208E-2</c:v>
                </c:pt>
                <c:pt idx="662">
                  <c:v>1.6557072169636693E-2</c:v>
                </c:pt>
                <c:pt idx="663">
                  <c:v>1.6609532092335028E-2</c:v>
                </c:pt>
                <c:pt idx="664">
                  <c:v>1.6666683411051111E-2</c:v>
                </c:pt>
                <c:pt idx="665">
                  <c:v>1.6730726275014297E-2</c:v>
                </c:pt>
                <c:pt idx="666">
                  <c:v>1.6790855658297126E-2</c:v>
                </c:pt>
                <c:pt idx="667">
                  <c:v>1.6845036120601418E-2</c:v>
                </c:pt>
                <c:pt idx="668">
                  <c:v>1.6904268674321283E-2</c:v>
                </c:pt>
                <c:pt idx="669">
                  <c:v>1.6966400635420865E-2</c:v>
                </c:pt>
                <c:pt idx="670">
                  <c:v>1.7029749055809749E-2</c:v>
                </c:pt>
                <c:pt idx="671">
                  <c:v>1.7096043210241899E-2</c:v>
                </c:pt>
                <c:pt idx="672">
                  <c:v>1.715691162515931E-2</c:v>
                </c:pt>
                <c:pt idx="673">
                  <c:v>1.7220136411414771E-2</c:v>
                </c:pt>
                <c:pt idx="674">
                  <c:v>1.7287758091729985E-2</c:v>
                </c:pt>
                <c:pt idx="675">
                  <c:v>1.7351233465032208E-2</c:v>
                </c:pt>
                <c:pt idx="676">
                  <c:v>1.7422564438771788E-2</c:v>
                </c:pt>
                <c:pt idx="677">
                  <c:v>1.7485695213695782E-2</c:v>
                </c:pt>
                <c:pt idx="678">
                  <c:v>1.7547703838630888E-2</c:v>
                </c:pt>
                <c:pt idx="679">
                  <c:v>1.7613663410979339E-2</c:v>
                </c:pt>
                <c:pt idx="680">
                  <c:v>1.7677058054198651E-2</c:v>
                </c:pt>
                <c:pt idx="681">
                  <c:v>1.7738485831375855E-2</c:v>
                </c:pt>
                <c:pt idx="682">
                  <c:v>1.7799586764199658E-2</c:v>
                </c:pt>
                <c:pt idx="683">
                  <c:v>1.7850902316078256E-2</c:v>
                </c:pt>
                <c:pt idx="684">
                  <c:v>1.7913795941089744E-2</c:v>
                </c:pt>
                <c:pt idx="685">
                  <c:v>1.7979599879319769E-2</c:v>
                </c:pt>
                <c:pt idx="686">
                  <c:v>1.8040641777673137E-2</c:v>
                </c:pt>
                <c:pt idx="687">
                  <c:v>1.8104042228312581E-2</c:v>
                </c:pt>
                <c:pt idx="688">
                  <c:v>1.8161329695343641E-2</c:v>
                </c:pt>
                <c:pt idx="689">
                  <c:v>1.8225717016763981E-2</c:v>
                </c:pt>
                <c:pt idx="690">
                  <c:v>1.8283343290293613E-2</c:v>
                </c:pt>
                <c:pt idx="691">
                  <c:v>1.8345685377393242E-2</c:v>
                </c:pt>
                <c:pt idx="692">
                  <c:v>1.8414755351357167E-2</c:v>
                </c:pt>
                <c:pt idx="693">
                  <c:v>1.8473783574965704E-2</c:v>
                </c:pt>
                <c:pt idx="694">
                  <c:v>1.8538286486128385E-2</c:v>
                </c:pt>
                <c:pt idx="695">
                  <c:v>1.8600929781091579E-2</c:v>
                </c:pt>
                <c:pt idx="696">
                  <c:v>1.8666584255790007E-2</c:v>
                </c:pt>
                <c:pt idx="697">
                  <c:v>1.8739793781554218E-2</c:v>
                </c:pt>
                <c:pt idx="698">
                  <c:v>1.8794719901360016E-2</c:v>
                </c:pt>
                <c:pt idx="699">
                  <c:v>1.8852680395374039E-2</c:v>
                </c:pt>
                <c:pt idx="700">
                  <c:v>1.8919660588529293E-2</c:v>
                </c:pt>
                <c:pt idx="701">
                  <c:v>1.8980593730568391E-2</c:v>
                </c:pt>
                <c:pt idx="702">
                  <c:v>1.9045256705157304E-2</c:v>
                </c:pt>
                <c:pt idx="703">
                  <c:v>1.9111500185587566E-2</c:v>
                </c:pt>
                <c:pt idx="704">
                  <c:v>1.9172885595868178E-2</c:v>
                </c:pt>
                <c:pt idx="705">
                  <c:v>1.9231600721739014E-2</c:v>
                </c:pt>
                <c:pt idx="706">
                  <c:v>1.9293297067213899E-2</c:v>
                </c:pt>
                <c:pt idx="707">
                  <c:v>1.9349634373333344E-2</c:v>
                </c:pt>
                <c:pt idx="708">
                  <c:v>1.9419609823172687E-2</c:v>
                </c:pt>
                <c:pt idx="709">
                  <c:v>1.9479022597996866E-2</c:v>
                </c:pt>
                <c:pt idx="710">
                  <c:v>1.9542497458521168E-2</c:v>
                </c:pt>
                <c:pt idx="711">
                  <c:v>1.96057884959196E-2</c:v>
                </c:pt>
                <c:pt idx="712">
                  <c:v>1.9657803357966044E-2</c:v>
                </c:pt>
                <c:pt idx="713">
                  <c:v>1.97214680469559E-2</c:v>
                </c:pt>
                <c:pt idx="714">
                  <c:v>1.9777005115188241E-2</c:v>
                </c:pt>
                <c:pt idx="715">
                  <c:v>1.9834296688202122E-2</c:v>
                </c:pt>
                <c:pt idx="716">
                  <c:v>1.9900075658219097E-2</c:v>
                </c:pt>
                <c:pt idx="717">
                  <c:v>1.9953055182954579E-2</c:v>
                </c:pt>
                <c:pt idx="718">
                  <c:v>2.0020757617843974E-2</c:v>
                </c:pt>
                <c:pt idx="719">
                  <c:v>2.0083834406689996E-2</c:v>
                </c:pt>
                <c:pt idx="720">
                  <c:v>2.014656493690219E-2</c:v>
                </c:pt>
                <c:pt idx="721">
                  <c:v>2.0203202159348892E-2</c:v>
                </c:pt>
                <c:pt idx="722">
                  <c:v>2.0265072455347286E-2</c:v>
                </c:pt>
                <c:pt idx="723">
                  <c:v>2.0329968978952069E-2</c:v>
                </c:pt>
                <c:pt idx="724">
                  <c:v>2.0392599948201737E-2</c:v>
                </c:pt>
                <c:pt idx="725">
                  <c:v>2.0455601961353216E-2</c:v>
                </c:pt>
                <c:pt idx="726">
                  <c:v>2.0517040357108333E-2</c:v>
                </c:pt>
                <c:pt idx="727">
                  <c:v>2.0586205716573928E-2</c:v>
                </c:pt>
                <c:pt idx="728">
                  <c:v>2.0652047857326574E-2</c:v>
                </c:pt>
                <c:pt idx="729">
                  <c:v>2.0714162633708913E-2</c:v>
                </c:pt>
                <c:pt idx="730">
                  <c:v>2.0777961070307445E-2</c:v>
                </c:pt>
                <c:pt idx="731">
                  <c:v>2.0841791066340605E-2</c:v>
                </c:pt>
                <c:pt idx="732">
                  <c:v>2.0906995045223749E-2</c:v>
                </c:pt>
                <c:pt idx="733">
                  <c:v>2.0968499764963504E-2</c:v>
                </c:pt>
                <c:pt idx="734">
                  <c:v>2.1033396253027518E-2</c:v>
                </c:pt>
                <c:pt idx="735">
                  <c:v>2.1094769240233648E-2</c:v>
                </c:pt>
                <c:pt idx="736">
                  <c:v>2.116262380487571E-2</c:v>
                </c:pt>
                <c:pt idx="737">
                  <c:v>2.1223929027210969E-2</c:v>
                </c:pt>
                <c:pt idx="738">
                  <c:v>2.1281395609613563E-2</c:v>
                </c:pt>
                <c:pt idx="739">
                  <c:v>2.1344870128212384E-2</c:v>
                </c:pt>
                <c:pt idx="740">
                  <c:v>2.1411767644931527E-2</c:v>
                </c:pt>
                <c:pt idx="741">
                  <c:v>2.1475152705402473E-2</c:v>
                </c:pt>
                <c:pt idx="742">
                  <c:v>2.154103888490742E-2</c:v>
                </c:pt>
                <c:pt idx="743">
                  <c:v>2.1593830434315214E-2</c:v>
                </c:pt>
                <c:pt idx="744">
                  <c:v>2.1656225657385002E-2</c:v>
                </c:pt>
                <c:pt idx="745">
                  <c:v>2.1719076916013783E-2</c:v>
                </c:pt>
                <c:pt idx="746">
                  <c:v>2.1779745751064318E-2</c:v>
                </c:pt>
                <c:pt idx="747">
                  <c:v>2.1846897508248638E-2</c:v>
                </c:pt>
                <c:pt idx="748">
                  <c:v>2.1906365562771993E-2</c:v>
                </c:pt>
                <c:pt idx="749">
                  <c:v>2.1968798231652015E-2</c:v>
                </c:pt>
                <c:pt idx="750">
                  <c:v>2.2030493909209053E-2</c:v>
                </c:pt>
                <c:pt idx="751">
                  <c:v>2.2093466835930737E-2</c:v>
                </c:pt>
                <c:pt idx="752">
                  <c:v>2.2161878497854438E-2</c:v>
                </c:pt>
                <c:pt idx="753">
                  <c:v>2.2217449564721953E-2</c:v>
                </c:pt>
                <c:pt idx="754">
                  <c:v>2.228306769580744E-2</c:v>
                </c:pt>
                <c:pt idx="755">
                  <c:v>2.2342001793366918E-2</c:v>
                </c:pt>
                <c:pt idx="756">
                  <c:v>2.2411381131232724E-2</c:v>
                </c:pt>
                <c:pt idx="757">
                  <c:v>2.2476457238925544E-2</c:v>
                </c:pt>
                <c:pt idx="758">
                  <c:v>2.2544800023205473E-2</c:v>
                </c:pt>
                <c:pt idx="759">
                  <c:v>2.2605036087745081E-2</c:v>
                </c:pt>
                <c:pt idx="760">
                  <c:v>2.2669105215517658E-2</c:v>
                </c:pt>
                <c:pt idx="761">
                  <c:v>2.272438636393953E-2</c:v>
                </c:pt>
                <c:pt idx="762">
                  <c:v>2.2790329685740577E-2</c:v>
                </c:pt>
                <c:pt idx="763">
                  <c:v>2.2851681703881879E-2</c:v>
                </c:pt>
                <c:pt idx="764">
                  <c:v>2.2919348896191787E-2</c:v>
                </c:pt>
                <c:pt idx="765">
                  <c:v>2.2986446927149646E-2</c:v>
                </c:pt>
                <c:pt idx="766">
                  <c:v>2.3041079147749544E-2</c:v>
                </c:pt>
                <c:pt idx="767">
                  <c:v>2.3101248355742059E-2</c:v>
                </c:pt>
                <c:pt idx="768">
                  <c:v>2.3175597041705066E-2</c:v>
                </c:pt>
                <c:pt idx="769">
                  <c:v>2.3235731143041751E-2</c:v>
                </c:pt>
                <c:pt idx="770">
                  <c:v>2.33071298276133E-2</c:v>
                </c:pt>
                <c:pt idx="771">
                  <c:v>2.3367250333774413E-2</c:v>
                </c:pt>
                <c:pt idx="772">
                  <c:v>2.3428109246549762E-2</c:v>
                </c:pt>
                <c:pt idx="773">
                  <c:v>2.3506689267561023E-2</c:v>
                </c:pt>
                <c:pt idx="774">
                  <c:v>2.3556553007294083E-2</c:v>
                </c:pt>
                <c:pt idx="775">
                  <c:v>2.3621965369357095E-2</c:v>
                </c:pt>
                <c:pt idx="776">
                  <c:v>2.3681929100943664E-2</c:v>
                </c:pt>
                <c:pt idx="777">
                  <c:v>2.374045681824585E-2</c:v>
                </c:pt>
                <c:pt idx="778">
                  <c:v>2.3812387856308351E-2</c:v>
                </c:pt>
                <c:pt idx="779">
                  <c:v>2.3868216814865475E-2</c:v>
                </c:pt>
                <c:pt idx="780">
                  <c:v>2.3936014166695215E-2</c:v>
                </c:pt>
                <c:pt idx="781">
                  <c:v>2.3998078735155495E-2</c:v>
                </c:pt>
                <c:pt idx="782">
                  <c:v>2.4060719055355097E-2</c:v>
                </c:pt>
                <c:pt idx="783">
                  <c:v>2.4126203565373251E-2</c:v>
                </c:pt>
                <c:pt idx="784">
                  <c:v>2.4195121174694301E-2</c:v>
                </c:pt>
                <c:pt idx="785">
                  <c:v>2.4257335841491555E-2</c:v>
                </c:pt>
                <c:pt idx="786">
                  <c:v>2.4324778747028104E-2</c:v>
                </c:pt>
                <c:pt idx="787">
                  <c:v>2.4392356276623239E-2</c:v>
                </c:pt>
                <c:pt idx="788">
                  <c:v>2.4445280108953655E-2</c:v>
                </c:pt>
                <c:pt idx="789">
                  <c:v>2.4520079877180068E-2</c:v>
                </c:pt>
                <c:pt idx="790">
                  <c:v>2.4574916611375064E-2</c:v>
                </c:pt>
                <c:pt idx="791">
                  <c:v>2.4641517474823089E-2</c:v>
                </c:pt>
                <c:pt idx="792">
                  <c:v>2.4707849842927263E-2</c:v>
                </c:pt>
                <c:pt idx="793">
                  <c:v>2.4769760058497615E-2</c:v>
                </c:pt>
                <c:pt idx="794">
                  <c:v>2.4844688864736668E-2</c:v>
                </c:pt>
                <c:pt idx="795">
                  <c:v>2.4901753298551092E-2</c:v>
                </c:pt>
                <c:pt idx="796">
                  <c:v>2.4960455210128702E-2</c:v>
                </c:pt>
                <c:pt idx="797">
                  <c:v>2.5033116017686825E-2</c:v>
                </c:pt>
                <c:pt idx="798">
                  <c:v>2.5090050493006232E-2</c:v>
                </c:pt>
                <c:pt idx="799">
                  <c:v>2.5157462805821918E-2</c:v>
                </c:pt>
                <c:pt idx="800">
                  <c:v>2.5218107866451817E-2</c:v>
                </c:pt>
                <c:pt idx="801">
                  <c:v>2.5275573819751641E-2</c:v>
                </c:pt>
                <c:pt idx="802">
                  <c:v>2.5345720374213853E-2</c:v>
                </c:pt>
                <c:pt idx="803">
                  <c:v>2.5407653535005327E-2</c:v>
                </c:pt>
                <c:pt idx="804">
                  <c:v>2.5469892114287747E-2</c:v>
                </c:pt>
                <c:pt idx="805">
                  <c:v>2.5541012312859962E-2</c:v>
                </c:pt>
                <c:pt idx="806">
                  <c:v>2.5603472374770727E-2</c:v>
                </c:pt>
                <c:pt idx="807">
                  <c:v>2.5671437267228772E-2</c:v>
                </c:pt>
                <c:pt idx="808">
                  <c:v>2.5732689367451503E-2</c:v>
                </c:pt>
                <c:pt idx="809">
                  <c:v>2.5796110298623279E-2</c:v>
                </c:pt>
                <c:pt idx="810">
                  <c:v>2.5872456843470143E-2</c:v>
                </c:pt>
                <c:pt idx="811">
                  <c:v>2.593357468974572E-2</c:v>
                </c:pt>
                <c:pt idx="812">
                  <c:v>2.60022289077366E-2</c:v>
                </c:pt>
                <c:pt idx="813">
                  <c:v>2.6066174328082118E-2</c:v>
                </c:pt>
                <c:pt idx="814">
                  <c:v>2.612625111188709E-2</c:v>
                </c:pt>
                <c:pt idx="815">
                  <c:v>2.6192502081283826E-2</c:v>
                </c:pt>
                <c:pt idx="816">
                  <c:v>2.6258918759047317E-2</c:v>
                </c:pt>
                <c:pt idx="817">
                  <c:v>2.6312753090358725E-2</c:v>
                </c:pt>
                <c:pt idx="818">
                  <c:v>2.6385378069938976E-2</c:v>
                </c:pt>
                <c:pt idx="819">
                  <c:v>2.6451317096242263E-2</c:v>
                </c:pt>
                <c:pt idx="820">
                  <c:v>2.6512833213110657E-2</c:v>
                </c:pt>
                <c:pt idx="821">
                  <c:v>2.658776756467094E-2</c:v>
                </c:pt>
                <c:pt idx="822">
                  <c:v>2.664472695243526E-2</c:v>
                </c:pt>
                <c:pt idx="823">
                  <c:v>2.6710892576229248E-2</c:v>
                </c:pt>
                <c:pt idx="824">
                  <c:v>2.6773271111860456E-2</c:v>
                </c:pt>
                <c:pt idx="825">
                  <c:v>2.6825134085375752E-2</c:v>
                </c:pt>
                <c:pt idx="826">
                  <c:v>2.6899268759501521E-2</c:v>
                </c:pt>
                <c:pt idx="827">
                  <c:v>2.6959932933920589E-2</c:v>
                </c:pt>
                <c:pt idx="828">
                  <c:v>2.7024055098795512E-2</c:v>
                </c:pt>
                <c:pt idx="829">
                  <c:v>2.7092498529669225E-2</c:v>
                </c:pt>
                <c:pt idx="830">
                  <c:v>2.7156835955385962E-2</c:v>
                </c:pt>
                <c:pt idx="831">
                  <c:v>2.7228773744212696E-2</c:v>
                </c:pt>
                <c:pt idx="832">
                  <c:v>2.7292567150559513E-2</c:v>
                </c:pt>
                <c:pt idx="833">
                  <c:v>2.7355662685368046E-2</c:v>
                </c:pt>
                <c:pt idx="834">
                  <c:v>2.7416211398254273E-2</c:v>
                </c:pt>
                <c:pt idx="835">
                  <c:v>2.7476999954512565E-2</c:v>
                </c:pt>
                <c:pt idx="836">
                  <c:v>2.7547960567581749E-2</c:v>
                </c:pt>
                <c:pt idx="837">
                  <c:v>2.7613423793998566E-2</c:v>
                </c:pt>
                <c:pt idx="838">
                  <c:v>2.7677795656962888E-2</c:v>
                </c:pt>
                <c:pt idx="839">
                  <c:v>2.7751337802881294E-2</c:v>
                </c:pt>
                <c:pt idx="840">
                  <c:v>2.7807543127201281E-2</c:v>
                </c:pt>
                <c:pt idx="841">
                  <c:v>2.7884172140347455E-2</c:v>
                </c:pt>
                <c:pt idx="842">
                  <c:v>2.7956402904992402E-2</c:v>
                </c:pt>
                <c:pt idx="843">
                  <c:v>2.8015995513639685E-2</c:v>
                </c:pt>
                <c:pt idx="844">
                  <c:v>2.8088615755462419E-2</c:v>
                </c:pt>
                <c:pt idx="845">
                  <c:v>2.8155251832362133E-2</c:v>
                </c:pt>
                <c:pt idx="846">
                  <c:v>2.822440162734877E-2</c:v>
                </c:pt>
                <c:pt idx="847">
                  <c:v>2.8298718390564925E-2</c:v>
                </c:pt>
                <c:pt idx="848">
                  <c:v>2.836629100879938E-2</c:v>
                </c:pt>
                <c:pt idx="849">
                  <c:v>2.8433777026223753E-2</c:v>
                </c:pt>
                <c:pt idx="850">
                  <c:v>2.8493745688087709E-2</c:v>
                </c:pt>
                <c:pt idx="851">
                  <c:v>2.8558256072447344E-2</c:v>
                </c:pt>
                <c:pt idx="852">
                  <c:v>2.8630251501864771E-2</c:v>
                </c:pt>
                <c:pt idx="853">
                  <c:v>2.8696234981906273E-2</c:v>
                </c:pt>
                <c:pt idx="854">
                  <c:v>2.8760856731643636E-2</c:v>
                </c:pt>
                <c:pt idx="855">
                  <c:v>2.882612750127243E-2</c:v>
                </c:pt>
                <c:pt idx="856">
                  <c:v>2.8892341223317543E-2</c:v>
                </c:pt>
                <c:pt idx="857">
                  <c:v>2.8955672354455869E-2</c:v>
                </c:pt>
                <c:pt idx="858">
                  <c:v>2.9025434025622895E-2</c:v>
                </c:pt>
                <c:pt idx="859">
                  <c:v>2.9081542343889315E-2</c:v>
                </c:pt>
                <c:pt idx="860">
                  <c:v>2.9146831761065611E-2</c:v>
                </c:pt>
                <c:pt idx="861">
                  <c:v>2.921637941104736E-2</c:v>
                </c:pt>
                <c:pt idx="862">
                  <c:v>2.9278257036913845E-2</c:v>
                </c:pt>
                <c:pt idx="863">
                  <c:v>2.9346260913801929E-2</c:v>
                </c:pt>
                <c:pt idx="864">
                  <c:v>2.9415054278640957E-2</c:v>
                </c:pt>
                <c:pt idx="865">
                  <c:v>2.9480389745429159E-2</c:v>
                </c:pt>
                <c:pt idx="866">
                  <c:v>2.9550352175972728E-2</c:v>
                </c:pt>
                <c:pt idx="867">
                  <c:v>2.9614410174290177E-2</c:v>
                </c:pt>
                <c:pt idx="868">
                  <c:v>2.9685857790734974E-2</c:v>
                </c:pt>
                <c:pt idx="869">
                  <c:v>2.9759427566019365E-2</c:v>
                </c:pt>
                <c:pt idx="870">
                  <c:v>2.9821277249262406E-2</c:v>
                </c:pt>
                <c:pt idx="871">
                  <c:v>2.99035511171746E-2</c:v>
                </c:pt>
                <c:pt idx="872">
                  <c:v>2.9961954506339809E-2</c:v>
                </c:pt>
                <c:pt idx="873">
                  <c:v>3.003085521694536E-2</c:v>
                </c:pt>
                <c:pt idx="874">
                  <c:v>3.010949423155751E-2</c:v>
                </c:pt>
                <c:pt idx="875">
                  <c:v>3.0164084625858654E-2</c:v>
                </c:pt>
                <c:pt idx="876">
                  <c:v>3.0239516750513649E-2</c:v>
                </c:pt>
                <c:pt idx="877">
                  <c:v>3.0303572971614262E-2</c:v>
                </c:pt>
                <c:pt idx="878">
                  <c:v>3.0370538762206793E-2</c:v>
                </c:pt>
                <c:pt idx="879">
                  <c:v>3.0441088264080179E-2</c:v>
                </c:pt>
                <c:pt idx="880">
                  <c:v>3.0509072394127736E-2</c:v>
                </c:pt>
                <c:pt idx="881">
                  <c:v>3.0574251741747539E-2</c:v>
                </c:pt>
                <c:pt idx="882">
                  <c:v>3.0642780040314562E-2</c:v>
                </c:pt>
                <c:pt idx="883">
                  <c:v>3.0700663289423738E-2</c:v>
                </c:pt>
                <c:pt idx="884">
                  <c:v>3.0772676799362721E-2</c:v>
                </c:pt>
                <c:pt idx="885">
                  <c:v>3.0838558578711997E-2</c:v>
                </c:pt>
                <c:pt idx="886">
                  <c:v>3.0905392612739401E-2</c:v>
                </c:pt>
                <c:pt idx="887">
                  <c:v>3.0978432554643231E-2</c:v>
                </c:pt>
                <c:pt idx="888">
                  <c:v>3.1033680897964017E-2</c:v>
                </c:pt>
                <c:pt idx="889">
                  <c:v>3.1106285462677765E-2</c:v>
                </c:pt>
                <c:pt idx="890">
                  <c:v>3.1181590130612672E-2</c:v>
                </c:pt>
                <c:pt idx="891">
                  <c:v>3.1240985215511278E-2</c:v>
                </c:pt>
                <c:pt idx="892">
                  <c:v>3.1322761580611327E-2</c:v>
                </c:pt>
                <c:pt idx="893">
                  <c:v>3.1390276834975916E-2</c:v>
                </c:pt>
                <c:pt idx="894">
                  <c:v>3.1452451596726744E-2</c:v>
                </c:pt>
                <c:pt idx="895">
                  <c:v>3.1531125544669768E-2</c:v>
                </c:pt>
                <c:pt idx="896">
                  <c:v>3.1592750134548361E-2</c:v>
                </c:pt>
                <c:pt idx="897">
                  <c:v>3.1663842252965348E-2</c:v>
                </c:pt>
                <c:pt idx="898">
                  <c:v>3.1727271601303092E-2</c:v>
                </c:pt>
                <c:pt idx="899">
                  <c:v>3.17986924724592E-2</c:v>
                </c:pt>
                <c:pt idx="900">
                  <c:v>3.1872419895223908E-2</c:v>
                </c:pt>
                <c:pt idx="901">
                  <c:v>3.1938917074931121E-2</c:v>
                </c:pt>
                <c:pt idx="902">
                  <c:v>3.2014767906096427E-2</c:v>
                </c:pt>
                <c:pt idx="903">
                  <c:v>3.2080046485489309E-2</c:v>
                </c:pt>
                <c:pt idx="904">
                  <c:v>3.2148823963955603E-2</c:v>
                </c:pt>
                <c:pt idx="905">
                  <c:v>3.2218366056646817E-2</c:v>
                </c:pt>
                <c:pt idx="906">
                  <c:v>3.2283470725446371E-2</c:v>
                </c:pt>
                <c:pt idx="907">
                  <c:v>3.2345956287184376E-2</c:v>
                </c:pt>
                <c:pt idx="908">
                  <c:v>3.2416349661487258E-2</c:v>
                </c:pt>
                <c:pt idx="909">
                  <c:v>3.2479928514343608E-2</c:v>
                </c:pt>
                <c:pt idx="910">
                  <c:v>3.2551295652229341E-2</c:v>
                </c:pt>
                <c:pt idx="911">
                  <c:v>3.2615967369698906E-2</c:v>
                </c:pt>
                <c:pt idx="912">
                  <c:v>3.2685707962026259E-2</c:v>
                </c:pt>
                <c:pt idx="913">
                  <c:v>3.2753046764404103E-2</c:v>
                </c:pt>
                <c:pt idx="914">
                  <c:v>3.2823332629728218E-2</c:v>
                </c:pt>
                <c:pt idx="915">
                  <c:v>3.2892166023640139E-2</c:v>
                </c:pt>
                <c:pt idx="916">
                  <c:v>3.2956728403990568E-2</c:v>
                </c:pt>
                <c:pt idx="917">
                  <c:v>3.3029751019211302E-2</c:v>
                </c:pt>
                <c:pt idx="918">
                  <c:v>3.3092499689314742E-2</c:v>
                </c:pt>
                <c:pt idx="919">
                  <c:v>3.3166021986030358E-2</c:v>
                </c:pt>
                <c:pt idx="920">
                  <c:v>3.3232067220308678E-2</c:v>
                </c:pt>
                <c:pt idx="921">
                  <c:v>3.3294012159846169E-2</c:v>
                </c:pt>
                <c:pt idx="922">
                  <c:v>3.3369535090053998E-2</c:v>
                </c:pt>
                <c:pt idx="923">
                  <c:v>3.3435082759725662E-2</c:v>
                </c:pt>
                <c:pt idx="924">
                  <c:v>3.3508520770187247E-2</c:v>
                </c:pt>
                <c:pt idx="925">
                  <c:v>3.3578210402371078E-2</c:v>
                </c:pt>
                <c:pt idx="926">
                  <c:v>3.3640741751140776E-2</c:v>
                </c:pt>
                <c:pt idx="927">
                  <c:v>3.3714733067659215E-2</c:v>
                </c:pt>
                <c:pt idx="928">
                  <c:v>3.3783983462196306E-2</c:v>
                </c:pt>
                <c:pt idx="929">
                  <c:v>3.3853240315473189E-2</c:v>
                </c:pt>
                <c:pt idx="930">
                  <c:v>3.3915757282484027E-2</c:v>
                </c:pt>
                <c:pt idx="931">
                  <c:v>3.3986020551838608E-2</c:v>
                </c:pt>
                <c:pt idx="932">
                  <c:v>3.4052562990565881E-2</c:v>
                </c:pt>
                <c:pt idx="933">
                  <c:v>3.4119590421515578E-2</c:v>
                </c:pt>
                <c:pt idx="934">
                  <c:v>3.4192688489396911E-2</c:v>
                </c:pt>
                <c:pt idx="935">
                  <c:v>3.4255718590614305E-2</c:v>
                </c:pt>
                <c:pt idx="936">
                  <c:v>3.432165815093309E-2</c:v>
                </c:pt>
                <c:pt idx="937">
                  <c:v>3.4389775475611076E-2</c:v>
                </c:pt>
                <c:pt idx="938">
                  <c:v>3.4463528626625425E-2</c:v>
                </c:pt>
                <c:pt idx="939">
                  <c:v>3.453465312877127E-2</c:v>
                </c:pt>
                <c:pt idx="940">
                  <c:v>3.4608561467315974E-2</c:v>
                </c:pt>
                <c:pt idx="941">
                  <c:v>3.4674958480702872E-2</c:v>
                </c:pt>
                <c:pt idx="942">
                  <c:v>3.4738753710497103E-2</c:v>
                </c:pt>
                <c:pt idx="943">
                  <c:v>3.4816337550755132E-2</c:v>
                </c:pt>
                <c:pt idx="944">
                  <c:v>3.4885604453295277E-2</c:v>
                </c:pt>
                <c:pt idx="945">
                  <c:v>3.4953992520846917E-2</c:v>
                </c:pt>
                <c:pt idx="946">
                  <c:v>3.5027566372352083E-2</c:v>
                </c:pt>
                <c:pt idx="947">
                  <c:v>3.5091783095971801E-2</c:v>
                </c:pt>
                <c:pt idx="948">
                  <c:v>3.5169308644886273E-2</c:v>
                </c:pt>
                <c:pt idx="949">
                  <c:v>3.5236772617827927E-2</c:v>
                </c:pt>
                <c:pt idx="950">
                  <c:v>3.5306962798795097E-2</c:v>
                </c:pt>
                <c:pt idx="951">
                  <c:v>3.5376563735112332E-2</c:v>
                </c:pt>
                <c:pt idx="952">
                  <c:v>3.5441412558757664E-2</c:v>
                </c:pt>
                <c:pt idx="953">
                  <c:v>3.5515984209640042E-2</c:v>
                </c:pt>
                <c:pt idx="954">
                  <c:v>3.5580675134503019E-2</c:v>
                </c:pt>
                <c:pt idx="955">
                  <c:v>3.5644934987407374E-2</c:v>
                </c:pt>
                <c:pt idx="956">
                  <c:v>3.5714214728209306E-2</c:v>
                </c:pt>
                <c:pt idx="957">
                  <c:v>3.5775211413587346E-2</c:v>
                </c:pt>
                <c:pt idx="958">
                  <c:v>3.5848592900687197E-2</c:v>
                </c:pt>
                <c:pt idx="959">
                  <c:v>3.592411126991403E-2</c:v>
                </c:pt>
                <c:pt idx="960">
                  <c:v>3.5993907903531505E-2</c:v>
                </c:pt>
                <c:pt idx="961">
                  <c:v>3.6058699862937811E-2</c:v>
                </c:pt>
                <c:pt idx="962">
                  <c:v>3.6139367410816761E-2</c:v>
                </c:pt>
                <c:pt idx="963">
                  <c:v>3.621609604024114E-2</c:v>
                </c:pt>
                <c:pt idx="964">
                  <c:v>3.6285426037314536E-2</c:v>
                </c:pt>
                <c:pt idx="965">
                  <c:v>3.6356314434527352E-2</c:v>
                </c:pt>
                <c:pt idx="966">
                  <c:v>3.6422741434421445E-2</c:v>
                </c:pt>
                <c:pt idx="967">
                  <c:v>3.6492556590937336E-2</c:v>
                </c:pt>
                <c:pt idx="968">
                  <c:v>3.6559751776665664E-2</c:v>
                </c:pt>
                <c:pt idx="969">
                  <c:v>3.6622680560097397E-2</c:v>
                </c:pt>
                <c:pt idx="970">
                  <c:v>3.6709222212952974E-2</c:v>
                </c:pt>
                <c:pt idx="971">
                  <c:v>3.6770637946337829E-2</c:v>
                </c:pt>
                <c:pt idx="972">
                  <c:v>3.6842737425851813E-2</c:v>
                </c:pt>
                <c:pt idx="973">
                  <c:v>3.6922483460511336E-2</c:v>
                </c:pt>
                <c:pt idx="974">
                  <c:v>3.6986096208618244E-2</c:v>
                </c:pt>
                <c:pt idx="975">
                  <c:v>3.7066372077149259E-2</c:v>
                </c:pt>
                <c:pt idx="976">
                  <c:v>3.7133071617859822E-2</c:v>
                </c:pt>
                <c:pt idx="977">
                  <c:v>3.7207657434492739E-2</c:v>
                </c:pt>
                <c:pt idx="978">
                  <c:v>3.7284206006960217E-2</c:v>
                </c:pt>
                <c:pt idx="979">
                  <c:v>3.7342746288826854E-2</c:v>
                </c:pt>
                <c:pt idx="980">
                  <c:v>3.7418751858101638E-2</c:v>
                </c:pt>
                <c:pt idx="981">
                  <c:v>3.7475021975813337E-2</c:v>
                </c:pt>
                <c:pt idx="982">
                  <c:v>3.7544842196293442E-2</c:v>
                </c:pt>
                <c:pt idx="983">
                  <c:v>3.7623251329500215E-2</c:v>
                </c:pt>
                <c:pt idx="984">
                  <c:v>3.7679675304419617E-2</c:v>
                </c:pt>
                <c:pt idx="985">
                  <c:v>3.775527412388141E-2</c:v>
                </c:pt>
                <c:pt idx="986">
                  <c:v>3.7825848229808258E-2</c:v>
                </c:pt>
                <c:pt idx="987">
                  <c:v>3.7896843282647849E-2</c:v>
                </c:pt>
                <c:pt idx="988">
                  <c:v>3.7968032234229926E-2</c:v>
                </c:pt>
                <c:pt idx="989">
                  <c:v>3.803531046623719E-2</c:v>
                </c:pt>
                <c:pt idx="990">
                  <c:v>3.8120780242816912E-2</c:v>
                </c:pt>
                <c:pt idx="991">
                  <c:v>3.8179857057616257E-2</c:v>
                </c:pt>
                <c:pt idx="992">
                  <c:v>3.8255740206764033E-2</c:v>
                </c:pt>
                <c:pt idx="993">
                  <c:v>3.8324046643678333E-2</c:v>
                </c:pt>
                <c:pt idx="994">
                  <c:v>3.8386626437245358E-2</c:v>
                </c:pt>
                <c:pt idx="995">
                  <c:v>3.8458315442298031E-2</c:v>
                </c:pt>
                <c:pt idx="996">
                  <c:v>3.8522382248981607E-2</c:v>
                </c:pt>
                <c:pt idx="997">
                  <c:v>3.8605377064744727E-2</c:v>
                </c:pt>
                <c:pt idx="998">
                  <c:v>3.8676201999680408E-2</c:v>
                </c:pt>
                <c:pt idx="999">
                  <c:v>3.8746386370547094E-2</c:v>
                </c:pt>
                <c:pt idx="1000">
                  <c:v>3.8813634655075611E-2</c:v>
                </c:pt>
                <c:pt idx="1001">
                  <c:v>3.8880198164018248E-2</c:v>
                </c:pt>
                <c:pt idx="1002">
                  <c:v>3.895540956939042E-2</c:v>
                </c:pt>
                <c:pt idx="1003">
                  <c:v>3.9021280685685618E-2</c:v>
                </c:pt>
                <c:pt idx="1004">
                  <c:v>3.9094144486377061E-2</c:v>
                </c:pt>
                <c:pt idx="1005">
                  <c:v>3.916480327980397E-2</c:v>
                </c:pt>
                <c:pt idx="1006">
                  <c:v>3.9231371402766543E-2</c:v>
                </c:pt>
                <c:pt idx="1007">
                  <c:v>3.93067886525253E-2</c:v>
                </c:pt>
                <c:pt idx="1008">
                  <c:v>3.9374824677255199E-2</c:v>
                </c:pt>
                <c:pt idx="1009">
                  <c:v>3.9442816903867479E-2</c:v>
                </c:pt>
                <c:pt idx="1010">
                  <c:v>3.9516002497476006E-2</c:v>
                </c:pt>
                <c:pt idx="1011">
                  <c:v>3.9583694193457711E-2</c:v>
                </c:pt>
                <c:pt idx="1012">
                  <c:v>3.9654290433258597E-2</c:v>
                </c:pt>
                <c:pt idx="1013">
                  <c:v>3.9721776976241394E-2</c:v>
                </c:pt>
                <c:pt idx="1014">
                  <c:v>3.9789821132723502E-2</c:v>
                </c:pt>
                <c:pt idx="1015">
                  <c:v>3.9864994920820671E-2</c:v>
                </c:pt>
                <c:pt idx="1016">
                  <c:v>3.9935174210007376E-2</c:v>
                </c:pt>
                <c:pt idx="1017">
                  <c:v>4.0005583459407891E-2</c:v>
                </c:pt>
                <c:pt idx="1018">
                  <c:v>4.0081146455842404E-2</c:v>
                </c:pt>
                <c:pt idx="1019">
                  <c:v>4.0151920071258028E-2</c:v>
                </c:pt>
                <c:pt idx="1020">
                  <c:v>4.022208481912512E-2</c:v>
                </c:pt>
                <c:pt idx="1021">
                  <c:v>4.0299121423221902E-2</c:v>
                </c:pt>
                <c:pt idx="1022">
                  <c:v>4.0362030573963766E-2</c:v>
                </c:pt>
                <c:pt idx="1023">
                  <c:v>4.0433980596675093E-2</c:v>
                </c:pt>
                <c:pt idx="1024">
                  <c:v>4.0510112120912371E-2</c:v>
                </c:pt>
                <c:pt idx="1025">
                  <c:v>4.0579804598690115E-2</c:v>
                </c:pt>
                <c:pt idx="1026">
                  <c:v>4.0650640737944888E-2</c:v>
                </c:pt>
                <c:pt idx="1027">
                  <c:v>4.072467685779893E-2</c:v>
                </c:pt>
                <c:pt idx="1028">
                  <c:v>4.0794675699271248E-2</c:v>
                </c:pt>
                <c:pt idx="1029">
                  <c:v>4.0864462896438816E-2</c:v>
                </c:pt>
                <c:pt idx="1030">
                  <c:v>4.0937438365250559E-2</c:v>
                </c:pt>
                <c:pt idx="1031">
                  <c:v>4.101053700732573E-2</c:v>
                </c:pt>
                <c:pt idx="1032">
                  <c:v>4.1080532601951471E-2</c:v>
                </c:pt>
                <c:pt idx="1033">
                  <c:v>4.1154520144064836E-2</c:v>
                </c:pt>
                <c:pt idx="1034">
                  <c:v>4.1226815340364119E-2</c:v>
                </c:pt>
                <c:pt idx="1035">
                  <c:v>4.1298920996518197E-2</c:v>
                </c:pt>
                <c:pt idx="1036">
                  <c:v>4.1375453037047781E-2</c:v>
                </c:pt>
                <c:pt idx="1037">
                  <c:v>4.1452774999870282E-2</c:v>
                </c:pt>
                <c:pt idx="1038">
                  <c:v>4.1525930910678063E-2</c:v>
                </c:pt>
                <c:pt idx="1039">
                  <c:v>4.159247047196734E-2</c:v>
                </c:pt>
                <c:pt idx="1040">
                  <c:v>4.1668340773587532E-2</c:v>
                </c:pt>
                <c:pt idx="1041">
                  <c:v>4.172981558858415E-2</c:v>
                </c:pt>
                <c:pt idx="1042">
                  <c:v>4.1805432634669105E-2</c:v>
                </c:pt>
                <c:pt idx="1043">
                  <c:v>4.1873240267888877E-2</c:v>
                </c:pt>
                <c:pt idx="1044">
                  <c:v>4.194821016239559E-2</c:v>
                </c:pt>
                <c:pt idx="1045">
                  <c:v>4.2023902786743984E-2</c:v>
                </c:pt>
                <c:pt idx="1046">
                  <c:v>4.2094262793518224E-2</c:v>
                </c:pt>
                <c:pt idx="1047">
                  <c:v>4.2174726762432876E-2</c:v>
                </c:pt>
                <c:pt idx="1048">
                  <c:v>4.224076839760673E-2</c:v>
                </c:pt>
                <c:pt idx="1049">
                  <c:v>4.2319083604085379E-2</c:v>
                </c:pt>
                <c:pt idx="1050">
                  <c:v>4.2398000803755755E-2</c:v>
                </c:pt>
                <c:pt idx="1051">
                  <c:v>4.2463132303110766E-2</c:v>
                </c:pt>
                <c:pt idx="1052">
                  <c:v>4.2542992030482424E-2</c:v>
                </c:pt>
                <c:pt idx="1053">
                  <c:v>4.2611965663806067E-2</c:v>
                </c:pt>
                <c:pt idx="1054">
                  <c:v>4.2687028003055467E-2</c:v>
                </c:pt>
                <c:pt idx="1055">
                  <c:v>4.2758875079376049E-2</c:v>
                </c:pt>
                <c:pt idx="1056">
                  <c:v>4.2832783167469433E-2</c:v>
                </c:pt>
                <c:pt idx="1057">
                  <c:v>4.2896798967514436E-2</c:v>
                </c:pt>
                <c:pt idx="1058">
                  <c:v>4.2965778870475493E-2</c:v>
                </c:pt>
                <c:pt idx="1059">
                  <c:v>4.3025228084286278E-2</c:v>
                </c:pt>
                <c:pt idx="1060">
                  <c:v>4.3103233785652652E-2</c:v>
                </c:pt>
                <c:pt idx="1061">
                  <c:v>4.3168422504342496E-2</c:v>
                </c:pt>
                <c:pt idx="1062">
                  <c:v>4.3244730778228269E-2</c:v>
                </c:pt>
                <c:pt idx="1063">
                  <c:v>4.3316365003411926E-2</c:v>
                </c:pt>
                <c:pt idx="1064">
                  <c:v>4.3380436246744911E-2</c:v>
                </c:pt>
                <c:pt idx="1065">
                  <c:v>4.3461326250474809E-2</c:v>
                </c:pt>
                <c:pt idx="1066">
                  <c:v>4.3529481456481479E-2</c:v>
                </c:pt>
                <c:pt idx="1067">
                  <c:v>4.3610122579323903E-2</c:v>
                </c:pt>
                <c:pt idx="1068">
                  <c:v>4.3678551817020767E-2</c:v>
                </c:pt>
                <c:pt idx="1069">
                  <c:v>4.3754004939744372E-2</c:v>
                </c:pt>
                <c:pt idx="1070">
                  <c:v>4.3822154129762737E-2</c:v>
                </c:pt>
                <c:pt idx="1071">
                  <c:v>4.3893100792427794E-2</c:v>
                </c:pt>
                <c:pt idx="1072">
                  <c:v>4.3968601788480784E-2</c:v>
                </c:pt>
                <c:pt idx="1073">
                  <c:v>4.4035614000230074E-2</c:v>
                </c:pt>
                <c:pt idx="1074">
                  <c:v>4.4108656401388543E-2</c:v>
                </c:pt>
                <c:pt idx="1075">
                  <c:v>4.4178012224284045E-2</c:v>
                </c:pt>
                <c:pt idx="1076">
                  <c:v>4.4247521948852779E-2</c:v>
                </c:pt>
                <c:pt idx="1077">
                  <c:v>4.4331482406672409E-2</c:v>
                </c:pt>
                <c:pt idx="1078">
                  <c:v>4.4402523791827422E-2</c:v>
                </c:pt>
                <c:pt idx="1079">
                  <c:v>4.4472577454237591E-2</c:v>
                </c:pt>
                <c:pt idx="1080">
                  <c:v>4.4546659625734703E-2</c:v>
                </c:pt>
                <c:pt idx="1081">
                  <c:v>4.4618125500972904E-2</c:v>
                </c:pt>
                <c:pt idx="1082">
                  <c:v>4.4698573125654173E-2</c:v>
                </c:pt>
                <c:pt idx="1083">
                  <c:v>4.4771784190929129E-2</c:v>
                </c:pt>
                <c:pt idx="1084">
                  <c:v>4.4848437718270358E-2</c:v>
                </c:pt>
                <c:pt idx="1085">
                  <c:v>4.4927892936410259E-2</c:v>
                </c:pt>
                <c:pt idx="1086">
                  <c:v>4.4999776743858466E-2</c:v>
                </c:pt>
                <c:pt idx="1087">
                  <c:v>4.5075725616944111E-2</c:v>
                </c:pt>
                <c:pt idx="1088">
                  <c:v>4.5152945612100238E-2</c:v>
                </c:pt>
                <c:pt idx="1089">
                  <c:v>4.5223230459491913E-2</c:v>
                </c:pt>
                <c:pt idx="1090">
                  <c:v>4.5301899343150639E-2</c:v>
                </c:pt>
                <c:pt idx="1091">
                  <c:v>4.5368619235806068E-2</c:v>
                </c:pt>
                <c:pt idx="1092">
                  <c:v>4.5444097909767715E-2</c:v>
                </c:pt>
                <c:pt idx="1093">
                  <c:v>4.5524796135021556E-2</c:v>
                </c:pt>
                <c:pt idx="1094">
                  <c:v>4.5602629352027378E-2</c:v>
                </c:pt>
                <c:pt idx="1095">
                  <c:v>4.5674086534645456E-2</c:v>
                </c:pt>
                <c:pt idx="1096">
                  <c:v>4.5752461398358153E-2</c:v>
                </c:pt>
                <c:pt idx="1097">
                  <c:v>4.5824586202048295E-2</c:v>
                </c:pt>
                <c:pt idx="1098">
                  <c:v>4.5899110349911953E-2</c:v>
                </c:pt>
                <c:pt idx="1099">
                  <c:v>4.5978537725733751E-2</c:v>
                </c:pt>
                <c:pt idx="1100">
                  <c:v>4.6045532122283163E-2</c:v>
                </c:pt>
                <c:pt idx="1101">
                  <c:v>4.6122252050947998E-2</c:v>
                </c:pt>
                <c:pt idx="1102">
                  <c:v>4.6201089236369335E-2</c:v>
                </c:pt>
                <c:pt idx="1103">
                  <c:v>4.6271494971182631E-2</c:v>
                </c:pt>
                <c:pt idx="1104">
                  <c:v>4.6350662155413704E-2</c:v>
                </c:pt>
                <c:pt idx="1105">
                  <c:v>4.6420604486534039E-2</c:v>
                </c:pt>
                <c:pt idx="1106">
                  <c:v>4.649727619908043E-2</c:v>
                </c:pt>
                <c:pt idx="1107">
                  <c:v>4.6572461388758223E-2</c:v>
                </c:pt>
                <c:pt idx="1108">
                  <c:v>4.6644890961275894E-2</c:v>
                </c:pt>
                <c:pt idx="1109">
                  <c:v>4.6729514190680818E-2</c:v>
                </c:pt>
                <c:pt idx="1110">
                  <c:v>4.6798310770664195E-2</c:v>
                </c:pt>
                <c:pt idx="1111">
                  <c:v>4.6870551806067938E-2</c:v>
                </c:pt>
                <c:pt idx="1112">
                  <c:v>4.6943565160002761E-2</c:v>
                </c:pt>
                <c:pt idx="1113">
                  <c:v>4.7007137865485306E-2</c:v>
                </c:pt>
                <c:pt idx="1114">
                  <c:v>4.7092655023000883E-2</c:v>
                </c:pt>
                <c:pt idx="1115">
                  <c:v>4.7162886964355812E-2</c:v>
                </c:pt>
                <c:pt idx="1116">
                  <c:v>4.7231881378795283E-2</c:v>
                </c:pt>
                <c:pt idx="1117">
                  <c:v>4.7310933708891098E-2</c:v>
                </c:pt>
                <c:pt idx="1118">
                  <c:v>4.7383265404722631E-2</c:v>
                </c:pt>
                <c:pt idx="1119">
                  <c:v>4.7463962726957666E-2</c:v>
                </c:pt>
                <c:pt idx="1120">
                  <c:v>4.7535783806273192E-2</c:v>
                </c:pt>
                <c:pt idx="1121">
                  <c:v>4.7613349662706909E-2</c:v>
                </c:pt>
                <c:pt idx="1122">
                  <c:v>4.7686838801706155E-2</c:v>
                </c:pt>
                <c:pt idx="1123">
                  <c:v>4.776112996308516E-2</c:v>
                </c:pt>
                <c:pt idx="1124">
                  <c:v>4.7830965392421231E-2</c:v>
                </c:pt>
                <c:pt idx="1125">
                  <c:v>4.790013567110353E-2</c:v>
                </c:pt>
                <c:pt idx="1126">
                  <c:v>4.7980230939978941E-2</c:v>
                </c:pt>
                <c:pt idx="1127">
                  <c:v>4.8056514109822777E-2</c:v>
                </c:pt>
                <c:pt idx="1128">
                  <c:v>4.8124215403303548E-2</c:v>
                </c:pt>
                <c:pt idx="1129">
                  <c:v>4.820591240184615E-2</c:v>
                </c:pt>
                <c:pt idx="1130">
                  <c:v>4.8264840150843265E-2</c:v>
                </c:pt>
                <c:pt idx="1131">
                  <c:v>4.8343369956521158E-2</c:v>
                </c:pt>
                <c:pt idx="1132">
                  <c:v>4.8418483028305197E-2</c:v>
                </c:pt>
                <c:pt idx="1133">
                  <c:v>4.8489536886404547E-2</c:v>
                </c:pt>
                <c:pt idx="1134">
                  <c:v>4.8565254457086218E-2</c:v>
                </c:pt>
                <c:pt idx="1135">
                  <c:v>4.8633869420068081E-2</c:v>
                </c:pt>
                <c:pt idx="1136">
                  <c:v>4.8708750002107712E-2</c:v>
                </c:pt>
                <c:pt idx="1137">
                  <c:v>4.8793309639957726E-2</c:v>
                </c:pt>
                <c:pt idx="1138">
                  <c:v>4.8854675069394927E-2</c:v>
                </c:pt>
                <c:pt idx="1139">
                  <c:v>4.8930359455983854E-2</c:v>
                </c:pt>
                <c:pt idx="1140">
                  <c:v>4.9009069797705626E-2</c:v>
                </c:pt>
                <c:pt idx="1141">
                  <c:v>4.9086327497948702E-2</c:v>
                </c:pt>
                <c:pt idx="1142">
                  <c:v>4.9155521831603627E-2</c:v>
                </c:pt>
                <c:pt idx="1143">
                  <c:v>4.9220500073338086E-2</c:v>
                </c:pt>
                <c:pt idx="1144">
                  <c:v>4.9300916299594245E-2</c:v>
                </c:pt>
                <c:pt idx="1145">
                  <c:v>4.9373209471683936E-2</c:v>
                </c:pt>
                <c:pt idx="1146">
                  <c:v>4.9448289551294412E-2</c:v>
                </c:pt>
                <c:pt idx="1147">
                  <c:v>4.9532758982349039E-2</c:v>
                </c:pt>
                <c:pt idx="1148">
                  <c:v>4.95997400301759E-2</c:v>
                </c:pt>
                <c:pt idx="1149">
                  <c:v>4.9686362272891998E-2</c:v>
                </c:pt>
                <c:pt idx="1150">
                  <c:v>4.976664135933144E-2</c:v>
                </c:pt>
                <c:pt idx="1151">
                  <c:v>4.9841282112595642E-2</c:v>
                </c:pt>
                <c:pt idx="1152">
                  <c:v>4.9918829936657784E-2</c:v>
                </c:pt>
                <c:pt idx="1153">
                  <c:v>4.9992313188603081E-2</c:v>
                </c:pt>
                <c:pt idx="1154">
                  <c:v>5.0068758611320201E-2</c:v>
                </c:pt>
                <c:pt idx="1155">
                  <c:v>5.0146676322873514E-2</c:v>
                </c:pt>
                <c:pt idx="1156">
                  <c:v>5.0215714292475185E-2</c:v>
                </c:pt>
                <c:pt idx="1157">
                  <c:v>5.0299858771708957E-2</c:v>
                </c:pt>
                <c:pt idx="1158">
                  <c:v>5.0372716270323616E-2</c:v>
                </c:pt>
                <c:pt idx="1159">
                  <c:v>5.0445181051812088E-2</c:v>
                </c:pt>
                <c:pt idx="1160">
                  <c:v>5.0527114777508028E-2</c:v>
                </c:pt>
                <c:pt idx="1161">
                  <c:v>5.0596198424905793E-2</c:v>
                </c:pt>
                <c:pt idx="1162">
                  <c:v>5.0675690731351343E-2</c:v>
                </c:pt>
                <c:pt idx="1163">
                  <c:v>5.0750429647774195E-2</c:v>
                </c:pt>
                <c:pt idx="1164">
                  <c:v>5.083241028775904E-2</c:v>
                </c:pt>
                <c:pt idx="1165">
                  <c:v>5.0904753256458712E-2</c:v>
                </c:pt>
                <c:pt idx="1166">
                  <c:v>5.0984779714922455E-2</c:v>
                </c:pt>
                <c:pt idx="1167">
                  <c:v>5.1061691347641838E-2</c:v>
                </c:pt>
                <c:pt idx="1168">
                  <c:v>5.1146019080644874E-2</c:v>
                </c:pt>
                <c:pt idx="1169">
                  <c:v>5.1229554431992001E-2</c:v>
                </c:pt>
                <c:pt idx="1170">
                  <c:v>5.1297732467374721E-2</c:v>
                </c:pt>
                <c:pt idx="1171">
                  <c:v>5.1376969975507905E-2</c:v>
                </c:pt>
                <c:pt idx="1172">
                  <c:v>5.1458633886489989E-2</c:v>
                </c:pt>
                <c:pt idx="1173">
                  <c:v>5.1528570932623967E-2</c:v>
                </c:pt>
                <c:pt idx="1174">
                  <c:v>5.1620587365141614E-2</c:v>
                </c:pt>
                <c:pt idx="1175">
                  <c:v>5.1688246795470967E-2</c:v>
                </c:pt>
                <c:pt idx="1176">
                  <c:v>5.1772554873717978E-2</c:v>
                </c:pt>
                <c:pt idx="1177">
                  <c:v>5.1843415033214588E-2</c:v>
                </c:pt>
                <c:pt idx="1178">
                  <c:v>5.1923471410790983E-2</c:v>
                </c:pt>
                <c:pt idx="1179">
                  <c:v>5.2004797839262373E-2</c:v>
                </c:pt>
                <c:pt idx="1180">
                  <c:v>5.2081785774086002E-2</c:v>
                </c:pt>
                <c:pt idx="1181">
                  <c:v>5.2156839574900117E-2</c:v>
                </c:pt>
                <c:pt idx="1182">
                  <c:v>5.2238461924120613E-2</c:v>
                </c:pt>
                <c:pt idx="1183">
                  <c:v>5.2309885682196099E-2</c:v>
                </c:pt>
                <c:pt idx="1184">
                  <c:v>5.2391324307475312E-2</c:v>
                </c:pt>
                <c:pt idx="1185">
                  <c:v>5.246548773088975E-2</c:v>
                </c:pt>
                <c:pt idx="1186">
                  <c:v>5.2536243579212098E-2</c:v>
                </c:pt>
                <c:pt idx="1187">
                  <c:v>5.2609694904778959E-2</c:v>
                </c:pt>
                <c:pt idx="1188">
                  <c:v>5.2686746726260746E-2</c:v>
                </c:pt>
                <c:pt idx="1189">
                  <c:v>5.276582455880155E-2</c:v>
                </c:pt>
                <c:pt idx="1190">
                  <c:v>5.283988843885927E-2</c:v>
                </c:pt>
                <c:pt idx="1191">
                  <c:v>5.2918352401236171E-2</c:v>
                </c:pt>
                <c:pt idx="1192">
                  <c:v>5.2999117696856148E-2</c:v>
                </c:pt>
                <c:pt idx="1193">
                  <c:v>5.3067721670339171E-2</c:v>
                </c:pt>
                <c:pt idx="1194">
                  <c:v>5.3135316379811094E-2</c:v>
                </c:pt>
                <c:pt idx="1195">
                  <c:v>5.322066707836353E-2</c:v>
                </c:pt>
                <c:pt idx="1196">
                  <c:v>5.3285309975403872E-2</c:v>
                </c:pt>
                <c:pt idx="1197">
                  <c:v>5.3369014469327229E-2</c:v>
                </c:pt>
                <c:pt idx="1198">
                  <c:v>5.3442156350898641E-2</c:v>
                </c:pt>
                <c:pt idx="1199">
                  <c:v>5.351177825850964E-2</c:v>
                </c:pt>
                <c:pt idx="1200">
                  <c:v>5.3598983646458438E-2</c:v>
                </c:pt>
                <c:pt idx="1201">
                  <c:v>5.366675208771679E-2</c:v>
                </c:pt>
                <c:pt idx="1202">
                  <c:v>5.373522753207139E-2</c:v>
                </c:pt>
                <c:pt idx="1203">
                  <c:v>5.3825904907124897E-2</c:v>
                </c:pt>
                <c:pt idx="1204">
                  <c:v>5.3898103348601782E-2</c:v>
                </c:pt>
                <c:pt idx="1205">
                  <c:v>5.3976368513288922E-2</c:v>
                </c:pt>
                <c:pt idx="1206">
                  <c:v>5.4058636571527915E-2</c:v>
                </c:pt>
                <c:pt idx="1207">
                  <c:v>5.4132158128213294E-2</c:v>
                </c:pt>
                <c:pt idx="1208">
                  <c:v>5.4211921221902853E-2</c:v>
                </c:pt>
                <c:pt idx="1209">
                  <c:v>5.4290569805687548E-2</c:v>
                </c:pt>
                <c:pt idx="1210">
                  <c:v>5.4369019258267766E-2</c:v>
                </c:pt>
                <c:pt idx="1211">
                  <c:v>5.4448052374392555E-2</c:v>
                </c:pt>
                <c:pt idx="1212">
                  <c:v>5.4522195711852198E-2</c:v>
                </c:pt>
                <c:pt idx="1213">
                  <c:v>5.4594988747285966E-2</c:v>
                </c:pt>
                <c:pt idx="1214">
                  <c:v>5.4680033093938547E-2</c:v>
                </c:pt>
                <c:pt idx="1215">
                  <c:v>5.4758148917461398E-2</c:v>
                </c:pt>
                <c:pt idx="1216">
                  <c:v>5.4836886798655657E-2</c:v>
                </c:pt>
                <c:pt idx="1217">
                  <c:v>5.491788848833238E-2</c:v>
                </c:pt>
                <c:pt idx="1218">
                  <c:v>5.4992316540135283E-2</c:v>
                </c:pt>
                <c:pt idx="1219">
                  <c:v>5.507374635031613E-2</c:v>
                </c:pt>
                <c:pt idx="1220">
                  <c:v>5.5147887380597262E-2</c:v>
                </c:pt>
                <c:pt idx="1221">
                  <c:v>5.5230064628645173E-2</c:v>
                </c:pt>
                <c:pt idx="1222">
                  <c:v>5.5308649703492814E-2</c:v>
                </c:pt>
                <c:pt idx="1223">
                  <c:v>5.5379122066571425E-2</c:v>
                </c:pt>
                <c:pt idx="1224">
                  <c:v>5.5454562084731915E-2</c:v>
                </c:pt>
                <c:pt idx="1225">
                  <c:v>5.5526576963217104E-2</c:v>
                </c:pt>
                <c:pt idx="1226">
                  <c:v>5.5607539326113939E-2</c:v>
                </c:pt>
                <c:pt idx="1227">
                  <c:v>5.5695966038823499E-2</c:v>
                </c:pt>
                <c:pt idx="1228">
                  <c:v>5.5768145201638641E-2</c:v>
                </c:pt>
                <c:pt idx="1229">
                  <c:v>5.5850838468727688E-2</c:v>
                </c:pt>
                <c:pt idx="1230">
                  <c:v>5.5928620708118375E-2</c:v>
                </c:pt>
                <c:pt idx="1231">
                  <c:v>5.6012704149077698E-2</c:v>
                </c:pt>
                <c:pt idx="1232">
                  <c:v>5.6090908557480314E-2</c:v>
                </c:pt>
                <c:pt idx="1233">
                  <c:v>5.6173118406545264E-2</c:v>
                </c:pt>
                <c:pt idx="1234">
                  <c:v>5.6250545440346321E-2</c:v>
                </c:pt>
                <c:pt idx="1235">
                  <c:v>5.6324637789906914E-2</c:v>
                </c:pt>
                <c:pt idx="1236">
                  <c:v>5.6402163124343915E-2</c:v>
                </c:pt>
                <c:pt idx="1237">
                  <c:v>5.6478648237464082E-2</c:v>
                </c:pt>
                <c:pt idx="1238">
                  <c:v>5.6555936104763865E-2</c:v>
                </c:pt>
                <c:pt idx="1239">
                  <c:v>5.6636501659782436E-2</c:v>
                </c:pt>
                <c:pt idx="1240">
                  <c:v>5.6721169079392252E-2</c:v>
                </c:pt>
                <c:pt idx="1241">
                  <c:v>5.6798581189366412E-2</c:v>
                </c:pt>
                <c:pt idx="1242">
                  <c:v>5.6874414608227675E-2</c:v>
                </c:pt>
                <c:pt idx="1243">
                  <c:v>5.6949351513796737E-2</c:v>
                </c:pt>
                <c:pt idx="1244">
                  <c:v>5.7027444222629516E-2</c:v>
                </c:pt>
                <c:pt idx="1245">
                  <c:v>5.7099395402734884E-2</c:v>
                </c:pt>
                <c:pt idx="1246">
                  <c:v>5.7175304965478194E-2</c:v>
                </c:pt>
                <c:pt idx="1247">
                  <c:v>5.7253402019148338E-2</c:v>
                </c:pt>
                <c:pt idx="1248">
                  <c:v>5.7331729320985278E-2</c:v>
                </c:pt>
                <c:pt idx="1249">
                  <c:v>5.7410699016755364E-2</c:v>
                </c:pt>
                <c:pt idx="1250">
                  <c:v>5.7500208419059097E-2</c:v>
                </c:pt>
                <c:pt idx="1251">
                  <c:v>5.7579258228047686E-2</c:v>
                </c:pt>
                <c:pt idx="1252">
                  <c:v>5.7661686482897719E-2</c:v>
                </c:pt>
                <c:pt idx="1253">
                  <c:v>5.7733987629051652E-2</c:v>
                </c:pt>
                <c:pt idx="1254">
                  <c:v>5.7814985736600731E-2</c:v>
                </c:pt>
                <c:pt idx="1255">
                  <c:v>5.7889555552394119E-2</c:v>
                </c:pt>
                <c:pt idx="1256">
                  <c:v>5.7964581216705155E-2</c:v>
                </c:pt>
                <c:pt idx="1257">
                  <c:v>5.8046093423368229E-2</c:v>
                </c:pt>
                <c:pt idx="1258">
                  <c:v>5.8132036564836884E-2</c:v>
                </c:pt>
                <c:pt idx="1259">
                  <c:v>5.8203419558365034E-2</c:v>
                </c:pt>
                <c:pt idx="1260">
                  <c:v>5.8289997138995131E-2</c:v>
                </c:pt>
                <c:pt idx="1261">
                  <c:v>5.8368166421966662E-2</c:v>
                </c:pt>
                <c:pt idx="1262">
                  <c:v>5.8444539750824379E-2</c:v>
                </c:pt>
                <c:pt idx="1263">
                  <c:v>5.8520775489510131E-2</c:v>
                </c:pt>
                <c:pt idx="1264">
                  <c:v>5.8597773944689506E-2</c:v>
                </c:pt>
                <c:pt idx="1265">
                  <c:v>5.8673086817629769E-2</c:v>
                </c:pt>
                <c:pt idx="1266">
                  <c:v>5.8754601670090431E-2</c:v>
                </c:pt>
                <c:pt idx="1267">
                  <c:v>5.883800329699708E-2</c:v>
                </c:pt>
                <c:pt idx="1268">
                  <c:v>5.8921293702215438E-2</c:v>
                </c:pt>
                <c:pt idx="1269">
                  <c:v>5.9003622388680656E-2</c:v>
                </c:pt>
                <c:pt idx="1270">
                  <c:v>5.9079925255571049E-2</c:v>
                </c:pt>
                <c:pt idx="1271">
                  <c:v>5.9166454418798323E-2</c:v>
                </c:pt>
                <c:pt idx="1272">
                  <c:v>5.9246787994993444E-2</c:v>
                </c:pt>
                <c:pt idx="1273">
                  <c:v>5.9323807367758878E-2</c:v>
                </c:pt>
                <c:pt idx="1274">
                  <c:v>5.9411055909596097E-2</c:v>
                </c:pt>
                <c:pt idx="1275">
                  <c:v>5.9486817627528776E-2</c:v>
                </c:pt>
                <c:pt idx="1276">
                  <c:v>5.9563994010121746E-2</c:v>
                </c:pt>
                <c:pt idx="1277">
                  <c:v>5.9650618391907058E-2</c:v>
                </c:pt>
                <c:pt idx="1278">
                  <c:v>5.9730414107092594E-2</c:v>
                </c:pt>
                <c:pt idx="1279">
                  <c:v>5.9810028004803846E-2</c:v>
                </c:pt>
                <c:pt idx="1280">
                  <c:v>5.9886976599007651E-2</c:v>
                </c:pt>
                <c:pt idx="1281">
                  <c:v>5.9964900548104251E-2</c:v>
                </c:pt>
                <c:pt idx="1282">
                  <c:v>6.0044523188102772E-2</c:v>
                </c:pt>
                <c:pt idx="1283">
                  <c:v>6.0125937291501542E-2</c:v>
                </c:pt>
                <c:pt idx="1284">
                  <c:v>6.0209728849075453E-2</c:v>
                </c:pt>
                <c:pt idx="1285">
                  <c:v>6.0286849462307272E-2</c:v>
                </c:pt>
                <c:pt idx="1286">
                  <c:v>6.0368978129408161E-2</c:v>
                </c:pt>
                <c:pt idx="1287">
                  <c:v>6.044559332140452E-2</c:v>
                </c:pt>
                <c:pt idx="1288">
                  <c:v>6.0522405364322948E-2</c:v>
                </c:pt>
                <c:pt idx="1289">
                  <c:v>6.0607347057843645E-2</c:v>
                </c:pt>
                <c:pt idx="1290">
                  <c:v>6.0687274634696975E-2</c:v>
                </c:pt>
                <c:pt idx="1291">
                  <c:v>6.0774239975803654E-2</c:v>
                </c:pt>
                <c:pt idx="1292">
                  <c:v>6.0852155067528092E-2</c:v>
                </c:pt>
                <c:pt idx="1293">
                  <c:v>6.0938777472773278E-2</c:v>
                </c:pt>
                <c:pt idx="1294">
                  <c:v>6.102247357078136E-2</c:v>
                </c:pt>
                <c:pt idx="1295">
                  <c:v>6.1102893647789813E-2</c:v>
                </c:pt>
                <c:pt idx="1296">
                  <c:v>6.1179693547950942E-2</c:v>
                </c:pt>
                <c:pt idx="1297">
                  <c:v>6.1270919302599605E-2</c:v>
                </c:pt>
                <c:pt idx="1298">
                  <c:v>6.133931947146281E-2</c:v>
                </c:pt>
                <c:pt idx="1299">
                  <c:v>6.1422051474010073E-2</c:v>
                </c:pt>
                <c:pt idx="1300">
                  <c:v>6.1505521034843996E-2</c:v>
                </c:pt>
                <c:pt idx="1301">
                  <c:v>6.157771995157444E-2</c:v>
                </c:pt>
                <c:pt idx="1302">
                  <c:v>6.166694472153568E-2</c:v>
                </c:pt>
                <c:pt idx="1303">
                  <c:v>6.1746109099554421E-2</c:v>
                </c:pt>
                <c:pt idx="1304">
                  <c:v>6.1819959556362943E-2</c:v>
                </c:pt>
                <c:pt idx="1305">
                  <c:v>6.1910185855332048E-2</c:v>
                </c:pt>
                <c:pt idx="1306">
                  <c:v>6.1983427865344276E-2</c:v>
                </c:pt>
                <c:pt idx="1307">
                  <c:v>6.2069427172773299E-2</c:v>
                </c:pt>
                <c:pt idx="1308">
                  <c:v>6.2152470756954799E-2</c:v>
                </c:pt>
                <c:pt idx="1309">
                  <c:v>6.2231284943829318E-2</c:v>
                </c:pt>
                <c:pt idx="1310">
                  <c:v>6.2312351672708155E-2</c:v>
                </c:pt>
                <c:pt idx="1311">
                  <c:v>6.2398645349655876E-2</c:v>
                </c:pt>
                <c:pt idx="1312">
                  <c:v>6.2478112729334817E-2</c:v>
                </c:pt>
                <c:pt idx="1313">
                  <c:v>6.2568640537930639E-2</c:v>
                </c:pt>
                <c:pt idx="1314">
                  <c:v>6.2650647633244905E-2</c:v>
                </c:pt>
                <c:pt idx="1315">
                  <c:v>6.2731970116585614E-2</c:v>
                </c:pt>
                <c:pt idx="1316">
                  <c:v>6.2826186586404723E-2</c:v>
                </c:pt>
                <c:pt idx="1317">
                  <c:v>6.2908779276334023E-2</c:v>
                </c:pt>
                <c:pt idx="1318">
                  <c:v>6.3000601658236871E-2</c:v>
                </c:pt>
                <c:pt idx="1319">
                  <c:v>6.308311983053215E-2</c:v>
                </c:pt>
                <c:pt idx="1320">
                  <c:v>6.3155554669594438E-2</c:v>
                </c:pt>
                <c:pt idx="1321">
                  <c:v>6.3235639471293834E-2</c:v>
                </c:pt>
                <c:pt idx="1322">
                  <c:v>6.3321268907936379E-2</c:v>
                </c:pt>
                <c:pt idx="1323">
                  <c:v>6.3405792919661308E-2</c:v>
                </c:pt>
                <c:pt idx="1324">
                  <c:v>6.3491118265661978E-2</c:v>
                </c:pt>
                <c:pt idx="1325">
                  <c:v>6.3572831259640777E-2</c:v>
                </c:pt>
                <c:pt idx="1326">
                  <c:v>6.3651713825556552E-2</c:v>
                </c:pt>
                <c:pt idx="1327">
                  <c:v>6.3734713502031512E-2</c:v>
                </c:pt>
                <c:pt idx="1328">
                  <c:v>6.3815887807748731E-2</c:v>
                </c:pt>
                <c:pt idx="1329">
                  <c:v>6.3899873123175605E-2</c:v>
                </c:pt>
                <c:pt idx="1330">
                  <c:v>6.3979592579817876E-2</c:v>
                </c:pt>
                <c:pt idx="1331">
                  <c:v>6.4059633256755372E-2</c:v>
                </c:pt>
                <c:pt idx="1332">
                  <c:v>6.4146005575159759E-2</c:v>
                </c:pt>
                <c:pt idx="1333">
                  <c:v>6.4235760243179826E-2</c:v>
                </c:pt>
                <c:pt idx="1334">
                  <c:v>6.4311108203452774E-2</c:v>
                </c:pt>
                <c:pt idx="1335">
                  <c:v>6.439741514314623E-2</c:v>
                </c:pt>
                <c:pt idx="1336">
                  <c:v>6.4482759612361829E-2</c:v>
                </c:pt>
                <c:pt idx="1337">
                  <c:v>6.4559311300948649E-2</c:v>
                </c:pt>
                <c:pt idx="1338">
                  <c:v>6.4642934103670155E-2</c:v>
                </c:pt>
                <c:pt idx="1339">
                  <c:v>6.4721639554131377E-2</c:v>
                </c:pt>
                <c:pt idx="1340">
                  <c:v>6.4805625214496385E-2</c:v>
                </c:pt>
                <c:pt idx="1341">
                  <c:v>6.4889156507441148E-2</c:v>
                </c:pt>
                <c:pt idx="1342">
                  <c:v>6.4969331693772503E-2</c:v>
                </c:pt>
                <c:pt idx="1343">
                  <c:v>6.5057730777101766E-2</c:v>
                </c:pt>
                <c:pt idx="1344">
                  <c:v>6.5139959399213201E-2</c:v>
                </c:pt>
                <c:pt idx="1345">
                  <c:v>6.5223757245098116E-2</c:v>
                </c:pt>
                <c:pt idx="1346">
                  <c:v>6.5310089058607163E-2</c:v>
                </c:pt>
                <c:pt idx="1347">
                  <c:v>6.5398016391178634E-2</c:v>
                </c:pt>
                <c:pt idx="1348">
                  <c:v>6.5473015142208713E-2</c:v>
                </c:pt>
                <c:pt idx="1349">
                  <c:v>6.5560944505096155E-2</c:v>
                </c:pt>
                <c:pt idx="1350">
                  <c:v>6.5647721444819604E-2</c:v>
                </c:pt>
                <c:pt idx="1351">
                  <c:v>6.5721453303753369E-2</c:v>
                </c:pt>
                <c:pt idx="1352">
                  <c:v>6.5803807221484115E-2</c:v>
                </c:pt>
                <c:pt idx="1353">
                  <c:v>6.5882677494529543E-2</c:v>
                </c:pt>
                <c:pt idx="1354">
                  <c:v>6.5955847108600252E-2</c:v>
                </c:pt>
                <c:pt idx="1355">
                  <c:v>6.604905200459156E-2</c:v>
                </c:pt>
                <c:pt idx="1356">
                  <c:v>6.612829521590749E-2</c:v>
                </c:pt>
                <c:pt idx="1357">
                  <c:v>6.6204503129001807E-2</c:v>
                </c:pt>
                <c:pt idx="1358">
                  <c:v>6.6293550285343852E-2</c:v>
                </c:pt>
                <c:pt idx="1359">
                  <c:v>6.6374065055531478E-2</c:v>
                </c:pt>
                <c:pt idx="1360">
                  <c:v>6.6455308623864492E-2</c:v>
                </c:pt>
                <c:pt idx="1361">
                  <c:v>6.6542770437641147E-2</c:v>
                </c:pt>
                <c:pt idx="1362">
                  <c:v>6.6624376047766651E-2</c:v>
                </c:pt>
                <c:pt idx="1363">
                  <c:v>6.6710505356237293E-2</c:v>
                </c:pt>
                <c:pt idx="1364">
                  <c:v>6.6793643569122513E-2</c:v>
                </c:pt>
                <c:pt idx="1365">
                  <c:v>6.6889797368057335E-2</c:v>
                </c:pt>
                <c:pt idx="1366">
                  <c:v>6.6974537454451893E-2</c:v>
                </c:pt>
                <c:pt idx="1367">
                  <c:v>6.7058873004712125E-2</c:v>
                </c:pt>
                <c:pt idx="1368">
                  <c:v>6.7149525925369255E-2</c:v>
                </c:pt>
                <c:pt idx="1369">
                  <c:v>6.7231495652195855E-2</c:v>
                </c:pt>
                <c:pt idx="1370">
                  <c:v>6.7310775826635721E-2</c:v>
                </c:pt>
                <c:pt idx="1371">
                  <c:v>6.7400970605951682E-2</c:v>
                </c:pt>
                <c:pt idx="1372">
                  <c:v>6.7485749002022824E-2</c:v>
                </c:pt>
                <c:pt idx="1373">
                  <c:v>6.7574214268523128E-2</c:v>
                </c:pt>
                <c:pt idx="1374">
                  <c:v>6.7664755206922014E-2</c:v>
                </c:pt>
                <c:pt idx="1375">
                  <c:v>6.7748689882737023E-2</c:v>
                </c:pt>
                <c:pt idx="1376">
                  <c:v>6.7832133441037806E-2</c:v>
                </c:pt>
                <c:pt idx="1377">
                  <c:v>6.7915793018471865E-2</c:v>
                </c:pt>
                <c:pt idx="1378">
                  <c:v>6.7997580322484777E-2</c:v>
                </c:pt>
                <c:pt idx="1379">
                  <c:v>6.8091557580030659E-2</c:v>
                </c:pt>
                <c:pt idx="1380">
                  <c:v>6.8174352697867563E-2</c:v>
                </c:pt>
                <c:pt idx="1381">
                  <c:v>6.826730756381208E-2</c:v>
                </c:pt>
                <c:pt idx="1382">
                  <c:v>6.8354437089392414E-2</c:v>
                </c:pt>
                <c:pt idx="1383">
                  <c:v>6.843897162231187E-2</c:v>
                </c:pt>
                <c:pt idx="1384">
                  <c:v>6.8531521429570461E-2</c:v>
                </c:pt>
                <c:pt idx="1385">
                  <c:v>6.8612763827477871E-2</c:v>
                </c:pt>
                <c:pt idx="1386">
                  <c:v>6.8697222183397327E-2</c:v>
                </c:pt>
                <c:pt idx="1387">
                  <c:v>6.8783738272330572E-2</c:v>
                </c:pt>
                <c:pt idx="1388">
                  <c:v>6.8864096270394554E-2</c:v>
                </c:pt>
                <c:pt idx="1389">
                  <c:v>6.8947435945058408E-2</c:v>
                </c:pt>
                <c:pt idx="1390">
                  <c:v>6.9033446898218193E-2</c:v>
                </c:pt>
                <c:pt idx="1391">
                  <c:v>6.9114523593146251E-2</c:v>
                </c:pt>
                <c:pt idx="1392">
                  <c:v>6.9205158741330236E-2</c:v>
                </c:pt>
                <c:pt idx="1393">
                  <c:v>6.9283011718192539E-2</c:v>
                </c:pt>
                <c:pt idx="1394">
                  <c:v>6.9363910692297137E-2</c:v>
                </c:pt>
                <c:pt idx="1395">
                  <c:v>6.9455625572616739E-2</c:v>
                </c:pt>
                <c:pt idx="1396">
                  <c:v>6.9537162155481363E-2</c:v>
                </c:pt>
                <c:pt idx="1397">
                  <c:v>6.9619506487768615E-2</c:v>
                </c:pt>
                <c:pt idx="1398">
                  <c:v>6.9712158829829271E-2</c:v>
                </c:pt>
                <c:pt idx="1399">
                  <c:v>6.9793593073887106E-2</c:v>
                </c:pt>
                <c:pt idx="1400">
                  <c:v>6.9877213566109764E-2</c:v>
                </c:pt>
                <c:pt idx="1401">
                  <c:v>6.9964908507321136E-2</c:v>
                </c:pt>
                <c:pt idx="1402">
                  <c:v>7.0049410127688741E-2</c:v>
                </c:pt>
                <c:pt idx="1403">
                  <c:v>7.0137600061186592E-2</c:v>
                </c:pt>
                <c:pt idx="1404">
                  <c:v>7.023471340874228E-2</c:v>
                </c:pt>
                <c:pt idx="1405">
                  <c:v>7.0321145417427289E-2</c:v>
                </c:pt>
                <c:pt idx="1406">
                  <c:v>7.0407146803461967E-2</c:v>
                </c:pt>
                <c:pt idx="1407">
                  <c:v>7.0499671955561297E-2</c:v>
                </c:pt>
                <c:pt idx="1408">
                  <c:v>7.0579908460692023E-2</c:v>
                </c:pt>
                <c:pt idx="1409">
                  <c:v>7.0665399469438936E-2</c:v>
                </c:pt>
                <c:pt idx="1410">
                  <c:v>7.0759050434730242E-2</c:v>
                </c:pt>
                <c:pt idx="1411">
                  <c:v>7.0835974551498565E-2</c:v>
                </c:pt>
                <c:pt idx="1412">
                  <c:v>7.0918249963620866E-2</c:v>
                </c:pt>
                <c:pt idx="1413">
                  <c:v>7.1013444139982479E-2</c:v>
                </c:pt>
                <c:pt idx="1414">
                  <c:v>7.10956886887084E-2</c:v>
                </c:pt>
                <c:pt idx="1415">
                  <c:v>7.1186176984443475E-2</c:v>
                </c:pt>
                <c:pt idx="1416">
                  <c:v>7.1285719830136929E-2</c:v>
                </c:pt>
                <c:pt idx="1417">
                  <c:v>7.1368619467816863E-2</c:v>
                </c:pt>
                <c:pt idx="1418">
                  <c:v>7.1454509143230718E-2</c:v>
                </c:pt>
                <c:pt idx="1419">
                  <c:v>7.1553748923492547E-2</c:v>
                </c:pt>
                <c:pt idx="1420">
                  <c:v>7.1644612992842166E-2</c:v>
                </c:pt>
                <c:pt idx="1421">
                  <c:v>7.1738437776209307E-2</c:v>
                </c:pt>
                <c:pt idx="1422">
                  <c:v>7.1827361913204837E-2</c:v>
                </c:pt>
                <c:pt idx="1423">
                  <c:v>7.190588855928505E-2</c:v>
                </c:pt>
                <c:pt idx="1424">
                  <c:v>7.1996049002519213E-2</c:v>
                </c:pt>
                <c:pt idx="1425">
                  <c:v>7.2084516960126993E-2</c:v>
                </c:pt>
                <c:pt idx="1426">
                  <c:v>7.2174856256732853E-2</c:v>
                </c:pt>
                <c:pt idx="1427">
                  <c:v>7.2271192572720327E-2</c:v>
                </c:pt>
                <c:pt idx="1428">
                  <c:v>7.2349256629066772E-2</c:v>
                </c:pt>
                <c:pt idx="1429">
                  <c:v>7.2445700667996604E-2</c:v>
                </c:pt>
                <c:pt idx="1430">
                  <c:v>7.2534843439658062E-2</c:v>
                </c:pt>
                <c:pt idx="1431">
                  <c:v>7.2616697721781448E-2</c:v>
                </c:pt>
                <c:pt idx="1432">
                  <c:v>7.2711611284624278E-2</c:v>
                </c:pt>
                <c:pt idx="1433">
                  <c:v>7.2791015648415072E-2</c:v>
                </c:pt>
                <c:pt idx="1434">
                  <c:v>7.2881621255305354E-2</c:v>
                </c:pt>
                <c:pt idx="1435">
                  <c:v>7.2968441671187642E-2</c:v>
                </c:pt>
                <c:pt idx="1436">
                  <c:v>7.3051375077672787E-2</c:v>
                </c:pt>
                <c:pt idx="1437">
                  <c:v>7.3140750618685801E-2</c:v>
                </c:pt>
                <c:pt idx="1438">
                  <c:v>7.322552528925072E-2</c:v>
                </c:pt>
                <c:pt idx="1439">
                  <c:v>7.3305754352073663E-2</c:v>
                </c:pt>
                <c:pt idx="1440">
                  <c:v>7.3401678894676956E-2</c:v>
                </c:pt>
                <c:pt idx="1441">
                  <c:v>7.3483359497146558E-2</c:v>
                </c:pt>
                <c:pt idx="1442">
                  <c:v>7.3571955558035959E-2</c:v>
                </c:pt>
                <c:pt idx="1443">
                  <c:v>7.3657959022182182E-2</c:v>
                </c:pt>
                <c:pt idx="1444">
                  <c:v>7.3737974969248471E-2</c:v>
                </c:pt>
                <c:pt idx="1445">
                  <c:v>7.3831868476027934E-2</c:v>
                </c:pt>
                <c:pt idx="1446">
                  <c:v>7.392119591437718E-2</c:v>
                </c:pt>
                <c:pt idx="1447">
                  <c:v>7.4016693868737618E-2</c:v>
                </c:pt>
                <c:pt idx="1448">
                  <c:v>7.4105518348557831E-2</c:v>
                </c:pt>
                <c:pt idx="1449">
                  <c:v>7.418659021735978E-2</c:v>
                </c:pt>
                <c:pt idx="1450">
                  <c:v>7.4285229603602856E-2</c:v>
                </c:pt>
                <c:pt idx="1451">
                  <c:v>7.4374494941123387E-2</c:v>
                </c:pt>
                <c:pt idx="1452">
                  <c:v>7.4469771317862282E-2</c:v>
                </c:pt>
                <c:pt idx="1453">
                  <c:v>7.4566826852784429E-2</c:v>
                </c:pt>
                <c:pt idx="1454">
                  <c:v>7.4651469915361104E-2</c:v>
                </c:pt>
                <c:pt idx="1455">
                  <c:v>7.4736408303823429E-2</c:v>
                </c:pt>
                <c:pt idx="1456">
                  <c:v>7.482942495632014E-2</c:v>
                </c:pt>
                <c:pt idx="1457">
                  <c:v>7.4917280774981748E-2</c:v>
                </c:pt>
                <c:pt idx="1458">
                  <c:v>7.4995538163055084E-2</c:v>
                </c:pt>
                <c:pt idx="1459">
                  <c:v>7.508715379201461E-2</c:v>
                </c:pt>
                <c:pt idx="1460">
                  <c:v>7.5164490807673623E-2</c:v>
                </c:pt>
                <c:pt idx="1461">
                  <c:v>7.5260442379303294E-2</c:v>
                </c:pt>
                <c:pt idx="1462">
                  <c:v>7.5355521024158573E-2</c:v>
                </c:pt>
                <c:pt idx="1463">
                  <c:v>7.5455076146047115E-2</c:v>
                </c:pt>
                <c:pt idx="1464">
                  <c:v>7.5551501780711489E-2</c:v>
                </c:pt>
                <c:pt idx="1465">
                  <c:v>7.5637367553142418E-2</c:v>
                </c:pt>
                <c:pt idx="1466">
                  <c:v>7.5725994237846719E-2</c:v>
                </c:pt>
                <c:pt idx="1467">
                  <c:v>7.5820769635228005E-2</c:v>
                </c:pt>
                <c:pt idx="1468">
                  <c:v>7.5906655453143915E-2</c:v>
                </c:pt>
                <c:pt idx="1469">
                  <c:v>7.599720579906849E-2</c:v>
                </c:pt>
                <c:pt idx="1470">
                  <c:v>7.6087920564179026E-2</c:v>
                </c:pt>
                <c:pt idx="1471">
                  <c:v>7.6172262376812003E-2</c:v>
                </c:pt>
                <c:pt idx="1472">
                  <c:v>7.6267049423792185E-2</c:v>
                </c:pt>
                <c:pt idx="1473">
                  <c:v>7.6367991471270713E-2</c:v>
                </c:pt>
                <c:pt idx="1474">
                  <c:v>7.6453258718047423E-2</c:v>
                </c:pt>
                <c:pt idx="1475">
                  <c:v>7.6541527357189165E-2</c:v>
                </c:pt>
                <c:pt idx="1476">
                  <c:v>7.6636295584798231E-2</c:v>
                </c:pt>
                <c:pt idx="1477">
                  <c:v>7.6714785151081294E-2</c:v>
                </c:pt>
                <c:pt idx="1478">
                  <c:v>7.6814382932756914E-2</c:v>
                </c:pt>
                <c:pt idx="1479">
                  <c:v>7.6908349164339099E-2</c:v>
                </c:pt>
                <c:pt idx="1480">
                  <c:v>7.6990579216520014E-2</c:v>
                </c:pt>
                <c:pt idx="1481">
                  <c:v>7.7084922285849053E-2</c:v>
                </c:pt>
                <c:pt idx="1482">
                  <c:v>7.7172650227881168E-2</c:v>
                </c:pt>
                <c:pt idx="1483">
                  <c:v>7.7266237973075691E-2</c:v>
                </c:pt>
                <c:pt idx="1484">
                  <c:v>7.7361476293468359E-2</c:v>
                </c:pt>
                <c:pt idx="1485">
                  <c:v>7.7452088936895092E-2</c:v>
                </c:pt>
                <c:pt idx="1486">
                  <c:v>7.7543452861588591E-2</c:v>
                </c:pt>
                <c:pt idx="1487">
                  <c:v>7.7631910784630775E-2</c:v>
                </c:pt>
                <c:pt idx="1488">
                  <c:v>7.7720980216715252E-2</c:v>
                </c:pt>
                <c:pt idx="1489">
                  <c:v>7.7816929138635096E-2</c:v>
                </c:pt>
                <c:pt idx="1490">
                  <c:v>7.7913961902198167E-2</c:v>
                </c:pt>
                <c:pt idx="1491">
                  <c:v>7.8002214770645936E-2</c:v>
                </c:pt>
                <c:pt idx="1492">
                  <c:v>7.8090443700668422E-2</c:v>
                </c:pt>
                <c:pt idx="1493">
                  <c:v>7.8185404390057028E-2</c:v>
                </c:pt>
                <c:pt idx="1494">
                  <c:v>7.82686060129512E-2</c:v>
                </c:pt>
                <c:pt idx="1495">
                  <c:v>7.8359706999025364E-2</c:v>
                </c:pt>
                <c:pt idx="1496">
                  <c:v>7.8456993860119006E-2</c:v>
                </c:pt>
                <c:pt idx="1497">
                  <c:v>7.8544892098694488E-2</c:v>
                </c:pt>
                <c:pt idx="1498">
                  <c:v>7.8635558995398855E-2</c:v>
                </c:pt>
                <c:pt idx="1499">
                  <c:v>7.8727175328463461E-2</c:v>
                </c:pt>
                <c:pt idx="1500">
                  <c:v>7.882262429222886E-2</c:v>
                </c:pt>
                <c:pt idx="1501">
                  <c:v>7.892007591314168E-2</c:v>
                </c:pt>
                <c:pt idx="1502">
                  <c:v>7.9016211055480318E-2</c:v>
                </c:pt>
                <c:pt idx="1503">
                  <c:v>7.9107555889021464E-2</c:v>
                </c:pt>
                <c:pt idx="1504">
                  <c:v>7.920326969605325E-2</c:v>
                </c:pt>
                <c:pt idx="1505">
                  <c:v>7.9299200177325502E-2</c:v>
                </c:pt>
                <c:pt idx="1506">
                  <c:v>7.9391503068825045E-2</c:v>
                </c:pt>
                <c:pt idx="1507">
                  <c:v>7.9488953029955192E-2</c:v>
                </c:pt>
                <c:pt idx="1508">
                  <c:v>7.9576835869167514E-2</c:v>
                </c:pt>
                <c:pt idx="1509">
                  <c:v>7.9671338395692126E-2</c:v>
                </c:pt>
                <c:pt idx="1510">
                  <c:v>7.9775108340996617E-2</c:v>
                </c:pt>
                <c:pt idx="1511">
                  <c:v>7.9867743494195717E-2</c:v>
                </c:pt>
                <c:pt idx="1512">
                  <c:v>7.9966307719576774E-2</c:v>
                </c:pt>
                <c:pt idx="1513">
                  <c:v>8.0058076240565698E-2</c:v>
                </c:pt>
                <c:pt idx="1514">
                  <c:v>8.0150427309012159E-2</c:v>
                </c:pt>
                <c:pt idx="1515">
                  <c:v>8.0251542189108474E-2</c:v>
                </c:pt>
                <c:pt idx="1516">
                  <c:v>8.0343907621701807E-2</c:v>
                </c:pt>
                <c:pt idx="1517">
                  <c:v>8.0441033872142895E-2</c:v>
                </c:pt>
                <c:pt idx="1518">
                  <c:v>8.0529477531493199E-2</c:v>
                </c:pt>
                <c:pt idx="1519">
                  <c:v>8.062512515273057E-2</c:v>
                </c:pt>
                <c:pt idx="1520">
                  <c:v>8.071910448877799E-2</c:v>
                </c:pt>
                <c:pt idx="1521">
                  <c:v>8.0815329919443443E-2</c:v>
                </c:pt>
                <c:pt idx="1522">
                  <c:v>8.0915481083447413E-2</c:v>
                </c:pt>
                <c:pt idx="1523">
                  <c:v>8.1007999927476426E-2</c:v>
                </c:pt>
                <c:pt idx="1524">
                  <c:v>8.1109699046613234E-2</c:v>
                </c:pt>
                <c:pt idx="1525">
                  <c:v>8.1209509463611856E-2</c:v>
                </c:pt>
                <c:pt idx="1526">
                  <c:v>8.1300965422383784E-2</c:v>
                </c:pt>
                <c:pt idx="1527">
                  <c:v>8.1397236831308506E-2</c:v>
                </c:pt>
                <c:pt idx="1528">
                  <c:v>8.1489013634462606E-2</c:v>
                </c:pt>
                <c:pt idx="1529">
                  <c:v>8.158575513288252E-2</c:v>
                </c:pt>
                <c:pt idx="1530">
                  <c:v>8.1674070790007602E-2</c:v>
                </c:pt>
                <c:pt idx="1531">
                  <c:v>8.1761026973942677E-2</c:v>
                </c:pt>
                <c:pt idx="1532">
                  <c:v>8.1856299441163682E-2</c:v>
                </c:pt>
                <c:pt idx="1533">
                  <c:v>8.1952565669581062E-2</c:v>
                </c:pt>
                <c:pt idx="1534">
                  <c:v>8.2048318580380059E-2</c:v>
                </c:pt>
                <c:pt idx="1535">
                  <c:v>8.2137628219420222E-2</c:v>
                </c:pt>
                <c:pt idx="1536">
                  <c:v>8.2230757837981547E-2</c:v>
                </c:pt>
                <c:pt idx="1537">
                  <c:v>8.2326612774236141E-2</c:v>
                </c:pt>
                <c:pt idx="1538">
                  <c:v>8.2421064858890461E-2</c:v>
                </c:pt>
                <c:pt idx="1539">
                  <c:v>8.2521275092046223E-2</c:v>
                </c:pt>
                <c:pt idx="1540">
                  <c:v>8.2613929534506997E-2</c:v>
                </c:pt>
                <c:pt idx="1541">
                  <c:v>8.2706537881870407E-2</c:v>
                </c:pt>
                <c:pt idx="1542">
                  <c:v>8.2804254745416223E-2</c:v>
                </c:pt>
                <c:pt idx="1543">
                  <c:v>8.2901860265498784E-2</c:v>
                </c:pt>
                <c:pt idx="1544">
                  <c:v>8.2999461616825213E-2</c:v>
                </c:pt>
                <c:pt idx="1545">
                  <c:v>8.3090802237656233E-2</c:v>
                </c:pt>
                <c:pt idx="1546">
                  <c:v>8.318340392836325E-2</c:v>
                </c:pt>
                <c:pt idx="1547">
                  <c:v>8.3284699971315143E-2</c:v>
                </c:pt>
                <c:pt idx="1548">
                  <c:v>8.3381192945110136E-2</c:v>
                </c:pt>
                <c:pt idx="1549">
                  <c:v>8.3479593550426848E-2</c:v>
                </c:pt>
                <c:pt idx="1550">
                  <c:v>8.3581432478395182E-2</c:v>
                </c:pt>
                <c:pt idx="1551">
                  <c:v>8.3678753387791571E-2</c:v>
                </c:pt>
                <c:pt idx="1552">
                  <c:v>8.3774699812637243E-2</c:v>
                </c:pt>
                <c:pt idx="1553">
                  <c:v>8.3877670175371941E-2</c:v>
                </c:pt>
                <c:pt idx="1554">
                  <c:v>8.3972147142082024E-2</c:v>
                </c:pt>
                <c:pt idx="1555">
                  <c:v>8.4061943367643291E-2</c:v>
                </c:pt>
                <c:pt idx="1556">
                  <c:v>8.4157339344297685E-2</c:v>
                </c:pt>
                <c:pt idx="1557">
                  <c:v>8.4250655598264501E-2</c:v>
                </c:pt>
                <c:pt idx="1558">
                  <c:v>8.4347590407201731E-2</c:v>
                </c:pt>
                <c:pt idx="1559">
                  <c:v>8.4445302184513321E-2</c:v>
                </c:pt>
                <c:pt idx="1560">
                  <c:v>8.4548979106352853E-2</c:v>
                </c:pt>
                <c:pt idx="1561">
                  <c:v>8.4639279782899604E-2</c:v>
                </c:pt>
                <c:pt idx="1562">
                  <c:v>8.474235903203578E-2</c:v>
                </c:pt>
                <c:pt idx="1563">
                  <c:v>8.4855453740991557E-2</c:v>
                </c:pt>
                <c:pt idx="1564">
                  <c:v>8.4946084979364136E-2</c:v>
                </c:pt>
                <c:pt idx="1565">
                  <c:v>8.5051025156538548E-2</c:v>
                </c:pt>
                <c:pt idx="1566">
                  <c:v>8.5142766612088902E-2</c:v>
                </c:pt>
                <c:pt idx="1567">
                  <c:v>8.5238064888336379E-2</c:v>
                </c:pt>
                <c:pt idx="1568">
                  <c:v>8.5331355177654222E-2</c:v>
                </c:pt>
                <c:pt idx="1569">
                  <c:v>8.5436725216269008E-2</c:v>
                </c:pt>
                <c:pt idx="1570">
                  <c:v>8.5537980300137456E-2</c:v>
                </c:pt>
                <c:pt idx="1571">
                  <c:v>8.5635901763097086E-2</c:v>
                </c:pt>
                <c:pt idx="1572">
                  <c:v>8.573887833764951E-2</c:v>
                </c:pt>
                <c:pt idx="1573">
                  <c:v>8.5823147322704532E-2</c:v>
                </c:pt>
                <c:pt idx="1574">
                  <c:v>8.592445409449613E-2</c:v>
                </c:pt>
                <c:pt idx="1575">
                  <c:v>8.6028421082625553E-2</c:v>
                </c:pt>
                <c:pt idx="1576">
                  <c:v>8.6117851284493216E-2</c:v>
                </c:pt>
                <c:pt idx="1577">
                  <c:v>8.621761700503687E-2</c:v>
                </c:pt>
                <c:pt idx="1578">
                  <c:v>8.6316005884367122E-2</c:v>
                </c:pt>
                <c:pt idx="1579">
                  <c:v>8.6405196814832899E-2</c:v>
                </c:pt>
                <c:pt idx="1580">
                  <c:v>8.6504666953396467E-2</c:v>
                </c:pt>
                <c:pt idx="1581">
                  <c:v>8.6608477557832922E-2</c:v>
                </c:pt>
                <c:pt idx="1582">
                  <c:v>8.6714535061419143E-2</c:v>
                </c:pt>
                <c:pt idx="1583">
                  <c:v>8.6809166007964539E-2</c:v>
                </c:pt>
                <c:pt idx="1584">
                  <c:v>8.6921925839143224E-2</c:v>
                </c:pt>
                <c:pt idx="1585">
                  <c:v>8.7023809661261275E-2</c:v>
                </c:pt>
                <c:pt idx="1586">
                  <c:v>8.7119643761310525E-2</c:v>
                </c:pt>
                <c:pt idx="1587">
                  <c:v>8.7229685321689926E-2</c:v>
                </c:pt>
                <c:pt idx="1588">
                  <c:v>8.7322704661041362E-2</c:v>
                </c:pt>
                <c:pt idx="1589">
                  <c:v>8.7414552635058013E-2</c:v>
                </c:pt>
                <c:pt idx="1590">
                  <c:v>8.7520993989990831E-2</c:v>
                </c:pt>
                <c:pt idx="1591">
                  <c:v>8.7622864790106766E-2</c:v>
                </c:pt>
                <c:pt idx="1592">
                  <c:v>8.7717281857156229E-2</c:v>
                </c:pt>
                <c:pt idx="1593">
                  <c:v>8.7813172147942389E-2</c:v>
                </c:pt>
                <c:pt idx="1594">
                  <c:v>8.7906702308530982E-2</c:v>
                </c:pt>
                <c:pt idx="1595">
                  <c:v>8.8001097911965948E-2</c:v>
                </c:pt>
                <c:pt idx="1596">
                  <c:v>8.8109273016043849E-2</c:v>
                </c:pt>
                <c:pt idx="1597">
                  <c:v>8.8216514455233985E-2</c:v>
                </c:pt>
                <c:pt idx="1598">
                  <c:v>8.830835497808745E-2</c:v>
                </c:pt>
                <c:pt idx="1599">
                  <c:v>8.8405030477383587E-2</c:v>
                </c:pt>
                <c:pt idx="1600">
                  <c:v>8.8508830471632022E-2</c:v>
                </c:pt>
                <c:pt idx="1601">
                  <c:v>8.8613807649723486E-2</c:v>
                </c:pt>
                <c:pt idx="1602">
                  <c:v>8.8714581765885578E-2</c:v>
                </c:pt>
                <c:pt idx="1603">
                  <c:v>8.8817023443169565E-2</c:v>
                </c:pt>
                <c:pt idx="1604">
                  <c:v>8.8921797858136017E-2</c:v>
                </c:pt>
                <c:pt idx="1605">
                  <c:v>8.9023057466325925E-2</c:v>
                </c:pt>
                <c:pt idx="1606">
                  <c:v>8.9130866510842677E-2</c:v>
                </c:pt>
                <c:pt idx="1607">
                  <c:v>8.9227616922783456E-2</c:v>
                </c:pt>
                <c:pt idx="1608">
                  <c:v>8.9337064790701082E-2</c:v>
                </c:pt>
                <c:pt idx="1609">
                  <c:v>8.9434662870710613E-2</c:v>
                </c:pt>
                <c:pt idx="1610">
                  <c:v>8.9539266151616004E-2</c:v>
                </c:pt>
                <c:pt idx="1611">
                  <c:v>8.9642331170047232E-2</c:v>
                </c:pt>
                <c:pt idx="1612">
                  <c:v>8.974384243703222E-2</c:v>
                </c:pt>
                <c:pt idx="1613">
                  <c:v>8.9842842714244892E-2</c:v>
                </c:pt>
                <c:pt idx="1614">
                  <c:v>8.9943822902715548E-2</c:v>
                </c:pt>
                <c:pt idx="1615">
                  <c:v>9.004680899936425E-2</c:v>
                </c:pt>
                <c:pt idx="1616">
                  <c:v>9.0153693935752899E-2</c:v>
                </c:pt>
                <c:pt idx="1617">
                  <c:v>9.0261184382448567E-2</c:v>
                </c:pt>
                <c:pt idx="1618">
                  <c:v>9.0363457118025722E-2</c:v>
                </c:pt>
                <c:pt idx="1619">
                  <c:v>9.0475880708803594E-2</c:v>
                </c:pt>
                <c:pt idx="1620">
                  <c:v>9.059113074953766E-2</c:v>
                </c:pt>
                <c:pt idx="1621">
                  <c:v>9.06836040385436E-2</c:v>
                </c:pt>
                <c:pt idx="1622">
                  <c:v>9.0789320611505298E-2</c:v>
                </c:pt>
                <c:pt idx="1623">
                  <c:v>9.0896025232998418E-2</c:v>
                </c:pt>
                <c:pt idx="1624">
                  <c:v>9.0995655543382431E-2</c:v>
                </c:pt>
                <c:pt idx="1625">
                  <c:v>9.110037199958286E-2</c:v>
                </c:pt>
                <c:pt idx="1626">
                  <c:v>9.1208037035647269E-2</c:v>
                </c:pt>
                <c:pt idx="1627">
                  <c:v>9.1315201704853494E-2</c:v>
                </c:pt>
                <c:pt idx="1628">
                  <c:v>9.1412527238661112E-2</c:v>
                </c:pt>
                <c:pt idx="1629">
                  <c:v>9.1520812012323413E-2</c:v>
                </c:pt>
                <c:pt idx="1630">
                  <c:v>9.1622217759490338E-2</c:v>
                </c:pt>
                <c:pt idx="1631">
                  <c:v>9.1728026338650542E-2</c:v>
                </c:pt>
                <c:pt idx="1632">
                  <c:v>9.1835225571283555E-2</c:v>
                </c:pt>
                <c:pt idx="1633">
                  <c:v>9.1940539073582031E-2</c:v>
                </c:pt>
                <c:pt idx="1634">
                  <c:v>9.2041498790470869E-2</c:v>
                </c:pt>
                <c:pt idx="1635">
                  <c:v>9.2149163412021048E-2</c:v>
                </c:pt>
                <c:pt idx="1636">
                  <c:v>9.2251710338610265E-2</c:v>
                </c:pt>
                <c:pt idx="1637">
                  <c:v>9.2356236974791298E-2</c:v>
                </c:pt>
                <c:pt idx="1638">
                  <c:v>9.2458948404940219E-2</c:v>
                </c:pt>
                <c:pt idx="1639">
                  <c:v>9.2572033406688639E-2</c:v>
                </c:pt>
                <c:pt idx="1640">
                  <c:v>9.2681980668658084E-2</c:v>
                </c:pt>
                <c:pt idx="1641">
                  <c:v>9.2787109549126931E-2</c:v>
                </c:pt>
                <c:pt idx="1642">
                  <c:v>9.2897807608600891E-2</c:v>
                </c:pt>
                <c:pt idx="1643">
                  <c:v>9.3005698309295795E-2</c:v>
                </c:pt>
                <c:pt idx="1644">
                  <c:v>9.3110156773988886E-2</c:v>
                </c:pt>
                <c:pt idx="1645">
                  <c:v>9.3210293218879692E-2</c:v>
                </c:pt>
                <c:pt idx="1646">
                  <c:v>9.3325058899176153E-2</c:v>
                </c:pt>
                <c:pt idx="1647">
                  <c:v>9.3432823992527669E-2</c:v>
                </c:pt>
                <c:pt idx="1648">
                  <c:v>9.3530876637268778E-2</c:v>
                </c:pt>
                <c:pt idx="1649">
                  <c:v>9.3637941095253446E-2</c:v>
                </c:pt>
                <c:pt idx="1650">
                  <c:v>9.3743340523257085E-2</c:v>
                </c:pt>
                <c:pt idx="1651">
                  <c:v>9.3840790393651854E-2</c:v>
                </c:pt>
                <c:pt idx="1652">
                  <c:v>9.3943730980774201E-2</c:v>
                </c:pt>
                <c:pt idx="1653">
                  <c:v>9.405466136688749E-2</c:v>
                </c:pt>
                <c:pt idx="1654">
                  <c:v>9.4159836762621726E-2</c:v>
                </c:pt>
                <c:pt idx="1655">
                  <c:v>9.4267660257949179E-2</c:v>
                </c:pt>
                <c:pt idx="1656">
                  <c:v>9.4383660567511712E-2</c:v>
                </c:pt>
                <c:pt idx="1657">
                  <c:v>9.4488377691746575E-2</c:v>
                </c:pt>
                <c:pt idx="1658">
                  <c:v>9.459388875215563E-2</c:v>
                </c:pt>
                <c:pt idx="1659">
                  <c:v>9.4709713563105077E-2</c:v>
                </c:pt>
                <c:pt idx="1660">
                  <c:v>9.4819902535066891E-2</c:v>
                </c:pt>
                <c:pt idx="1661">
                  <c:v>9.4923885815380957E-2</c:v>
                </c:pt>
                <c:pt idx="1662">
                  <c:v>9.5041927244284743E-2</c:v>
                </c:pt>
                <c:pt idx="1663">
                  <c:v>9.5142235627100211E-2</c:v>
                </c:pt>
                <c:pt idx="1664">
                  <c:v>9.5246164229528057E-2</c:v>
                </c:pt>
                <c:pt idx="1665">
                  <c:v>9.5355521570567814E-2</c:v>
                </c:pt>
                <c:pt idx="1666">
                  <c:v>9.546178771107805E-2</c:v>
                </c:pt>
                <c:pt idx="1667">
                  <c:v>9.5560054264169858E-2</c:v>
                </c:pt>
                <c:pt idx="1668">
                  <c:v>9.5671059411114714E-2</c:v>
                </c:pt>
                <c:pt idx="1669">
                  <c:v>9.5772024036028094E-2</c:v>
                </c:pt>
                <c:pt idx="1670">
                  <c:v>9.5886686498626722E-2</c:v>
                </c:pt>
                <c:pt idx="1671">
                  <c:v>9.5999654245905286E-2</c:v>
                </c:pt>
                <c:pt idx="1672">
                  <c:v>9.6098756250877576E-2</c:v>
                </c:pt>
                <c:pt idx="1673">
                  <c:v>9.6206529504860319E-2</c:v>
                </c:pt>
                <c:pt idx="1674">
                  <c:v>9.6321702502926168E-2</c:v>
                </c:pt>
                <c:pt idx="1675">
                  <c:v>9.6423774890248143E-2</c:v>
                </c:pt>
                <c:pt idx="1676">
                  <c:v>9.6530847194791353E-2</c:v>
                </c:pt>
                <c:pt idx="1677">
                  <c:v>9.664310805359809E-2</c:v>
                </c:pt>
                <c:pt idx="1678">
                  <c:v>9.6751752641544078E-2</c:v>
                </c:pt>
                <c:pt idx="1679">
                  <c:v>9.6862382553664181E-2</c:v>
                </c:pt>
                <c:pt idx="1680">
                  <c:v>9.6975705025198256E-2</c:v>
                </c:pt>
                <c:pt idx="1681">
                  <c:v>9.7078355117749676E-2</c:v>
                </c:pt>
                <c:pt idx="1682">
                  <c:v>9.7179716498451238E-2</c:v>
                </c:pt>
                <c:pt idx="1683">
                  <c:v>9.7297893325169957E-2</c:v>
                </c:pt>
                <c:pt idx="1684">
                  <c:v>9.741221199546482E-2</c:v>
                </c:pt>
                <c:pt idx="1685">
                  <c:v>9.7505249973247943E-2</c:v>
                </c:pt>
                <c:pt idx="1686">
                  <c:v>9.761618723897092E-2</c:v>
                </c:pt>
                <c:pt idx="1687">
                  <c:v>9.7724398875894694E-2</c:v>
                </c:pt>
                <c:pt idx="1688">
                  <c:v>9.7829790758238749E-2</c:v>
                </c:pt>
                <c:pt idx="1689">
                  <c:v>9.7931730446250836E-2</c:v>
                </c:pt>
                <c:pt idx="1690">
                  <c:v>9.80432325632066E-2</c:v>
                </c:pt>
                <c:pt idx="1691">
                  <c:v>9.8146480205133432E-2</c:v>
                </c:pt>
                <c:pt idx="1692">
                  <c:v>9.8255658029206189E-2</c:v>
                </c:pt>
                <c:pt idx="1693">
                  <c:v>9.8377105144746319E-2</c:v>
                </c:pt>
                <c:pt idx="1694">
                  <c:v>9.8490825782544172E-2</c:v>
                </c:pt>
                <c:pt idx="1695">
                  <c:v>9.8590757179432734E-2</c:v>
                </c:pt>
                <c:pt idx="1696">
                  <c:v>9.8703789041311579E-2</c:v>
                </c:pt>
                <c:pt idx="1697">
                  <c:v>9.8828451026459208E-2</c:v>
                </c:pt>
                <c:pt idx="1698">
                  <c:v>9.8933115014773643E-2</c:v>
                </c:pt>
                <c:pt idx="1699">
                  <c:v>9.9037757505848326E-2</c:v>
                </c:pt>
                <c:pt idx="1700">
                  <c:v>9.9156642719568353E-2</c:v>
                </c:pt>
                <c:pt idx="1701">
                  <c:v>9.9271571336755113E-2</c:v>
                </c:pt>
                <c:pt idx="1702">
                  <c:v>9.9374270628593303E-2</c:v>
                </c:pt>
                <c:pt idx="1703">
                  <c:v>9.949686773427982E-2</c:v>
                </c:pt>
                <c:pt idx="1704">
                  <c:v>9.9620861863000162E-2</c:v>
                </c:pt>
                <c:pt idx="1705">
                  <c:v>9.9724304999641425E-2</c:v>
                </c:pt>
                <c:pt idx="1706">
                  <c:v>9.9841222797036736E-2</c:v>
                </c:pt>
                <c:pt idx="1707">
                  <c:v>9.9969566931442586E-2</c:v>
                </c:pt>
                <c:pt idx="1708">
                  <c:v>0.10007008797940278</c:v>
                </c:pt>
                <c:pt idx="1709">
                  <c:v>0.10017159945361624</c:v>
                </c:pt>
                <c:pt idx="1710">
                  <c:v>0.10030079629094109</c:v>
                </c:pt>
                <c:pt idx="1711">
                  <c:v>0.10041147652342097</c:v>
                </c:pt>
                <c:pt idx="1712">
                  <c:v>0.1005155011938742</c:v>
                </c:pt>
                <c:pt idx="1713">
                  <c:v>0.10063544252593155</c:v>
                </c:pt>
                <c:pt idx="1714">
                  <c:v>0.10075092760160551</c:v>
                </c:pt>
                <c:pt idx="1715">
                  <c:v>0.10086264206293699</c:v>
                </c:pt>
                <c:pt idx="1716">
                  <c:v>0.10097870073833962</c:v>
                </c:pt>
                <c:pt idx="1717">
                  <c:v>0.10109750275003987</c:v>
                </c:pt>
                <c:pt idx="1718">
                  <c:v>0.10120942048493936</c:v>
                </c:pt>
                <c:pt idx="1719">
                  <c:v>0.10131928485535224</c:v>
                </c:pt>
                <c:pt idx="1720">
                  <c:v>0.10144080227236721</c:v>
                </c:pt>
                <c:pt idx="1721">
                  <c:v>0.10155745646072367</c:v>
                </c:pt>
                <c:pt idx="1722">
                  <c:v>0.10166994318451154</c:v>
                </c:pt>
                <c:pt idx="1723">
                  <c:v>0.10178203871872002</c:v>
                </c:pt>
                <c:pt idx="1724">
                  <c:v>0.1019091983081313</c:v>
                </c:pt>
                <c:pt idx="1725">
                  <c:v>0.10202627092893225</c:v>
                </c:pt>
                <c:pt idx="1726">
                  <c:v>0.10214116454796597</c:v>
                </c:pt>
                <c:pt idx="1727">
                  <c:v>0.10226276080744685</c:v>
                </c:pt>
                <c:pt idx="1728">
                  <c:v>0.10238148393763873</c:v>
                </c:pt>
                <c:pt idx="1729">
                  <c:v>0.10250080240278776</c:v>
                </c:pt>
                <c:pt idx="1730">
                  <c:v>0.10261831008278513</c:v>
                </c:pt>
                <c:pt idx="1731">
                  <c:v>0.10273924956259459</c:v>
                </c:pt>
                <c:pt idx="1732">
                  <c:v>0.10284767504526793</c:v>
                </c:pt>
                <c:pt idx="1733">
                  <c:v>0.10295706551458057</c:v>
                </c:pt>
                <c:pt idx="1734">
                  <c:v>0.10307630482473519</c:v>
                </c:pt>
                <c:pt idx="1735">
                  <c:v>0.10320152545022622</c:v>
                </c:pt>
                <c:pt idx="1736">
                  <c:v>0.10331228406901119</c:v>
                </c:pt>
                <c:pt idx="1737">
                  <c:v>0.10343837793898393</c:v>
                </c:pt>
                <c:pt idx="1738">
                  <c:v>0.1035535502856184</c:v>
                </c:pt>
                <c:pt idx="1739">
                  <c:v>0.10366248574378364</c:v>
                </c:pt>
                <c:pt idx="1740">
                  <c:v>0.10377179761578163</c:v>
                </c:pt>
                <c:pt idx="1741">
                  <c:v>0.10390479020688924</c:v>
                </c:pt>
                <c:pt idx="1742">
                  <c:v>0.10401769515622961</c:v>
                </c:pt>
                <c:pt idx="1743">
                  <c:v>0.10412477573117562</c:v>
                </c:pt>
                <c:pt idx="1744">
                  <c:v>0.10424542827728801</c:v>
                </c:pt>
                <c:pt idx="1745">
                  <c:v>0.10436652773136043</c:v>
                </c:pt>
                <c:pt idx="1746">
                  <c:v>0.10447253278017056</c:v>
                </c:pt>
                <c:pt idx="1747">
                  <c:v>0.10459403463881475</c:v>
                </c:pt>
                <c:pt idx="1748">
                  <c:v>0.10472285012285168</c:v>
                </c:pt>
                <c:pt idx="1749">
                  <c:v>0.104832339673835</c:v>
                </c:pt>
                <c:pt idx="1750">
                  <c:v>0.10495129271041397</c:v>
                </c:pt>
                <c:pt idx="1751">
                  <c:v>0.10507806044256011</c:v>
                </c:pt>
                <c:pt idx="1752">
                  <c:v>0.10518732248529053</c:v>
                </c:pt>
                <c:pt idx="1753">
                  <c:v>0.10529321960984826</c:v>
                </c:pt>
                <c:pt idx="1754">
                  <c:v>0.1054149570584044</c:v>
                </c:pt>
                <c:pt idx="1755">
                  <c:v>0.10554113178053752</c:v>
                </c:pt>
                <c:pt idx="1756">
                  <c:v>0.10564191136014384</c:v>
                </c:pt>
                <c:pt idx="1757">
                  <c:v>0.10576636080619957</c:v>
                </c:pt>
                <c:pt idx="1758">
                  <c:v>0.10589378970384022</c:v>
                </c:pt>
                <c:pt idx="1759">
                  <c:v>0.10599951780975772</c:v>
                </c:pt>
                <c:pt idx="1760">
                  <c:v>0.10611582989641176</c:v>
                </c:pt>
                <c:pt idx="1761">
                  <c:v>0.10625098159797174</c:v>
                </c:pt>
                <c:pt idx="1762">
                  <c:v>0.10637675781708207</c:v>
                </c:pt>
                <c:pt idx="1763">
                  <c:v>0.10649212600186872</c:v>
                </c:pt>
                <c:pt idx="1764">
                  <c:v>0.1066184160352607</c:v>
                </c:pt>
                <c:pt idx="1765">
                  <c:v>0.10673972023806856</c:v>
                </c:pt>
                <c:pt idx="1766">
                  <c:v>0.10685245204567725</c:v>
                </c:pt>
                <c:pt idx="1767">
                  <c:v>0.10696863359219785</c:v>
                </c:pt>
                <c:pt idx="1768">
                  <c:v>0.10708489577608653</c:v>
                </c:pt>
                <c:pt idx="1769">
                  <c:v>0.10721179074572773</c:v>
                </c:pt>
                <c:pt idx="1770">
                  <c:v>0.1073321759997003</c:v>
                </c:pt>
                <c:pt idx="1771">
                  <c:v>0.10745737718422955</c:v>
                </c:pt>
                <c:pt idx="1772">
                  <c:v>0.1075811304794273</c:v>
                </c:pt>
                <c:pt idx="1773">
                  <c:v>0.1077074921223115</c:v>
                </c:pt>
                <c:pt idx="1774">
                  <c:v>0.10782981396548708</c:v>
                </c:pt>
                <c:pt idx="1775">
                  <c:v>0.10794941422662566</c:v>
                </c:pt>
                <c:pt idx="1776">
                  <c:v>0.10807315889434337</c:v>
                </c:pt>
                <c:pt idx="1777">
                  <c:v>0.10820564338826741</c:v>
                </c:pt>
                <c:pt idx="1778">
                  <c:v>0.10831794890913976</c:v>
                </c:pt>
                <c:pt idx="1779">
                  <c:v>0.10843946494588617</c:v>
                </c:pt>
                <c:pt idx="1780">
                  <c:v>0.10856136308640879</c:v>
                </c:pt>
                <c:pt idx="1781">
                  <c:v>0.10869269689895192</c:v>
                </c:pt>
                <c:pt idx="1782">
                  <c:v>0.10881262210199885</c:v>
                </c:pt>
                <c:pt idx="1783">
                  <c:v>0.10894241957511204</c:v>
                </c:pt>
                <c:pt idx="1784">
                  <c:v>0.10906960099763217</c:v>
                </c:pt>
                <c:pt idx="1785">
                  <c:v>0.10919950080602848</c:v>
                </c:pt>
                <c:pt idx="1786">
                  <c:v>0.10931794595491456</c:v>
                </c:pt>
                <c:pt idx="1787">
                  <c:v>0.10944041532076668</c:v>
                </c:pt>
                <c:pt idx="1788">
                  <c:v>0.10956667788867691</c:v>
                </c:pt>
                <c:pt idx="1789">
                  <c:v>0.10969217340597079</c:v>
                </c:pt>
                <c:pt idx="1790">
                  <c:v>0.10980414521991107</c:v>
                </c:pt>
                <c:pt idx="1791">
                  <c:v>0.10992391635496565</c:v>
                </c:pt>
                <c:pt idx="1792">
                  <c:v>0.11004455956247014</c:v>
                </c:pt>
                <c:pt idx="1793">
                  <c:v>0.1101584209676425</c:v>
                </c:pt>
                <c:pt idx="1794">
                  <c:v>0.11028291434295212</c:v>
                </c:pt>
                <c:pt idx="1795">
                  <c:v>0.11041590911141004</c:v>
                </c:pt>
                <c:pt idx="1796">
                  <c:v>0.11054912592724522</c:v>
                </c:pt>
                <c:pt idx="1797">
                  <c:v>0.11066252344260737</c:v>
                </c:pt>
                <c:pt idx="1798">
                  <c:v>0.11078787109946792</c:v>
                </c:pt>
                <c:pt idx="1799">
                  <c:v>0.11091708946095243</c:v>
                </c:pt>
                <c:pt idx="1800">
                  <c:v>0.1110417801334361</c:v>
                </c:pt>
                <c:pt idx="1801">
                  <c:v>0.11117298652482981</c:v>
                </c:pt>
                <c:pt idx="1802">
                  <c:v>0.11129113567565634</c:v>
                </c:pt>
                <c:pt idx="1803">
                  <c:v>0.11142425678343794</c:v>
                </c:pt>
                <c:pt idx="1804">
                  <c:v>0.11154895712604744</c:v>
                </c:pt>
                <c:pt idx="1805">
                  <c:v>0.11167175744758757</c:v>
                </c:pt>
                <c:pt idx="1806">
                  <c:v>0.11180801337794141</c:v>
                </c:pt>
                <c:pt idx="1807">
                  <c:v>0.11193297814046203</c:v>
                </c:pt>
                <c:pt idx="1808">
                  <c:v>0.11205182850907049</c:v>
                </c:pt>
                <c:pt idx="1809">
                  <c:v>0.11218438012225107</c:v>
                </c:pt>
                <c:pt idx="1810">
                  <c:v>0.11231669566811771</c:v>
                </c:pt>
                <c:pt idx="1811">
                  <c:v>0.1124308500619664</c:v>
                </c:pt>
                <c:pt idx="1812">
                  <c:v>0.11255932579505223</c:v>
                </c:pt>
                <c:pt idx="1813">
                  <c:v>0.11268375987211451</c:v>
                </c:pt>
                <c:pt idx="1814">
                  <c:v>0.11279779957584059</c:v>
                </c:pt>
                <c:pt idx="1815">
                  <c:v>0.11291898045899168</c:v>
                </c:pt>
                <c:pt idx="1816">
                  <c:v>0.11304708158396509</c:v>
                </c:pt>
                <c:pt idx="1817">
                  <c:v>0.113171777257754</c:v>
                </c:pt>
                <c:pt idx="1818">
                  <c:v>0.11329536595505901</c:v>
                </c:pt>
                <c:pt idx="1819">
                  <c:v>0.11342566381422046</c:v>
                </c:pt>
                <c:pt idx="1820">
                  <c:v>0.11356135884415562</c:v>
                </c:pt>
                <c:pt idx="1821">
                  <c:v>0.1136905622250701</c:v>
                </c:pt>
                <c:pt idx="1822">
                  <c:v>0.1138121544374681</c:v>
                </c:pt>
                <c:pt idx="1823">
                  <c:v>0.11394273816875132</c:v>
                </c:pt>
                <c:pt idx="1824">
                  <c:v>0.11407567296667888</c:v>
                </c:pt>
                <c:pt idx="1825">
                  <c:v>0.11419442474140416</c:v>
                </c:pt>
                <c:pt idx="1826">
                  <c:v>0.11431540535672637</c:v>
                </c:pt>
                <c:pt idx="1827">
                  <c:v>0.11444713815811139</c:v>
                </c:pt>
                <c:pt idx="1828">
                  <c:v>0.11457927923895077</c:v>
                </c:pt>
                <c:pt idx="1829">
                  <c:v>0.11469517900364196</c:v>
                </c:pt>
                <c:pt idx="1830">
                  <c:v>0.11483169823510594</c:v>
                </c:pt>
                <c:pt idx="1831">
                  <c:v>0.1149718827299937</c:v>
                </c:pt>
                <c:pt idx="1832">
                  <c:v>0.11509346451560197</c:v>
                </c:pt>
                <c:pt idx="1833">
                  <c:v>0.11522210699796312</c:v>
                </c:pt>
                <c:pt idx="1834">
                  <c:v>0.11535943603463934</c:v>
                </c:pt>
                <c:pt idx="1835">
                  <c:v>0.11548542023852855</c:v>
                </c:pt>
                <c:pt idx="1836">
                  <c:v>0.11560815296327191</c:v>
                </c:pt>
                <c:pt idx="1837">
                  <c:v>0.11574251526722862</c:v>
                </c:pt>
                <c:pt idx="1838">
                  <c:v>0.11587818659439147</c:v>
                </c:pt>
                <c:pt idx="1839">
                  <c:v>0.11600147238233373</c:v>
                </c:pt>
                <c:pt idx="1840">
                  <c:v>0.11611938414850413</c:v>
                </c:pt>
                <c:pt idx="1841">
                  <c:v>0.11626398977847952</c:v>
                </c:pt>
                <c:pt idx="1842">
                  <c:v>0.11638981863175728</c:v>
                </c:pt>
                <c:pt idx="1843">
                  <c:v>0.11650735305936902</c:v>
                </c:pt>
                <c:pt idx="1844">
                  <c:v>0.11663903572165159</c:v>
                </c:pt>
                <c:pt idx="1845">
                  <c:v>0.11677503089352335</c:v>
                </c:pt>
                <c:pt idx="1846">
                  <c:v>0.1168949954359685</c:v>
                </c:pt>
                <c:pt idx="1847">
                  <c:v>0.11701605367788186</c:v>
                </c:pt>
                <c:pt idx="1848">
                  <c:v>0.11716061254764686</c:v>
                </c:pt>
                <c:pt idx="1849">
                  <c:v>0.11729887660066088</c:v>
                </c:pt>
                <c:pt idx="1850">
                  <c:v>0.11742360224694923</c:v>
                </c:pt>
                <c:pt idx="1851">
                  <c:v>0.11756823677149245</c:v>
                </c:pt>
                <c:pt idx="1852">
                  <c:v>0.11771825241538933</c:v>
                </c:pt>
                <c:pt idx="1853">
                  <c:v>0.11785445271604188</c:v>
                </c:pt>
                <c:pt idx="1854">
                  <c:v>0.11799210358266456</c:v>
                </c:pt>
                <c:pt idx="1855">
                  <c:v>0.11813037685930533</c:v>
                </c:pt>
                <c:pt idx="1856">
                  <c:v>0.11826684167764608</c:v>
                </c:pt>
                <c:pt idx="1857">
                  <c:v>0.11840385666439107</c:v>
                </c:pt>
                <c:pt idx="1858">
                  <c:v>0.11852975779554331</c:v>
                </c:pt>
                <c:pt idx="1859">
                  <c:v>0.11866574423229286</c:v>
                </c:pt>
                <c:pt idx="1860">
                  <c:v>0.11879761852376673</c:v>
                </c:pt>
                <c:pt idx="1861">
                  <c:v>0.11892916534149588</c:v>
                </c:pt>
                <c:pt idx="1862">
                  <c:v>0.11906385730556884</c:v>
                </c:pt>
                <c:pt idx="1863">
                  <c:v>0.11919957480214412</c:v>
                </c:pt>
                <c:pt idx="1864">
                  <c:v>0.11933338312813466</c:v>
                </c:pt>
                <c:pt idx="1865">
                  <c:v>0.11946621280412452</c:v>
                </c:pt>
                <c:pt idx="1866">
                  <c:v>0.11959468654274882</c:v>
                </c:pt>
                <c:pt idx="1867">
                  <c:v>0.11973116857986202</c:v>
                </c:pt>
                <c:pt idx="1868">
                  <c:v>0.11986953206261486</c:v>
                </c:pt>
                <c:pt idx="1869">
                  <c:v>0.12000455173789817</c:v>
                </c:pt>
                <c:pt idx="1870">
                  <c:v>0.1201395531853291</c:v>
                </c:pt>
                <c:pt idx="1871">
                  <c:v>0.12027027329969105</c:v>
                </c:pt>
                <c:pt idx="1872">
                  <c:v>0.12041482697907002</c:v>
                </c:pt>
                <c:pt idx="1873">
                  <c:v>0.12054604772982586</c:v>
                </c:pt>
                <c:pt idx="1874">
                  <c:v>0.1206706992347174</c:v>
                </c:pt>
                <c:pt idx="1875">
                  <c:v>0.12080646708116244</c:v>
                </c:pt>
                <c:pt idx="1876">
                  <c:v>0.12094579593074327</c:v>
                </c:pt>
                <c:pt idx="1877">
                  <c:v>0.12107327523996338</c:v>
                </c:pt>
                <c:pt idx="1878">
                  <c:v>0.12121105096959342</c:v>
                </c:pt>
                <c:pt idx="1879">
                  <c:v>0.12134762193149021</c:v>
                </c:pt>
                <c:pt idx="1880">
                  <c:v>0.12148107098971905</c:v>
                </c:pt>
                <c:pt idx="1881">
                  <c:v>0.12162645997953156</c:v>
                </c:pt>
                <c:pt idx="1882">
                  <c:v>0.12176070669799718</c:v>
                </c:pt>
                <c:pt idx="1883">
                  <c:v>0.12189189525013429</c:v>
                </c:pt>
                <c:pt idx="1884">
                  <c:v>0.12201958375303842</c:v>
                </c:pt>
                <c:pt idx="1885">
                  <c:v>0.12216229817079793</c:v>
                </c:pt>
                <c:pt idx="1886">
                  <c:v>0.12229979003336895</c:v>
                </c:pt>
                <c:pt idx="1887">
                  <c:v>0.12242987788271832</c:v>
                </c:pt>
                <c:pt idx="1888">
                  <c:v>0.12257073150773498</c:v>
                </c:pt>
                <c:pt idx="1889">
                  <c:v>0.12271271857633094</c:v>
                </c:pt>
                <c:pt idx="1890">
                  <c:v>0.12284527519176637</c:v>
                </c:pt>
                <c:pt idx="1891">
                  <c:v>0.12297695980169089</c:v>
                </c:pt>
                <c:pt idx="1892">
                  <c:v>0.12312130804962425</c:v>
                </c:pt>
                <c:pt idx="1893">
                  <c:v>0.12325939882615256</c:v>
                </c:pt>
                <c:pt idx="1894">
                  <c:v>0.12339443495419071</c:v>
                </c:pt>
                <c:pt idx="1895">
                  <c:v>0.12354600728759338</c:v>
                </c:pt>
                <c:pt idx="1896">
                  <c:v>0.12368020232125072</c:v>
                </c:pt>
                <c:pt idx="1897">
                  <c:v>0.12382063309825035</c:v>
                </c:pt>
                <c:pt idx="1898">
                  <c:v>0.12395634422314071</c:v>
                </c:pt>
                <c:pt idx="1899">
                  <c:v>0.12410180568627867</c:v>
                </c:pt>
                <c:pt idx="1900">
                  <c:v>0.12423471294620891</c:v>
                </c:pt>
                <c:pt idx="1901">
                  <c:v>0.12436977164609241</c:v>
                </c:pt>
                <c:pt idx="1902">
                  <c:v>0.1245068267316834</c:v>
                </c:pt>
                <c:pt idx="1903">
                  <c:v>0.12464454133570879</c:v>
                </c:pt>
                <c:pt idx="1904">
                  <c:v>0.12477217686580497</c:v>
                </c:pt>
                <c:pt idx="1905">
                  <c:v>0.12491227972363571</c:v>
                </c:pt>
                <c:pt idx="1906">
                  <c:v>0.12505722210956502</c:v>
                </c:pt>
                <c:pt idx="1907">
                  <c:v>0.12519050576820559</c:v>
                </c:pt>
                <c:pt idx="1908">
                  <c:v>0.12531737325333805</c:v>
                </c:pt>
                <c:pt idx="1909">
                  <c:v>0.12544864032832834</c:v>
                </c:pt>
                <c:pt idx="1910">
                  <c:v>0.12558289859446387</c:v>
                </c:pt>
                <c:pt idx="1911">
                  <c:v>0.12572708678559469</c:v>
                </c:pt>
                <c:pt idx="1912">
                  <c:v>0.12585810506197465</c:v>
                </c:pt>
                <c:pt idx="1913">
                  <c:v>0.12599668057918015</c:v>
                </c:pt>
                <c:pt idx="1914">
                  <c:v>0.12612959280209673</c:v>
                </c:pt>
                <c:pt idx="1915">
                  <c:v>0.12626757663311838</c:v>
                </c:pt>
                <c:pt idx="1916">
                  <c:v>0.12640737781988162</c:v>
                </c:pt>
                <c:pt idx="1917">
                  <c:v>0.12655170363060217</c:v>
                </c:pt>
                <c:pt idx="1918">
                  <c:v>0.12669463428174438</c:v>
                </c:pt>
                <c:pt idx="1919">
                  <c:v>0.12683576017763837</c:v>
                </c:pt>
                <c:pt idx="1920">
                  <c:v>0.12697404649103686</c:v>
                </c:pt>
                <c:pt idx="1921">
                  <c:v>0.12711885439896189</c:v>
                </c:pt>
                <c:pt idx="1922">
                  <c:v>0.12727415818195473</c:v>
                </c:pt>
                <c:pt idx="1923">
                  <c:v>0.1274117689564726</c:v>
                </c:pt>
                <c:pt idx="1924">
                  <c:v>0.12754739328294246</c:v>
                </c:pt>
                <c:pt idx="1925">
                  <c:v>0.1276895259552995</c:v>
                </c:pt>
                <c:pt idx="1926">
                  <c:v>0.12783730365782292</c:v>
                </c:pt>
                <c:pt idx="1927">
                  <c:v>0.12798482393642346</c:v>
                </c:pt>
                <c:pt idx="1928">
                  <c:v>0.1281209543417455</c:v>
                </c:pt>
                <c:pt idx="1929">
                  <c:v>0.12826413193712902</c:v>
                </c:pt>
                <c:pt idx="1930">
                  <c:v>0.12839868851543471</c:v>
                </c:pt>
                <c:pt idx="1931">
                  <c:v>0.12853289939445361</c:v>
                </c:pt>
                <c:pt idx="1932">
                  <c:v>0.128672670873648</c:v>
                </c:pt>
                <c:pt idx="1933">
                  <c:v>0.12881434690803434</c:v>
                </c:pt>
                <c:pt idx="1934">
                  <c:v>0.1289608021639386</c:v>
                </c:pt>
                <c:pt idx="1935">
                  <c:v>0.12910776801203588</c:v>
                </c:pt>
                <c:pt idx="1936">
                  <c:v>0.1292441957714435</c:v>
                </c:pt>
                <c:pt idx="1937">
                  <c:v>0.12938458388107957</c:v>
                </c:pt>
                <c:pt idx="1938">
                  <c:v>0.12952876703547644</c:v>
                </c:pt>
                <c:pt idx="1939">
                  <c:v>0.1296728169211589</c:v>
                </c:pt>
                <c:pt idx="1940">
                  <c:v>0.12980734768734806</c:v>
                </c:pt>
                <c:pt idx="1941">
                  <c:v>0.12994608243537278</c:v>
                </c:pt>
                <c:pt idx="1942">
                  <c:v>0.13009399725490081</c:v>
                </c:pt>
                <c:pt idx="1943">
                  <c:v>0.13024068424949176</c:v>
                </c:pt>
                <c:pt idx="1944">
                  <c:v>0.13037166433651515</c:v>
                </c:pt>
                <c:pt idx="1945">
                  <c:v>0.13051666565848866</c:v>
                </c:pt>
                <c:pt idx="1946">
                  <c:v>0.13066127819592402</c:v>
                </c:pt>
                <c:pt idx="1947">
                  <c:v>0.13080605367812925</c:v>
                </c:pt>
                <c:pt idx="1948">
                  <c:v>0.13094691717189658</c:v>
                </c:pt>
                <c:pt idx="1949">
                  <c:v>0.13108510589409125</c:v>
                </c:pt>
                <c:pt idx="1950">
                  <c:v>0.13123333220312786</c:v>
                </c:pt>
                <c:pt idx="1951">
                  <c:v>0.13138032176030226</c:v>
                </c:pt>
                <c:pt idx="1952">
                  <c:v>0.13152244148455597</c:v>
                </c:pt>
                <c:pt idx="1953">
                  <c:v>0.13166321431405928</c:v>
                </c:pt>
                <c:pt idx="1954">
                  <c:v>0.13180590607836506</c:v>
                </c:pt>
                <c:pt idx="1955">
                  <c:v>0.13194755723646304</c:v>
                </c:pt>
                <c:pt idx="1956">
                  <c:v>0.13208950456460572</c:v>
                </c:pt>
                <c:pt idx="1957">
                  <c:v>0.13222954482042742</c:v>
                </c:pt>
                <c:pt idx="1958">
                  <c:v>0.13237316541959596</c:v>
                </c:pt>
                <c:pt idx="1959">
                  <c:v>0.13251643910099692</c:v>
                </c:pt>
                <c:pt idx="1960">
                  <c:v>0.13266129290687184</c:v>
                </c:pt>
                <c:pt idx="1961">
                  <c:v>0.13280814408989344</c:v>
                </c:pt>
                <c:pt idx="1962">
                  <c:v>0.13295135546831233</c:v>
                </c:pt>
                <c:pt idx="1963">
                  <c:v>0.13309370050411745</c:v>
                </c:pt>
                <c:pt idx="1964">
                  <c:v>0.13323857261490607</c:v>
                </c:pt>
                <c:pt idx="1965">
                  <c:v>0.13337496779118838</c:v>
                </c:pt>
                <c:pt idx="1966">
                  <c:v>0.13352089929981223</c:v>
                </c:pt>
                <c:pt idx="1967">
                  <c:v>0.1336698853691356</c:v>
                </c:pt>
                <c:pt idx="1968">
                  <c:v>0.13381315670087529</c:v>
                </c:pt>
                <c:pt idx="1969">
                  <c:v>0.13395742570958663</c:v>
                </c:pt>
                <c:pt idx="1970">
                  <c:v>0.13409712319904105</c:v>
                </c:pt>
                <c:pt idx="1971">
                  <c:v>0.13425411577311797</c:v>
                </c:pt>
                <c:pt idx="1972">
                  <c:v>0.13440364400918667</c:v>
                </c:pt>
                <c:pt idx="1973">
                  <c:v>0.13454355393432185</c:v>
                </c:pt>
                <c:pt idx="1974">
                  <c:v>0.13468673068175807</c:v>
                </c:pt>
                <c:pt idx="1975">
                  <c:v>0.13484195218285489</c:v>
                </c:pt>
                <c:pt idx="1976">
                  <c:v>0.13499399644852789</c:v>
                </c:pt>
                <c:pt idx="1977">
                  <c:v>0.13513791215167911</c:v>
                </c:pt>
                <c:pt idx="1978">
                  <c:v>0.13527464847819828</c:v>
                </c:pt>
                <c:pt idx="1979">
                  <c:v>0.13541862547104072</c:v>
                </c:pt>
                <c:pt idx="1980">
                  <c:v>0.13557315397973202</c:v>
                </c:pt>
                <c:pt idx="1981">
                  <c:v>0.13571952738535684</c:v>
                </c:pt>
                <c:pt idx="1982">
                  <c:v>0.13586657042472536</c:v>
                </c:pt>
                <c:pt idx="1983">
                  <c:v>0.1360118339759355</c:v>
                </c:pt>
                <c:pt idx="1984">
                  <c:v>0.13615493274456145</c:v>
                </c:pt>
                <c:pt idx="1985">
                  <c:v>0.13629822436099259</c:v>
                </c:pt>
                <c:pt idx="1986">
                  <c:v>0.13644313068175365</c:v>
                </c:pt>
                <c:pt idx="1987">
                  <c:v>0.13659533791788375</c:v>
                </c:pt>
                <c:pt idx="1988">
                  <c:v>0.13674635432205426</c:v>
                </c:pt>
                <c:pt idx="1989">
                  <c:v>0.13688683028085633</c:v>
                </c:pt>
                <c:pt idx="1990">
                  <c:v>0.13703317395123529</c:v>
                </c:pt>
                <c:pt idx="1991">
                  <c:v>0.13718420544804522</c:v>
                </c:pt>
                <c:pt idx="1992">
                  <c:v>0.13733673628671431</c:v>
                </c:pt>
                <c:pt idx="1993">
                  <c:v>0.13748673777236883</c:v>
                </c:pt>
                <c:pt idx="1994">
                  <c:v>0.13762980825893695</c:v>
                </c:pt>
                <c:pt idx="1995">
                  <c:v>0.13778430991714363</c:v>
                </c:pt>
                <c:pt idx="1996">
                  <c:v>0.13793964973916215</c:v>
                </c:pt>
                <c:pt idx="1997">
                  <c:v>0.13808875975941054</c:v>
                </c:pt>
                <c:pt idx="1998">
                  <c:v>0.13823369075071873</c:v>
                </c:pt>
                <c:pt idx="1999">
                  <c:v>0.13837934074699706</c:v>
                </c:pt>
                <c:pt idx="2000">
                  <c:v>0.13853087857046989</c:v>
                </c:pt>
                <c:pt idx="2001">
                  <c:v>0.13868103547602259</c:v>
                </c:pt>
                <c:pt idx="2002">
                  <c:v>0.13883477700069125</c:v>
                </c:pt>
                <c:pt idx="2003">
                  <c:v>0.13898519221232772</c:v>
                </c:pt>
                <c:pt idx="2004">
                  <c:v>0.13913698266080107</c:v>
                </c:pt>
                <c:pt idx="2005">
                  <c:v>0.13927803473622677</c:v>
                </c:pt>
                <c:pt idx="2006">
                  <c:v>0.13942104159270674</c:v>
                </c:pt>
                <c:pt idx="2007">
                  <c:v>0.13956639726593204</c:v>
                </c:pt>
                <c:pt idx="2008">
                  <c:v>0.13971900051780778</c:v>
                </c:pt>
                <c:pt idx="2009">
                  <c:v>0.1398661449773051</c:v>
                </c:pt>
                <c:pt idx="2010">
                  <c:v>0.14001288320837391</c:v>
                </c:pt>
                <c:pt idx="2011">
                  <c:v>0.14015918502949026</c:v>
                </c:pt>
                <c:pt idx="2012">
                  <c:v>0.14030667955727813</c:v>
                </c:pt>
                <c:pt idx="2013">
                  <c:v>0.14045902826585063</c:v>
                </c:pt>
                <c:pt idx="2014">
                  <c:v>0.14061166731655114</c:v>
                </c:pt>
                <c:pt idx="2015">
                  <c:v>0.14076480894433824</c:v>
                </c:pt>
                <c:pt idx="2016">
                  <c:v>0.14089944335700774</c:v>
                </c:pt>
                <c:pt idx="2017">
                  <c:v>0.14105144904179331</c:v>
                </c:pt>
                <c:pt idx="2018">
                  <c:v>0.14120951691663133</c:v>
                </c:pt>
                <c:pt idx="2019">
                  <c:v>0.14135968655783754</c:v>
                </c:pt>
                <c:pt idx="2020">
                  <c:v>0.14151590697419189</c:v>
                </c:pt>
                <c:pt idx="2021">
                  <c:v>0.14166683892025231</c:v>
                </c:pt>
                <c:pt idx="2022">
                  <c:v>0.14182370841778189</c:v>
                </c:pt>
                <c:pt idx="2023">
                  <c:v>0.1419763211351884</c:v>
                </c:pt>
                <c:pt idx="2024">
                  <c:v>0.14212500219115046</c:v>
                </c:pt>
                <c:pt idx="2025">
                  <c:v>0.14227624614632792</c:v>
                </c:pt>
                <c:pt idx="2026">
                  <c:v>0.14243683638950053</c:v>
                </c:pt>
                <c:pt idx="2027">
                  <c:v>0.14258441935390648</c:v>
                </c:pt>
                <c:pt idx="2028">
                  <c:v>0.14273766291189088</c:v>
                </c:pt>
                <c:pt idx="2029">
                  <c:v>0.14289094353856219</c:v>
                </c:pt>
                <c:pt idx="2030">
                  <c:v>0.14304674332529926</c:v>
                </c:pt>
                <c:pt idx="2031">
                  <c:v>0.14320221619313434</c:v>
                </c:pt>
                <c:pt idx="2032">
                  <c:v>0.14334994850928401</c:v>
                </c:pt>
                <c:pt idx="2033">
                  <c:v>0.14350312523507747</c:v>
                </c:pt>
                <c:pt idx="2034">
                  <c:v>0.14365713561765317</c:v>
                </c:pt>
                <c:pt idx="2035">
                  <c:v>0.14381107187386105</c:v>
                </c:pt>
                <c:pt idx="2036">
                  <c:v>0.1439651759689754</c:v>
                </c:pt>
                <c:pt idx="2037">
                  <c:v>0.14411593022499702</c:v>
                </c:pt>
                <c:pt idx="2038">
                  <c:v>0.1442676493592096</c:v>
                </c:pt>
                <c:pt idx="2039">
                  <c:v>0.14441983920375459</c:v>
                </c:pt>
                <c:pt idx="2040">
                  <c:v>0.1445596645566074</c:v>
                </c:pt>
                <c:pt idx="2041">
                  <c:v>0.14471992884476739</c:v>
                </c:pt>
                <c:pt idx="2042">
                  <c:v>0.14487734745875597</c:v>
                </c:pt>
                <c:pt idx="2043">
                  <c:v>0.14503299921304949</c:v>
                </c:pt>
                <c:pt idx="2044">
                  <c:v>0.14517981695499388</c:v>
                </c:pt>
                <c:pt idx="2045">
                  <c:v>0.14533973022456295</c:v>
                </c:pt>
                <c:pt idx="2046">
                  <c:v>0.14550116795861642</c:v>
                </c:pt>
                <c:pt idx="2047">
                  <c:v>0.14565195250666493</c:v>
                </c:pt>
                <c:pt idx="2048">
                  <c:v>0.14579750213838102</c:v>
                </c:pt>
                <c:pt idx="2049">
                  <c:v>0.14594605885244794</c:v>
                </c:pt>
                <c:pt idx="2050">
                  <c:v>0.14611047680104081</c:v>
                </c:pt>
                <c:pt idx="2051">
                  <c:v>0.14625780024391757</c:v>
                </c:pt>
                <c:pt idx="2052">
                  <c:v>0.14641329762901931</c:v>
                </c:pt>
                <c:pt idx="2053">
                  <c:v>0.14656373357163904</c:v>
                </c:pt>
                <c:pt idx="2054">
                  <c:v>0.14672038974162191</c:v>
                </c:pt>
                <c:pt idx="2055">
                  <c:v>0.14687646855260583</c:v>
                </c:pt>
                <c:pt idx="2056">
                  <c:v>0.14703369882542341</c:v>
                </c:pt>
                <c:pt idx="2057">
                  <c:v>0.14718652337942717</c:v>
                </c:pt>
                <c:pt idx="2058">
                  <c:v>0.14734071101908022</c:v>
                </c:pt>
                <c:pt idx="2059">
                  <c:v>0.14749769755552988</c:v>
                </c:pt>
                <c:pt idx="2060">
                  <c:v>0.14765234944630401</c:v>
                </c:pt>
                <c:pt idx="2061">
                  <c:v>0.14780259912041929</c:v>
                </c:pt>
                <c:pt idx="2062">
                  <c:v>0.14794666134112361</c:v>
                </c:pt>
                <c:pt idx="2063">
                  <c:v>0.14810007929470637</c:v>
                </c:pt>
                <c:pt idx="2064">
                  <c:v>0.1482518677175382</c:v>
                </c:pt>
                <c:pt idx="2065">
                  <c:v>0.14840357288833128</c:v>
                </c:pt>
                <c:pt idx="2066">
                  <c:v>0.14855879720144707</c:v>
                </c:pt>
                <c:pt idx="2067">
                  <c:v>0.14869924902017931</c:v>
                </c:pt>
                <c:pt idx="2068">
                  <c:v>0.14884316207157858</c:v>
                </c:pt>
                <c:pt idx="2069">
                  <c:v>0.14900147761551724</c:v>
                </c:pt>
                <c:pt idx="2070">
                  <c:v>0.14914999037913171</c:v>
                </c:pt>
                <c:pt idx="2071">
                  <c:v>0.1493005165671345</c:v>
                </c:pt>
                <c:pt idx="2072">
                  <c:v>0.14945334600486454</c:v>
                </c:pt>
                <c:pt idx="2073">
                  <c:v>0.14960654302161241</c:v>
                </c:pt>
                <c:pt idx="2074">
                  <c:v>0.14976507852488083</c:v>
                </c:pt>
                <c:pt idx="2075">
                  <c:v>0.1499075455887719</c:v>
                </c:pt>
                <c:pt idx="2076">
                  <c:v>0.15005397007588164</c:v>
                </c:pt>
                <c:pt idx="2077">
                  <c:v>0.15019772838315507</c:v>
                </c:pt>
                <c:pt idx="2078">
                  <c:v>0.15034469134721229</c:v>
                </c:pt>
                <c:pt idx="2079">
                  <c:v>0.15049939433808501</c:v>
                </c:pt>
                <c:pt idx="2080">
                  <c:v>0.15064076549191374</c:v>
                </c:pt>
                <c:pt idx="2081">
                  <c:v>0.15078236696588052</c:v>
                </c:pt>
                <c:pt idx="2082">
                  <c:v>0.15094192745798396</c:v>
                </c:pt>
                <c:pt idx="2083">
                  <c:v>0.15108855089273873</c:v>
                </c:pt>
                <c:pt idx="2084">
                  <c:v>0.15123752462848311</c:v>
                </c:pt>
                <c:pt idx="2085">
                  <c:v>0.15138316415745459</c:v>
                </c:pt>
                <c:pt idx="2086">
                  <c:v>0.1515259411531617</c:v>
                </c:pt>
                <c:pt idx="2087">
                  <c:v>0.15167368937742987</c:v>
                </c:pt>
                <c:pt idx="2088">
                  <c:v>0.15182355614239543</c:v>
                </c:pt>
                <c:pt idx="2089">
                  <c:v>0.15197148040934</c:v>
                </c:pt>
                <c:pt idx="2090">
                  <c:v>0.15212421218057087</c:v>
                </c:pt>
                <c:pt idx="2091">
                  <c:v>0.15227159212207964</c:v>
                </c:pt>
                <c:pt idx="2092">
                  <c:v>0.15242897603405253</c:v>
                </c:pt>
                <c:pt idx="2093">
                  <c:v>0.15258847391065636</c:v>
                </c:pt>
                <c:pt idx="2094">
                  <c:v>0.15273832356348718</c:v>
                </c:pt>
                <c:pt idx="2095">
                  <c:v>0.15288501356631209</c:v>
                </c:pt>
                <c:pt idx="2096">
                  <c:v>0.15303375989485787</c:v>
                </c:pt>
                <c:pt idx="2097">
                  <c:v>0.15318415211619535</c:v>
                </c:pt>
                <c:pt idx="2098">
                  <c:v>0.15333461160254219</c:v>
                </c:pt>
                <c:pt idx="2099">
                  <c:v>0.15348309137265445</c:v>
                </c:pt>
                <c:pt idx="2100">
                  <c:v>0.15363175875616561</c:v>
                </c:pt>
                <c:pt idx="2101">
                  <c:v>0.15377114056136118</c:v>
                </c:pt>
                <c:pt idx="2102">
                  <c:v>0.153924915189908</c:v>
                </c:pt>
                <c:pt idx="2103">
                  <c:v>0.15407964413410236</c:v>
                </c:pt>
                <c:pt idx="2104">
                  <c:v>0.15421995132976959</c:v>
                </c:pt>
                <c:pt idx="2105">
                  <c:v>0.15436290252807691</c:v>
                </c:pt>
                <c:pt idx="2106">
                  <c:v>0.15451912976476032</c:v>
                </c:pt>
                <c:pt idx="2107">
                  <c:v>0.15466765318764461</c:v>
                </c:pt>
                <c:pt idx="2108">
                  <c:v>0.15481532689336586</c:v>
                </c:pt>
                <c:pt idx="2109">
                  <c:v>0.15495881117814428</c:v>
                </c:pt>
                <c:pt idx="2110">
                  <c:v>0.15510337146370923</c:v>
                </c:pt>
                <c:pt idx="2111">
                  <c:v>0.15525639317262277</c:v>
                </c:pt>
                <c:pt idx="2112">
                  <c:v>0.15540813576477636</c:v>
                </c:pt>
                <c:pt idx="2113">
                  <c:v>0.15555704536854567</c:v>
                </c:pt>
                <c:pt idx="2114">
                  <c:v>0.15570229631847804</c:v>
                </c:pt>
                <c:pt idx="2115">
                  <c:v>0.15584451778445141</c:v>
                </c:pt>
                <c:pt idx="2116">
                  <c:v>0.15599932849945142</c:v>
                </c:pt>
                <c:pt idx="2117">
                  <c:v>0.15614914595545276</c:v>
                </c:pt>
                <c:pt idx="2118">
                  <c:v>0.15630046439593961</c:v>
                </c:pt>
                <c:pt idx="2119">
                  <c:v>0.1564499579916365</c:v>
                </c:pt>
                <c:pt idx="2120">
                  <c:v>0.15659559692524105</c:v>
                </c:pt>
                <c:pt idx="2121">
                  <c:v>0.15675456105250765</c:v>
                </c:pt>
                <c:pt idx="2122">
                  <c:v>0.15691105198352115</c:v>
                </c:pt>
                <c:pt idx="2123">
                  <c:v>0.15704309237078304</c:v>
                </c:pt>
                <c:pt idx="2124">
                  <c:v>0.15718696370764917</c:v>
                </c:pt>
                <c:pt idx="2125">
                  <c:v>0.1573314012080094</c:v>
                </c:pt>
                <c:pt idx="2126">
                  <c:v>0.15748036285536421</c:v>
                </c:pt>
                <c:pt idx="2127">
                  <c:v>0.15763253404791203</c:v>
                </c:pt>
                <c:pt idx="2128">
                  <c:v>0.15777963140695925</c:v>
                </c:pt>
                <c:pt idx="2129">
                  <c:v>0.15791999703645279</c:v>
                </c:pt>
                <c:pt idx="2130">
                  <c:v>0.15807551055856672</c:v>
                </c:pt>
                <c:pt idx="2131">
                  <c:v>0.158228416062456</c:v>
                </c:pt>
                <c:pt idx="2132">
                  <c:v>0.15837665791281499</c:v>
                </c:pt>
                <c:pt idx="2133">
                  <c:v>0.15852907031137406</c:v>
                </c:pt>
                <c:pt idx="2134">
                  <c:v>0.15867685039973017</c:v>
                </c:pt>
                <c:pt idx="2135">
                  <c:v>0.15882362539116376</c:v>
                </c:pt>
                <c:pt idx="2136">
                  <c:v>0.15896839274514571</c:v>
                </c:pt>
                <c:pt idx="2137">
                  <c:v>0.15912293907989608</c:v>
                </c:pt>
                <c:pt idx="2138">
                  <c:v>0.15926883456014279</c:v>
                </c:pt>
                <c:pt idx="2139">
                  <c:v>0.15941165152460765</c:v>
                </c:pt>
                <c:pt idx="2140">
                  <c:v>0.1595566215979265</c:v>
                </c:pt>
                <c:pt idx="2141">
                  <c:v>0.15971254567937612</c:v>
                </c:pt>
                <c:pt idx="2142">
                  <c:v>0.15985657919076904</c:v>
                </c:pt>
                <c:pt idx="2143">
                  <c:v>0.1600045600530127</c:v>
                </c:pt>
                <c:pt idx="2144">
                  <c:v>0.16014946404159294</c:v>
                </c:pt>
                <c:pt idx="2145">
                  <c:v>0.16028686933390238</c:v>
                </c:pt>
                <c:pt idx="2146">
                  <c:v>0.16043230755000143</c:v>
                </c:pt>
                <c:pt idx="2147">
                  <c:v>0.16058466476369254</c:v>
                </c:pt>
                <c:pt idx="2148">
                  <c:v>0.16073740519910046</c:v>
                </c:pt>
                <c:pt idx="2149">
                  <c:v>0.16088494852700524</c:v>
                </c:pt>
                <c:pt idx="2150">
                  <c:v>0.16103386740125017</c:v>
                </c:pt>
                <c:pt idx="2151">
                  <c:v>0.16118404230190059</c:v>
                </c:pt>
                <c:pt idx="2152">
                  <c:v>0.16133443242219034</c:v>
                </c:pt>
                <c:pt idx="2153">
                  <c:v>0.16148655320785557</c:v>
                </c:pt>
                <c:pt idx="2154">
                  <c:v>0.1616398591456269</c:v>
                </c:pt>
                <c:pt idx="2155">
                  <c:v>0.16179419124734648</c:v>
                </c:pt>
                <c:pt idx="2156">
                  <c:v>0.16195501433726392</c:v>
                </c:pt>
                <c:pt idx="2157">
                  <c:v>0.16211168355393354</c:v>
                </c:pt>
                <c:pt idx="2158">
                  <c:v>0.16226542817474351</c:v>
                </c:pt>
                <c:pt idx="2159">
                  <c:v>0.16240540312082474</c:v>
                </c:pt>
                <c:pt idx="2160">
                  <c:v>0.16255080073431358</c:v>
                </c:pt>
                <c:pt idx="2161">
                  <c:v>0.16270346872913755</c:v>
                </c:pt>
                <c:pt idx="2162">
                  <c:v>0.16285742905066561</c:v>
                </c:pt>
                <c:pt idx="2163">
                  <c:v>0.16301242394759258</c:v>
                </c:pt>
                <c:pt idx="2164">
                  <c:v>0.1631441556687607</c:v>
                </c:pt>
                <c:pt idx="2165">
                  <c:v>0.16328815062983337</c:v>
                </c:pt>
                <c:pt idx="2166">
                  <c:v>0.16344132893448202</c:v>
                </c:pt>
                <c:pt idx="2167">
                  <c:v>0.1635934360040768</c:v>
                </c:pt>
                <c:pt idx="2168">
                  <c:v>0.16374128005071931</c:v>
                </c:pt>
                <c:pt idx="2169">
                  <c:v>0.1638834202184018</c:v>
                </c:pt>
                <c:pt idx="2170">
                  <c:v>0.16402110387334876</c:v>
                </c:pt>
                <c:pt idx="2171">
                  <c:v>0.16417041595215601</c:v>
                </c:pt>
                <c:pt idx="2172">
                  <c:v>0.16432500994317883</c:v>
                </c:pt>
                <c:pt idx="2173">
                  <c:v>0.16448923864183876</c:v>
                </c:pt>
                <c:pt idx="2174">
                  <c:v>0.16463138116049697</c:v>
                </c:pt>
                <c:pt idx="2175">
                  <c:v>0.16477664309226098</c:v>
                </c:pt>
                <c:pt idx="2176">
                  <c:v>0.16492680981884572</c:v>
                </c:pt>
                <c:pt idx="2177">
                  <c:v>0.16509410795035714</c:v>
                </c:pt>
                <c:pt idx="2178">
                  <c:v>0.16525157892511461</c:v>
                </c:pt>
                <c:pt idx="2179">
                  <c:v>0.16539748094806661</c:v>
                </c:pt>
                <c:pt idx="2180">
                  <c:v>0.16553236168304078</c:v>
                </c:pt>
                <c:pt idx="2181">
                  <c:v>0.16567982072918497</c:v>
                </c:pt>
                <c:pt idx="2182">
                  <c:v>0.1658306310445575</c:v>
                </c:pt>
                <c:pt idx="2183">
                  <c:v>0.1659883312262746</c:v>
                </c:pt>
                <c:pt idx="2184">
                  <c:v>0.16613609771974908</c:v>
                </c:pt>
                <c:pt idx="2185">
                  <c:v>0.1662747235812975</c:v>
                </c:pt>
                <c:pt idx="2186">
                  <c:v>0.16641790379215712</c:v>
                </c:pt>
                <c:pt idx="2187">
                  <c:v>0.16655752541592331</c:v>
                </c:pt>
                <c:pt idx="2188">
                  <c:v>0.16671067676702467</c:v>
                </c:pt>
                <c:pt idx="2189">
                  <c:v>0.16685811981440291</c:v>
                </c:pt>
                <c:pt idx="2190">
                  <c:v>0.16701024989503924</c:v>
                </c:pt>
                <c:pt idx="2191">
                  <c:v>0.16715599406374651</c:v>
                </c:pt>
                <c:pt idx="2192">
                  <c:v>0.16730673950656882</c:v>
                </c:pt>
                <c:pt idx="2193">
                  <c:v>0.16745251924602528</c:v>
                </c:pt>
                <c:pt idx="2194">
                  <c:v>0.16760349566232821</c:v>
                </c:pt>
                <c:pt idx="2195">
                  <c:v>0.16774685982013365</c:v>
                </c:pt>
                <c:pt idx="2196">
                  <c:v>0.16787612884747613</c:v>
                </c:pt>
                <c:pt idx="2197">
                  <c:v>0.16802299668937981</c:v>
                </c:pt>
                <c:pt idx="2198">
                  <c:v>0.16817724227291364</c:v>
                </c:pt>
                <c:pt idx="2199">
                  <c:v>0.16833098200863181</c:v>
                </c:pt>
                <c:pt idx="2200">
                  <c:v>0.16848592766694814</c:v>
                </c:pt>
                <c:pt idx="2201">
                  <c:v>0.16863821356169881</c:v>
                </c:pt>
                <c:pt idx="2202">
                  <c:v>0.1687854612031838</c:v>
                </c:pt>
                <c:pt idx="2203">
                  <c:v>0.16893693459798462</c:v>
                </c:pt>
                <c:pt idx="2204">
                  <c:v>0.16909205182508072</c:v>
                </c:pt>
                <c:pt idx="2205">
                  <c:v>0.16925010350355776</c:v>
                </c:pt>
                <c:pt idx="2206">
                  <c:v>0.16940063189734397</c:v>
                </c:pt>
                <c:pt idx="2207">
                  <c:v>0.16954328666238247</c:v>
                </c:pt>
                <c:pt idx="2208">
                  <c:v>0.16968395615074361</c:v>
                </c:pt>
                <c:pt idx="2209">
                  <c:v>0.16983920313246825</c:v>
                </c:pt>
                <c:pt idx="2210">
                  <c:v>0.17000445382561161</c:v>
                </c:pt>
                <c:pt idx="2211">
                  <c:v>0.1701585414041534</c:v>
                </c:pt>
                <c:pt idx="2212">
                  <c:v>0.17030285544388568</c:v>
                </c:pt>
                <c:pt idx="2213">
                  <c:v>0.17044928879875859</c:v>
                </c:pt>
                <c:pt idx="2214">
                  <c:v>0.17059360996729989</c:v>
                </c:pt>
                <c:pt idx="2215">
                  <c:v>0.17074494714315078</c:v>
                </c:pt>
                <c:pt idx="2216">
                  <c:v>0.17090536761227315</c:v>
                </c:pt>
                <c:pt idx="2217">
                  <c:v>0.17107141352223715</c:v>
                </c:pt>
                <c:pt idx="2218">
                  <c:v>0.17121744009804471</c:v>
                </c:pt>
                <c:pt idx="2219">
                  <c:v>0.17136500485087508</c:v>
                </c:pt>
                <c:pt idx="2220">
                  <c:v>0.17150818383752314</c:v>
                </c:pt>
                <c:pt idx="2221">
                  <c:v>0.17166200068091902</c:v>
                </c:pt>
                <c:pt idx="2222">
                  <c:v>0.171813676259679</c:v>
                </c:pt>
                <c:pt idx="2223">
                  <c:v>0.17195429142233848</c:v>
                </c:pt>
                <c:pt idx="2224">
                  <c:v>0.17209939526389328</c:v>
                </c:pt>
                <c:pt idx="2225">
                  <c:v>0.17224208696481383</c:v>
                </c:pt>
                <c:pt idx="2226">
                  <c:v>0.17240285533993294</c:v>
                </c:pt>
                <c:pt idx="2227">
                  <c:v>0.17255955194934772</c:v>
                </c:pt>
                <c:pt idx="2228">
                  <c:v>0.17271091515358969</c:v>
                </c:pt>
                <c:pt idx="2229">
                  <c:v>0.17286052200310248</c:v>
                </c:pt>
                <c:pt idx="2230">
                  <c:v>0.17300161674627518</c:v>
                </c:pt>
                <c:pt idx="2231">
                  <c:v>0.1731402438981702</c:v>
                </c:pt>
                <c:pt idx="2232">
                  <c:v>0.17329867517464875</c:v>
                </c:pt>
                <c:pt idx="2233">
                  <c:v>0.17345478125286826</c:v>
                </c:pt>
                <c:pt idx="2234">
                  <c:v>0.1736029850833673</c:v>
                </c:pt>
                <c:pt idx="2235">
                  <c:v>0.17374490467531267</c:v>
                </c:pt>
                <c:pt idx="2236">
                  <c:v>0.17387869361537495</c:v>
                </c:pt>
                <c:pt idx="2237">
                  <c:v>0.17402954427113546</c:v>
                </c:pt>
                <c:pt idx="2238">
                  <c:v>0.17418042107730219</c:v>
                </c:pt>
                <c:pt idx="2239">
                  <c:v>0.17432864454085348</c:v>
                </c:pt>
                <c:pt idx="2240">
                  <c:v>0.1744771882562014</c:v>
                </c:pt>
                <c:pt idx="2241">
                  <c:v>0.17461281498649031</c:v>
                </c:pt>
                <c:pt idx="2242">
                  <c:v>0.17475121897784432</c:v>
                </c:pt>
                <c:pt idx="2243">
                  <c:v>0.17489737383364179</c:v>
                </c:pt>
                <c:pt idx="2244">
                  <c:v>0.17505344554908289</c:v>
                </c:pt>
                <c:pt idx="2245">
                  <c:v>0.17520742155780208</c:v>
                </c:pt>
                <c:pt idx="2246">
                  <c:v>0.17535197600571889</c:v>
                </c:pt>
                <c:pt idx="2247">
                  <c:v>0.17549135219387241</c:v>
                </c:pt>
                <c:pt idx="2248">
                  <c:v>0.17563735985816833</c:v>
                </c:pt>
                <c:pt idx="2249">
                  <c:v>0.17579564015801322</c:v>
                </c:pt>
                <c:pt idx="2250">
                  <c:v>0.17595505723504981</c:v>
                </c:pt>
                <c:pt idx="2251">
                  <c:v>0.17610764498755316</c:v>
                </c:pt>
                <c:pt idx="2252">
                  <c:v>0.17625568069052744</c:v>
                </c:pt>
                <c:pt idx="2253">
                  <c:v>0.17640658309992743</c:v>
                </c:pt>
                <c:pt idx="2254">
                  <c:v>0.17655368663679707</c:v>
                </c:pt>
                <c:pt idx="2255">
                  <c:v>0.1767004270787696</c:v>
                </c:pt>
                <c:pt idx="2256">
                  <c:v>0.1768648015368075</c:v>
                </c:pt>
                <c:pt idx="2257">
                  <c:v>0.17701670438618738</c:v>
                </c:pt>
                <c:pt idx="2258">
                  <c:v>0.17716903272872372</c:v>
                </c:pt>
                <c:pt idx="2259">
                  <c:v>0.17731089566616115</c:v>
                </c:pt>
                <c:pt idx="2260">
                  <c:v>0.1774589288395487</c:v>
                </c:pt>
                <c:pt idx="2261">
                  <c:v>0.17760302175139348</c:v>
                </c:pt>
                <c:pt idx="2262">
                  <c:v>0.17774629475110207</c:v>
                </c:pt>
                <c:pt idx="2263">
                  <c:v>0.17790200045186058</c:v>
                </c:pt>
                <c:pt idx="2264">
                  <c:v>0.17805421349417516</c:v>
                </c:pt>
                <c:pt idx="2265">
                  <c:v>0.17819933117596196</c:v>
                </c:pt>
                <c:pt idx="2266">
                  <c:v>0.17834630760771175</c:v>
                </c:pt>
                <c:pt idx="2267">
                  <c:v>0.17848266691020351</c:v>
                </c:pt>
                <c:pt idx="2268">
                  <c:v>0.17862892984299167</c:v>
                </c:pt>
                <c:pt idx="2269">
                  <c:v>0.17877478195629282</c:v>
                </c:pt>
                <c:pt idx="2270">
                  <c:v>0.17892417555700471</c:v>
                </c:pt>
                <c:pt idx="2271">
                  <c:v>0.17908236475485259</c:v>
                </c:pt>
                <c:pt idx="2272">
                  <c:v>0.179231907041112</c:v>
                </c:pt>
                <c:pt idx="2273">
                  <c:v>0.17938485186627051</c:v>
                </c:pt>
                <c:pt idx="2274">
                  <c:v>0.17954283201685339</c:v>
                </c:pt>
                <c:pt idx="2275">
                  <c:v>0.17969662416241547</c:v>
                </c:pt>
                <c:pt idx="2276">
                  <c:v>0.17985229881263751</c:v>
                </c:pt>
                <c:pt idx="2277">
                  <c:v>0.18000186214741518</c:v>
                </c:pt>
                <c:pt idx="2278">
                  <c:v>0.1801448502289951</c:v>
                </c:pt>
                <c:pt idx="2279">
                  <c:v>0.18028620417616287</c:v>
                </c:pt>
                <c:pt idx="2280">
                  <c:v>0.18043239796772106</c:v>
                </c:pt>
                <c:pt idx="2281">
                  <c:v>0.18056939636618283</c:v>
                </c:pt>
                <c:pt idx="2282">
                  <c:v>0.18072231168410643</c:v>
                </c:pt>
                <c:pt idx="2283">
                  <c:v>0.18087615572326501</c:v>
                </c:pt>
                <c:pt idx="2284">
                  <c:v>0.18102074793134482</c:v>
                </c:pt>
                <c:pt idx="2285">
                  <c:v>0.18116695093425783</c:v>
                </c:pt>
                <c:pt idx="2286">
                  <c:v>0.18131107381712958</c:v>
                </c:pt>
                <c:pt idx="2287">
                  <c:v>0.18145771986594439</c:v>
                </c:pt>
                <c:pt idx="2288">
                  <c:v>0.18161292645769966</c:v>
                </c:pt>
                <c:pt idx="2289">
                  <c:v>0.18176473104508686</c:v>
                </c:pt>
                <c:pt idx="2290">
                  <c:v>0.18191138822888106</c:v>
                </c:pt>
                <c:pt idx="2291">
                  <c:v>0.18204758252786177</c:v>
                </c:pt>
                <c:pt idx="2292">
                  <c:v>0.18218366125433921</c:v>
                </c:pt>
                <c:pt idx="2293">
                  <c:v>0.18232076920518703</c:v>
                </c:pt>
                <c:pt idx="2294">
                  <c:v>0.18248140957248249</c:v>
                </c:pt>
                <c:pt idx="2295">
                  <c:v>0.18263426557379722</c:v>
                </c:pt>
                <c:pt idx="2296">
                  <c:v>0.18279229566439587</c:v>
                </c:pt>
                <c:pt idx="2297">
                  <c:v>0.18293465264390485</c:v>
                </c:pt>
                <c:pt idx="2298">
                  <c:v>0.18307916080343967</c:v>
                </c:pt>
                <c:pt idx="2299">
                  <c:v>0.18322490811140155</c:v>
                </c:pt>
                <c:pt idx="2300">
                  <c:v>0.18336987827372306</c:v>
                </c:pt>
                <c:pt idx="2301">
                  <c:v>0.18352108695418143</c:v>
                </c:pt>
                <c:pt idx="2302">
                  <c:v>0.18366977321995268</c:v>
                </c:pt>
                <c:pt idx="2303">
                  <c:v>0.18381899921367634</c:v>
                </c:pt>
                <c:pt idx="2304">
                  <c:v>0.18396336027290305</c:v>
                </c:pt>
                <c:pt idx="2305">
                  <c:v>0.18409576977969824</c:v>
                </c:pt>
                <c:pt idx="2306">
                  <c:v>0.18423416507323845</c:v>
                </c:pt>
                <c:pt idx="2307">
                  <c:v>0.18438561102081721</c:v>
                </c:pt>
                <c:pt idx="2308">
                  <c:v>0.18453323954419568</c:v>
                </c:pt>
                <c:pt idx="2309">
                  <c:v>0.18468678880617997</c:v>
                </c:pt>
                <c:pt idx="2310">
                  <c:v>0.18483148914783426</c:v>
                </c:pt>
                <c:pt idx="2311">
                  <c:v>0.1849796323980398</c:v>
                </c:pt>
                <c:pt idx="2312">
                  <c:v>0.18512701847386512</c:v>
                </c:pt>
                <c:pt idx="2313">
                  <c:v>0.18527132626093298</c:v>
                </c:pt>
                <c:pt idx="2314">
                  <c:v>0.18541495557718152</c:v>
                </c:pt>
                <c:pt idx="2315">
                  <c:v>0.18556483035844573</c:v>
                </c:pt>
                <c:pt idx="2316">
                  <c:v>0.18571199485765857</c:v>
                </c:pt>
                <c:pt idx="2317">
                  <c:v>0.18586631060459441</c:v>
                </c:pt>
                <c:pt idx="2318">
                  <c:v>0.18602543525899831</c:v>
                </c:pt>
                <c:pt idx="2319">
                  <c:v>0.1861732084731347</c:v>
                </c:pt>
                <c:pt idx="2320">
                  <c:v>0.18632393591608273</c:v>
                </c:pt>
                <c:pt idx="2321">
                  <c:v>0.18647527827411831</c:v>
                </c:pt>
                <c:pt idx="2322">
                  <c:v>0.1866217679183505</c:v>
                </c:pt>
                <c:pt idx="2323">
                  <c:v>0.18677335495749217</c:v>
                </c:pt>
                <c:pt idx="2324">
                  <c:v>0.18692569155886482</c:v>
                </c:pt>
                <c:pt idx="2325">
                  <c:v>0.18708142290742893</c:v>
                </c:pt>
                <c:pt idx="2326">
                  <c:v>0.18722517864745711</c:v>
                </c:pt>
                <c:pt idx="2327">
                  <c:v>0.187377620182652</c:v>
                </c:pt>
                <c:pt idx="2328">
                  <c:v>0.18753333907822517</c:v>
                </c:pt>
                <c:pt idx="2329">
                  <c:v>0.18768913022264389</c:v>
                </c:pt>
                <c:pt idx="2330">
                  <c:v>0.18783675428894483</c:v>
                </c:pt>
                <c:pt idx="2331">
                  <c:v>0.18799041454653737</c:v>
                </c:pt>
                <c:pt idx="2332">
                  <c:v>0.18813820633628092</c:v>
                </c:pt>
                <c:pt idx="2333">
                  <c:v>0.18828506978929241</c:v>
                </c:pt>
                <c:pt idx="2334">
                  <c:v>0.18842267442615329</c:v>
                </c:pt>
                <c:pt idx="2335">
                  <c:v>0.18856683523129741</c:v>
                </c:pt>
                <c:pt idx="2336">
                  <c:v>0.18870981851776064</c:v>
                </c:pt>
                <c:pt idx="2337">
                  <c:v>0.18886446269864227</c:v>
                </c:pt>
                <c:pt idx="2338">
                  <c:v>0.18901015951165506</c:v>
                </c:pt>
                <c:pt idx="2339">
                  <c:v>0.18915768505720226</c:v>
                </c:pt>
                <c:pt idx="2340">
                  <c:v>0.18930410986016977</c:v>
                </c:pt>
                <c:pt idx="2341">
                  <c:v>0.1894490876353466</c:v>
                </c:pt>
                <c:pt idx="2342">
                  <c:v>0.18959947625316667</c:v>
                </c:pt>
                <c:pt idx="2343">
                  <c:v>0.18974441121620711</c:v>
                </c:pt>
                <c:pt idx="2344">
                  <c:v>0.18989171295124924</c:v>
                </c:pt>
                <c:pt idx="2345">
                  <c:v>0.19003851165676991</c:v>
                </c:pt>
                <c:pt idx="2346">
                  <c:v>0.19019079446502984</c:v>
                </c:pt>
                <c:pt idx="2347">
                  <c:v>0.19033021589606963</c:v>
                </c:pt>
                <c:pt idx="2348">
                  <c:v>0.19047829739516814</c:v>
                </c:pt>
                <c:pt idx="2349">
                  <c:v>0.19062096917063415</c:v>
                </c:pt>
                <c:pt idx="2350">
                  <c:v>0.19077833866126148</c:v>
                </c:pt>
                <c:pt idx="2351">
                  <c:v>0.190924507133514</c:v>
                </c:pt>
                <c:pt idx="2352">
                  <c:v>0.19106976950047003</c:v>
                </c:pt>
                <c:pt idx="2353">
                  <c:v>0.19121143384102857</c:v>
                </c:pt>
                <c:pt idx="2354">
                  <c:v>0.19136209605763507</c:v>
                </c:pt>
                <c:pt idx="2355">
                  <c:v>0.19151709965273625</c:v>
                </c:pt>
                <c:pt idx="2356">
                  <c:v>0.19166786960401971</c:v>
                </c:pt>
                <c:pt idx="2357">
                  <c:v>0.19181465767263048</c:v>
                </c:pt>
                <c:pt idx="2358">
                  <c:v>0.19196730440312859</c:v>
                </c:pt>
                <c:pt idx="2359">
                  <c:v>0.19211256908891455</c:v>
                </c:pt>
                <c:pt idx="2360">
                  <c:v>0.19225614134194077</c:v>
                </c:pt>
                <c:pt idx="2361">
                  <c:v>0.19239950090497429</c:v>
                </c:pt>
                <c:pt idx="2362">
                  <c:v>0.19254501010928957</c:v>
                </c:pt>
                <c:pt idx="2363">
                  <c:v>0.1926948186764782</c:v>
                </c:pt>
                <c:pt idx="2364">
                  <c:v>0.19283988172853339</c:v>
                </c:pt>
                <c:pt idx="2365">
                  <c:v>0.19298446301809374</c:v>
                </c:pt>
                <c:pt idx="2366">
                  <c:v>0.19313526143429841</c:v>
                </c:pt>
                <c:pt idx="2367">
                  <c:v>0.19328488565450039</c:v>
                </c:pt>
                <c:pt idx="2368">
                  <c:v>0.19342740704632477</c:v>
                </c:pt>
                <c:pt idx="2369">
                  <c:v>0.1935761242210205</c:v>
                </c:pt>
                <c:pt idx="2370">
                  <c:v>0.19371649401740473</c:v>
                </c:pt>
                <c:pt idx="2371">
                  <c:v>0.19386328858068896</c:v>
                </c:pt>
                <c:pt idx="2372">
                  <c:v>0.19401176835778311</c:v>
                </c:pt>
                <c:pt idx="2373">
                  <c:v>0.1941552216112136</c:v>
                </c:pt>
                <c:pt idx="2374">
                  <c:v>0.19429614281210092</c:v>
                </c:pt>
                <c:pt idx="2375">
                  <c:v>0.19444678191104994</c:v>
                </c:pt>
                <c:pt idx="2376">
                  <c:v>0.19459862493345106</c:v>
                </c:pt>
                <c:pt idx="2377">
                  <c:v>0.1947548331961248</c:v>
                </c:pt>
                <c:pt idx="2378">
                  <c:v>0.19489522924764907</c:v>
                </c:pt>
                <c:pt idx="2379">
                  <c:v>0.19503558643345895</c:v>
                </c:pt>
                <c:pt idx="2380">
                  <c:v>0.19517925684148749</c:v>
                </c:pt>
                <c:pt idx="2381">
                  <c:v>0.19532443876428376</c:v>
                </c:pt>
                <c:pt idx="2382">
                  <c:v>0.19547501879799528</c:v>
                </c:pt>
                <c:pt idx="2383">
                  <c:v>0.19562768223298752</c:v>
                </c:pt>
                <c:pt idx="2384">
                  <c:v>0.19577611085944524</c:v>
                </c:pt>
                <c:pt idx="2385">
                  <c:v>0.1959198663280379</c:v>
                </c:pt>
                <c:pt idx="2386">
                  <c:v>0.19607255755924172</c:v>
                </c:pt>
                <c:pt idx="2387">
                  <c:v>0.19623035355342835</c:v>
                </c:pt>
                <c:pt idx="2388">
                  <c:v>0.19638577147015934</c:v>
                </c:pt>
                <c:pt idx="2389">
                  <c:v>0.19653871677093665</c:v>
                </c:pt>
                <c:pt idx="2390">
                  <c:v>0.19668892282552128</c:v>
                </c:pt>
                <c:pt idx="2391">
                  <c:v>0.19684273966810251</c:v>
                </c:pt>
                <c:pt idx="2392">
                  <c:v>0.19699595925751692</c:v>
                </c:pt>
                <c:pt idx="2393">
                  <c:v>0.19714749219540195</c:v>
                </c:pt>
                <c:pt idx="2394">
                  <c:v>0.19730200308661319</c:v>
                </c:pt>
                <c:pt idx="2395">
                  <c:v>0.19745238121116102</c:v>
                </c:pt>
                <c:pt idx="2396">
                  <c:v>0.19759589592585522</c:v>
                </c:pt>
                <c:pt idx="2397">
                  <c:v>0.19774661197652896</c:v>
                </c:pt>
                <c:pt idx="2398">
                  <c:v>0.19789390503145571</c:v>
                </c:pt>
                <c:pt idx="2399">
                  <c:v>0.19804174939229746</c:v>
                </c:pt>
                <c:pt idx="2400">
                  <c:v>0.19818875072262931</c:v>
                </c:pt>
                <c:pt idx="2401">
                  <c:v>0.19833093776282873</c:v>
                </c:pt>
                <c:pt idx="2402">
                  <c:v>0.19847747657610826</c:v>
                </c:pt>
                <c:pt idx="2403">
                  <c:v>0.19863073224581079</c:v>
                </c:pt>
                <c:pt idx="2404">
                  <c:v>0.19878453700431808</c:v>
                </c:pt>
                <c:pt idx="2405">
                  <c:v>0.19893816544806914</c:v>
                </c:pt>
                <c:pt idx="2406">
                  <c:v>0.19907929197314869</c:v>
                </c:pt>
                <c:pt idx="2407">
                  <c:v>0.19922016965518285</c:v>
                </c:pt>
                <c:pt idx="2408">
                  <c:v>0.19936974461403809</c:v>
                </c:pt>
                <c:pt idx="2409">
                  <c:v>0.19951599778945198</c:v>
                </c:pt>
                <c:pt idx="2410">
                  <c:v>0.19967044828352085</c:v>
                </c:pt>
                <c:pt idx="2411">
                  <c:v>0.19981787771674109</c:v>
                </c:pt>
                <c:pt idx="2412">
                  <c:v>0.19996938400218384</c:v>
                </c:pt>
                <c:pt idx="2413">
                  <c:v>0.20011911379177486</c:v>
                </c:pt>
                <c:pt idx="2414">
                  <c:v>0.20026007376382973</c:v>
                </c:pt>
                <c:pt idx="2415">
                  <c:v>0.20039564036765628</c:v>
                </c:pt>
                <c:pt idx="2416">
                  <c:v>0.20053999078314616</c:v>
                </c:pt>
                <c:pt idx="2417">
                  <c:v>0.20068441561219852</c:v>
                </c:pt>
                <c:pt idx="2418">
                  <c:v>0.20083870480943583</c:v>
                </c:pt>
                <c:pt idx="2419">
                  <c:v>0.20099548396272846</c:v>
                </c:pt>
                <c:pt idx="2420">
                  <c:v>0.20114606936387275</c:v>
                </c:pt>
                <c:pt idx="2421">
                  <c:v>0.20129097783214892</c:v>
                </c:pt>
                <c:pt idx="2422">
                  <c:v>0.20142971691353267</c:v>
                </c:pt>
                <c:pt idx="2423">
                  <c:v>0.20157180552877238</c:v>
                </c:pt>
                <c:pt idx="2424">
                  <c:v>0.20171309373076379</c:v>
                </c:pt>
                <c:pt idx="2425">
                  <c:v>0.20186526452499301</c:v>
                </c:pt>
                <c:pt idx="2426">
                  <c:v>0.20201724094949733</c:v>
                </c:pt>
                <c:pt idx="2427">
                  <c:v>0.20217417783713204</c:v>
                </c:pt>
                <c:pt idx="2428">
                  <c:v>0.2023144300384673</c:v>
                </c:pt>
                <c:pt idx="2429">
                  <c:v>0.20246015813050824</c:v>
                </c:pt>
                <c:pt idx="2430">
                  <c:v>0.20260818456630153</c:v>
                </c:pt>
                <c:pt idx="2431">
                  <c:v>0.20274812878153783</c:v>
                </c:pt>
                <c:pt idx="2432">
                  <c:v>0.20289567542829001</c:v>
                </c:pt>
                <c:pt idx="2433">
                  <c:v>0.20304593697234113</c:v>
                </c:pt>
                <c:pt idx="2434">
                  <c:v>0.20319036139472729</c:v>
                </c:pt>
                <c:pt idx="2435">
                  <c:v>0.203341851599983</c:v>
                </c:pt>
                <c:pt idx="2436">
                  <c:v>0.20349367978498981</c:v>
                </c:pt>
                <c:pt idx="2437">
                  <c:v>0.20363997687996258</c:v>
                </c:pt>
                <c:pt idx="2438">
                  <c:v>0.20379109514651389</c:v>
                </c:pt>
                <c:pt idx="2439">
                  <c:v>0.20393286764411872</c:v>
                </c:pt>
                <c:pt idx="2440">
                  <c:v>0.20408403658369006</c:v>
                </c:pt>
                <c:pt idx="2441">
                  <c:v>0.20422569163057014</c:v>
                </c:pt>
                <c:pt idx="2442">
                  <c:v>0.20436882599272077</c:v>
                </c:pt>
                <c:pt idx="2443">
                  <c:v>0.20451577316558806</c:v>
                </c:pt>
                <c:pt idx="2444">
                  <c:v>0.20465565941214264</c:v>
                </c:pt>
                <c:pt idx="2445">
                  <c:v>0.20479694894460854</c:v>
                </c:pt>
                <c:pt idx="2446">
                  <c:v>0.20494085515711818</c:v>
                </c:pt>
                <c:pt idx="2447">
                  <c:v>0.20509149249361575</c:v>
                </c:pt>
                <c:pt idx="2448">
                  <c:v>0.20523514773550181</c:v>
                </c:pt>
                <c:pt idx="2449">
                  <c:v>0.2053799958021606</c:v>
                </c:pt>
                <c:pt idx="2450">
                  <c:v>0.20552635844996639</c:v>
                </c:pt>
                <c:pt idx="2451">
                  <c:v>0.20567539124702977</c:v>
                </c:pt>
                <c:pt idx="2452">
                  <c:v>0.20582190018857049</c:v>
                </c:pt>
                <c:pt idx="2453">
                  <c:v>0.20596224813241837</c:v>
                </c:pt>
                <c:pt idx="2454">
                  <c:v>0.2061048120759372</c:v>
                </c:pt>
                <c:pt idx="2455">
                  <c:v>0.20624601068422668</c:v>
                </c:pt>
                <c:pt idx="2456">
                  <c:v>0.20639501204025085</c:v>
                </c:pt>
                <c:pt idx="2457">
                  <c:v>0.20653978690386374</c:v>
                </c:pt>
                <c:pt idx="2458">
                  <c:v>0.20668520355517539</c:v>
                </c:pt>
                <c:pt idx="2459">
                  <c:v>0.20682972815457273</c:v>
                </c:pt>
                <c:pt idx="2460">
                  <c:v>0.20697553804406255</c:v>
                </c:pt>
                <c:pt idx="2461">
                  <c:v>0.20712891649154444</c:v>
                </c:pt>
                <c:pt idx="2462">
                  <c:v>0.20728107918945665</c:v>
                </c:pt>
                <c:pt idx="2463">
                  <c:v>0.2074285829861196</c:v>
                </c:pt>
                <c:pt idx="2464">
                  <c:v>0.2075796028168887</c:v>
                </c:pt>
                <c:pt idx="2465">
                  <c:v>0.20773222659848806</c:v>
                </c:pt>
                <c:pt idx="2466">
                  <c:v>0.20787364953467463</c:v>
                </c:pt>
                <c:pt idx="2467">
                  <c:v>0.20802172781653672</c:v>
                </c:pt>
                <c:pt idx="2468">
                  <c:v>0.20816857409640763</c:v>
                </c:pt>
                <c:pt idx="2469">
                  <c:v>0.2083126198200809</c:v>
                </c:pt>
                <c:pt idx="2470">
                  <c:v>0.20846426228875523</c:v>
                </c:pt>
                <c:pt idx="2471">
                  <c:v>0.20860747166373664</c:v>
                </c:pt>
                <c:pt idx="2472">
                  <c:v>0.20874735364351688</c:v>
                </c:pt>
                <c:pt idx="2473">
                  <c:v>0.20890318127568808</c:v>
                </c:pt>
                <c:pt idx="2474">
                  <c:v>0.20904668673853646</c:v>
                </c:pt>
                <c:pt idx="2475">
                  <c:v>0.20918839612047979</c:v>
                </c:pt>
                <c:pt idx="2476">
                  <c:v>0.20933127521156752</c:v>
                </c:pt>
                <c:pt idx="2477">
                  <c:v>0.20947500250012979</c:v>
                </c:pt>
                <c:pt idx="2478">
                  <c:v>0.20962680865676292</c:v>
                </c:pt>
                <c:pt idx="2479">
                  <c:v>0.20978431150589333</c:v>
                </c:pt>
                <c:pt idx="2480">
                  <c:v>0.20993929818281742</c:v>
                </c:pt>
                <c:pt idx="2481">
                  <c:v>0.2100972424729417</c:v>
                </c:pt>
                <c:pt idx="2482">
                  <c:v>0.2102536901100524</c:v>
                </c:pt>
                <c:pt idx="2483">
                  <c:v>0.21040362364359186</c:v>
                </c:pt>
                <c:pt idx="2484">
                  <c:v>0.21055381763701614</c:v>
                </c:pt>
                <c:pt idx="2485">
                  <c:v>0.21070198995561903</c:v>
                </c:pt>
                <c:pt idx="2486">
                  <c:v>0.21084955575999825</c:v>
                </c:pt>
                <c:pt idx="2487">
                  <c:v>0.21099476188371702</c:v>
                </c:pt>
                <c:pt idx="2488">
                  <c:v>0.21113923057285497</c:v>
                </c:pt>
                <c:pt idx="2489">
                  <c:v>0.21129338541380255</c:v>
                </c:pt>
                <c:pt idx="2490">
                  <c:v>0.2114346825681935</c:v>
                </c:pt>
                <c:pt idx="2491">
                  <c:v>0.21157833399657844</c:v>
                </c:pt>
                <c:pt idx="2492">
                  <c:v>0.21172671256542566</c:v>
                </c:pt>
                <c:pt idx="2493">
                  <c:v>0.21187663263513778</c:v>
                </c:pt>
                <c:pt idx="2494">
                  <c:v>0.21202911057967017</c:v>
                </c:pt>
                <c:pt idx="2495">
                  <c:v>0.21217544493826762</c:v>
                </c:pt>
                <c:pt idx="2496">
                  <c:v>0.21232175788625385</c:v>
                </c:pt>
                <c:pt idx="2497">
                  <c:v>0.21246603500698116</c:v>
                </c:pt>
                <c:pt idx="2498">
                  <c:v>0.21261038543324787</c:v>
                </c:pt>
                <c:pt idx="2499">
                  <c:v>0.21274976509882634</c:v>
                </c:pt>
                <c:pt idx="2500">
                  <c:v>0.21289230565134157</c:v>
                </c:pt>
                <c:pt idx="2501">
                  <c:v>0.2130384949429458</c:v>
                </c:pt>
                <c:pt idx="2502">
                  <c:v>0.21318490743373714</c:v>
                </c:pt>
                <c:pt idx="2503">
                  <c:v>0.21333807011080408</c:v>
                </c:pt>
                <c:pt idx="2504">
                  <c:v>0.21348551076182948</c:v>
                </c:pt>
                <c:pt idx="2505">
                  <c:v>0.2136273447413454</c:v>
                </c:pt>
                <c:pt idx="2506">
                  <c:v>0.21377312579652613</c:v>
                </c:pt>
                <c:pt idx="2507">
                  <c:v>0.21391939317742786</c:v>
                </c:pt>
                <c:pt idx="2508">
                  <c:v>0.21406547000050322</c:v>
                </c:pt>
                <c:pt idx="2509">
                  <c:v>0.21421676888016961</c:v>
                </c:pt>
                <c:pt idx="2510">
                  <c:v>0.21436838310318343</c:v>
                </c:pt>
                <c:pt idx="2511">
                  <c:v>0.21452147736349639</c:v>
                </c:pt>
                <c:pt idx="2512">
                  <c:v>0.2146707724237798</c:v>
                </c:pt>
                <c:pt idx="2513">
                  <c:v>0.21481484253319758</c:v>
                </c:pt>
                <c:pt idx="2514">
                  <c:v>0.21495782145572676</c:v>
                </c:pt>
                <c:pt idx="2515">
                  <c:v>0.21510434753597132</c:v>
                </c:pt>
                <c:pt idx="2516">
                  <c:v>0.21524871190591643</c:v>
                </c:pt>
                <c:pt idx="2517">
                  <c:v>0.21539314929467662</c:v>
                </c:pt>
                <c:pt idx="2518">
                  <c:v>0.21554287734214192</c:v>
                </c:pt>
                <c:pt idx="2519">
                  <c:v>0.21568620259744695</c:v>
                </c:pt>
                <c:pt idx="2520">
                  <c:v>0.21583429191445153</c:v>
                </c:pt>
                <c:pt idx="2521">
                  <c:v>0.21598603631979271</c:v>
                </c:pt>
                <c:pt idx="2522">
                  <c:v>0.21613269319069878</c:v>
                </c:pt>
                <c:pt idx="2523">
                  <c:v>0.2162835671204564</c:v>
                </c:pt>
                <c:pt idx="2524">
                  <c:v>0.21642468603891399</c:v>
                </c:pt>
                <c:pt idx="2525">
                  <c:v>0.2165711848512778</c:v>
                </c:pt>
                <c:pt idx="2526">
                  <c:v>0.21671481272850768</c:v>
                </c:pt>
                <c:pt idx="2527">
                  <c:v>0.21686166266742138</c:v>
                </c:pt>
                <c:pt idx="2528">
                  <c:v>0.21700624211280856</c:v>
                </c:pt>
                <c:pt idx="2529">
                  <c:v>0.2171495264452894</c:v>
                </c:pt>
                <c:pt idx="2530">
                  <c:v>0.21728434039143496</c:v>
                </c:pt>
                <c:pt idx="2531">
                  <c:v>0.21742758488518338</c:v>
                </c:pt>
                <c:pt idx="2532">
                  <c:v>0.21757861946826015</c:v>
                </c:pt>
                <c:pt idx="2533">
                  <c:v>0.21773049271105124</c:v>
                </c:pt>
                <c:pt idx="2534">
                  <c:v>0.21787842942036217</c:v>
                </c:pt>
                <c:pt idx="2535">
                  <c:v>0.2180233861654973</c:v>
                </c:pt>
                <c:pt idx="2536">
                  <c:v>0.21816731105563184</c:v>
                </c:pt>
                <c:pt idx="2537">
                  <c:v>0.21831701738790557</c:v>
                </c:pt>
                <c:pt idx="2538">
                  <c:v>0.21846277141241111</c:v>
                </c:pt>
                <c:pt idx="2539">
                  <c:v>0.21861615701259471</c:v>
                </c:pt>
                <c:pt idx="2540">
                  <c:v>0.21876594583525752</c:v>
                </c:pt>
                <c:pt idx="2541">
                  <c:v>0.21891371074822694</c:v>
                </c:pt>
                <c:pt idx="2542">
                  <c:v>0.21906094885849428</c:v>
                </c:pt>
                <c:pt idx="2543">
                  <c:v>0.21920397650692391</c:v>
                </c:pt>
                <c:pt idx="2544">
                  <c:v>0.21934793726334251</c:v>
                </c:pt>
                <c:pt idx="2545">
                  <c:v>0.21950148627296923</c:v>
                </c:pt>
                <c:pt idx="2546">
                  <c:v>0.21964074995908647</c:v>
                </c:pt>
                <c:pt idx="2547">
                  <c:v>0.21978347044019636</c:v>
                </c:pt>
                <c:pt idx="2548">
                  <c:v>0.21993033763062991</c:v>
                </c:pt>
                <c:pt idx="2549">
                  <c:v>0.22007873399639644</c:v>
                </c:pt>
                <c:pt idx="2550">
                  <c:v>0.22023381474796505</c:v>
                </c:pt>
                <c:pt idx="2551">
                  <c:v>0.22038903955369732</c:v>
                </c:pt>
                <c:pt idx="2552">
                  <c:v>0.22054328784652469</c:v>
                </c:pt>
                <c:pt idx="2553">
                  <c:v>0.22070776326343336</c:v>
                </c:pt>
                <c:pt idx="2554">
                  <c:v>0.22085992748245259</c:v>
                </c:pt>
                <c:pt idx="2555">
                  <c:v>0.22101843370355292</c:v>
                </c:pt>
                <c:pt idx="2556">
                  <c:v>0.22116967348802466</c:v>
                </c:pt>
                <c:pt idx="2557">
                  <c:v>0.22132187940489778</c:v>
                </c:pt>
                <c:pt idx="2558">
                  <c:v>0.22147613314723885</c:v>
                </c:pt>
                <c:pt idx="2559">
                  <c:v>0.22162068128458112</c:v>
                </c:pt>
                <c:pt idx="2560">
                  <c:v>0.22176334331475656</c:v>
                </c:pt>
                <c:pt idx="2561">
                  <c:v>0.22190074446730726</c:v>
                </c:pt>
                <c:pt idx="2562">
                  <c:v>0.22204847580424614</c:v>
                </c:pt>
                <c:pt idx="2563">
                  <c:v>0.22219657684600788</c:v>
                </c:pt>
                <c:pt idx="2564">
                  <c:v>0.22234241899403398</c:v>
                </c:pt>
                <c:pt idx="2565">
                  <c:v>0.22248939547158328</c:v>
                </c:pt>
                <c:pt idx="2566">
                  <c:v>0.22263845620484415</c:v>
                </c:pt>
                <c:pt idx="2567">
                  <c:v>0.22279297283422467</c:v>
                </c:pt>
                <c:pt idx="2568">
                  <c:v>0.22294806175506213</c:v>
                </c:pt>
                <c:pt idx="2569">
                  <c:v>0.22310150605895407</c:v>
                </c:pt>
                <c:pt idx="2570">
                  <c:v>0.22325589528844278</c:v>
                </c:pt>
                <c:pt idx="2571">
                  <c:v>0.22341510225977498</c:v>
                </c:pt>
                <c:pt idx="2572">
                  <c:v>0.223568959003068</c:v>
                </c:pt>
                <c:pt idx="2573">
                  <c:v>0.22371581117920833</c:v>
                </c:pt>
                <c:pt idx="2574">
                  <c:v>0.22386688556212989</c:v>
                </c:pt>
                <c:pt idx="2575">
                  <c:v>0.22402173359289226</c:v>
                </c:pt>
                <c:pt idx="2576">
                  <c:v>0.22417679954328751</c:v>
                </c:pt>
                <c:pt idx="2577">
                  <c:v>0.22432412062478746</c:v>
                </c:pt>
                <c:pt idx="2578">
                  <c:v>0.22448377148136164</c:v>
                </c:pt>
                <c:pt idx="2579">
                  <c:v>0.22463999331579565</c:v>
                </c:pt>
                <c:pt idx="2580">
                  <c:v>0.22478759950119787</c:v>
                </c:pt>
                <c:pt idx="2581">
                  <c:v>0.22493546279883453</c:v>
                </c:pt>
                <c:pt idx="2582">
                  <c:v>0.22508551648604219</c:v>
                </c:pt>
                <c:pt idx="2583">
                  <c:v>0.22524097520331038</c:v>
                </c:pt>
                <c:pt idx="2584">
                  <c:v>0.2254032116739528</c:v>
                </c:pt>
                <c:pt idx="2585">
                  <c:v>0.22556943540150484</c:v>
                </c:pt>
                <c:pt idx="2586">
                  <c:v>0.22574049898845769</c:v>
                </c:pt>
                <c:pt idx="2587">
                  <c:v>0.22590963866942965</c:v>
                </c:pt>
                <c:pt idx="2588">
                  <c:v>0.22608402414114531</c:v>
                </c:pt>
                <c:pt idx="2589">
                  <c:v>0.22624638386970208</c:v>
                </c:pt>
                <c:pt idx="2590">
                  <c:v>0.22641833424490374</c:v>
                </c:pt>
                <c:pt idx="2591">
                  <c:v>0.2265936519647602</c:v>
                </c:pt>
                <c:pt idx="2592">
                  <c:v>0.22676827082783402</c:v>
                </c:pt>
                <c:pt idx="2593">
                  <c:v>0.22694085517411797</c:v>
                </c:pt>
                <c:pt idx="2594">
                  <c:v>0.22710018161060797</c:v>
                </c:pt>
                <c:pt idx="2595">
                  <c:v>0.22726035451320947</c:v>
                </c:pt>
                <c:pt idx="2596">
                  <c:v>0.22743103638076045</c:v>
                </c:pt>
                <c:pt idx="2597">
                  <c:v>0.22759744262824741</c:v>
                </c:pt>
                <c:pt idx="2598">
                  <c:v>0.227755737459056</c:v>
                </c:pt>
                <c:pt idx="2599">
                  <c:v>0.22792800318249062</c:v>
                </c:pt>
                <c:pt idx="2600">
                  <c:v>0.22810140689920361</c:v>
                </c:pt>
                <c:pt idx="2601">
                  <c:v>0.22829951929106673</c:v>
                </c:pt>
                <c:pt idx="2602">
                  <c:v>0.22852219598382753</c:v>
                </c:pt>
                <c:pt idx="2603">
                  <c:v>0.22875747382963257</c:v>
                </c:pt>
                <c:pt idx="2604">
                  <c:v>0.22901652848402668</c:v>
                </c:pt>
                <c:pt idx="2605">
                  <c:v>0.22933499521066683</c:v>
                </c:pt>
                <c:pt idx="2606">
                  <c:v>0.229713020793131</c:v>
                </c:pt>
                <c:pt idx="2607">
                  <c:v>0.23013821900020326</c:v>
                </c:pt>
                <c:pt idx="2608">
                  <c:v>0.23071039619589401</c:v>
                </c:pt>
                <c:pt idx="2609">
                  <c:v>0.23140166451052771</c:v>
                </c:pt>
                <c:pt idx="2610">
                  <c:v>0.29415083433325212</c:v>
                </c:pt>
                <c:pt idx="2611">
                  <c:v>0.23226596903147625</c:v>
                </c:pt>
                <c:pt idx="2612">
                  <c:v>0.19859900635564237</c:v>
                </c:pt>
                <c:pt idx="2613">
                  <c:v>0.16751313309840721</c:v>
                </c:pt>
                <c:pt idx="2614">
                  <c:v>0.10964679277304995</c:v>
                </c:pt>
                <c:pt idx="2615">
                  <c:v>7.7032853082771358E-2</c:v>
                </c:pt>
                <c:pt idx="2616">
                  <c:v>6.7986769271856554E-2</c:v>
                </c:pt>
                <c:pt idx="2617">
                  <c:v>5.3834967228293625E-2</c:v>
                </c:pt>
                <c:pt idx="2618">
                  <c:v>6.0390814769556253E-2</c:v>
                </c:pt>
                <c:pt idx="2619">
                  <c:v>5.7555991800782809E-2</c:v>
                </c:pt>
                <c:pt idx="2620">
                  <c:v>5.649785249232149E-2</c:v>
                </c:pt>
                <c:pt idx="2621">
                  <c:v>5.5707461322546767E-2</c:v>
                </c:pt>
                <c:pt idx="2622">
                  <c:v>5.5436615376817676E-2</c:v>
                </c:pt>
                <c:pt idx="2623">
                  <c:v>5.3440589278020652E-2</c:v>
                </c:pt>
                <c:pt idx="2624">
                  <c:v>5.3734400095573849E-2</c:v>
                </c:pt>
                <c:pt idx="2625">
                  <c:v>5.343008320488301E-2</c:v>
                </c:pt>
                <c:pt idx="2626">
                  <c:v>5.3737522285708918E-2</c:v>
                </c:pt>
                <c:pt idx="2627">
                  <c:v>5.0666821062149141E-2</c:v>
                </c:pt>
                <c:pt idx="2628">
                  <c:v>5.0463339317696677E-2</c:v>
                </c:pt>
              </c:numCache>
            </c:numRef>
          </c:xVal>
          <c:yVal>
            <c:numRef>
              <c:f>'Monotonic-0-degree (version 2).'!$K$8:$K$82636</c:f>
              <c:numCache>
                <c:formatCode>General</c:formatCode>
                <c:ptCount val="82629"/>
                <c:pt idx="0">
                  <c:v>31.533169425112344</c:v>
                </c:pt>
                <c:pt idx="1">
                  <c:v>32.558988984865252</c:v>
                </c:pt>
                <c:pt idx="2">
                  <c:v>33.309950408164923</c:v>
                </c:pt>
                <c:pt idx="3">
                  <c:v>35.133030275818207</c:v>
                </c:pt>
                <c:pt idx="4">
                  <c:v>36.578016541458943</c:v>
                </c:pt>
                <c:pt idx="5">
                  <c:v>38.428099521236021</c:v>
                </c:pt>
                <c:pt idx="6">
                  <c:v>40.331790379602523</c:v>
                </c:pt>
                <c:pt idx="7">
                  <c:v>41.910033306945486</c:v>
                </c:pt>
                <c:pt idx="8">
                  <c:v>44.445646982398827</c:v>
                </c:pt>
                <c:pt idx="9">
                  <c:v>46.535431758614024</c:v>
                </c:pt>
                <c:pt idx="10">
                  <c:v>48.435180550781681</c:v>
                </c:pt>
                <c:pt idx="11">
                  <c:v>50.715834566304139</c:v>
                </c:pt>
                <c:pt idx="12">
                  <c:v>52.641741367730404</c:v>
                </c:pt>
                <c:pt idx="13">
                  <c:v>54.546871441863317</c:v>
                </c:pt>
                <c:pt idx="14">
                  <c:v>57.155952508108527</c:v>
                </c:pt>
                <c:pt idx="15">
                  <c:v>59.390683474837914</c:v>
                </c:pt>
                <c:pt idx="16">
                  <c:v>62.02197689108246</c:v>
                </c:pt>
                <c:pt idx="17">
                  <c:v>64.344238405013783</c:v>
                </c:pt>
                <c:pt idx="18">
                  <c:v>65.964122883593049</c:v>
                </c:pt>
                <c:pt idx="19">
                  <c:v>68.381379665792181</c:v>
                </c:pt>
                <c:pt idx="20">
                  <c:v>70.618285507530516</c:v>
                </c:pt>
                <c:pt idx="21">
                  <c:v>72.984688886730297</c:v>
                </c:pt>
                <c:pt idx="22">
                  <c:v>75.007138925402316</c:v>
                </c:pt>
                <c:pt idx="23">
                  <c:v>76.678722596400206</c:v>
                </c:pt>
                <c:pt idx="24">
                  <c:v>79.243334219259765</c:v>
                </c:pt>
                <c:pt idx="25">
                  <c:v>81.546962616339272</c:v>
                </c:pt>
                <c:pt idx="26">
                  <c:v>83.578935568432883</c:v>
                </c:pt>
                <c:pt idx="27">
                  <c:v>85.801348345543573</c:v>
                </c:pt>
                <c:pt idx="28">
                  <c:v>87.785710067744105</c:v>
                </c:pt>
                <c:pt idx="29">
                  <c:v>89.96714734153332</c:v>
                </c:pt>
                <c:pt idx="30">
                  <c:v>92.068684000270466</c:v>
                </c:pt>
                <c:pt idx="31">
                  <c:v>94.016538891285123</c:v>
                </c:pt>
                <c:pt idx="32">
                  <c:v>96.167448639115648</c:v>
                </c:pt>
                <c:pt idx="33">
                  <c:v>98.262978205312834</c:v>
                </c:pt>
                <c:pt idx="34">
                  <c:v>100.56027765601581</c:v>
                </c:pt>
                <c:pt idx="35">
                  <c:v>102.62519920604259</c:v>
                </c:pt>
                <c:pt idx="36">
                  <c:v>104.74687878082597</c:v>
                </c:pt>
                <c:pt idx="37">
                  <c:v>106.67596792911468</c:v>
                </c:pt>
                <c:pt idx="38">
                  <c:v>108.987716030716</c:v>
                </c:pt>
                <c:pt idx="39">
                  <c:v>110.65502487679326</c:v>
                </c:pt>
                <c:pt idx="40">
                  <c:v>113.09393234130746</c:v>
                </c:pt>
                <c:pt idx="41">
                  <c:v>115.66799929187273</c:v>
                </c:pt>
                <c:pt idx="42">
                  <c:v>118.03163458392005</c:v>
                </c:pt>
                <c:pt idx="43">
                  <c:v>120.38324727711188</c:v>
                </c:pt>
                <c:pt idx="44">
                  <c:v>122.59998823794039</c:v>
                </c:pt>
                <c:pt idx="45">
                  <c:v>124.68927340707724</c:v>
                </c:pt>
                <c:pt idx="46">
                  <c:v>127.40792515809278</c:v>
                </c:pt>
                <c:pt idx="47">
                  <c:v>129.72958586220722</c:v>
                </c:pt>
                <c:pt idx="48">
                  <c:v>132.56258686684552</c:v>
                </c:pt>
                <c:pt idx="49">
                  <c:v>135.02120435052751</c:v>
                </c:pt>
                <c:pt idx="50">
                  <c:v>136.57429710268582</c:v>
                </c:pt>
                <c:pt idx="51">
                  <c:v>139.00595287103468</c:v>
                </c:pt>
                <c:pt idx="52">
                  <c:v>141.00539736317796</c:v>
                </c:pt>
                <c:pt idx="53">
                  <c:v>143.43120078709129</c:v>
                </c:pt>
                <c:pt idx="54">
                  <c:v>146.02933602158271</c:v>
                </c:pt>
                <c:pt idx="55">
                  <c:v>147.60834127728705</c:v>
                </c:pt>
                <c:pt idx="56">
                  <c:v>149.86900282336416</c:v>
                </c:pt>
                <c:pt idx="57">
                  <c:v>151.70406395307575</c:v>
                </c:pt>
                <c:pt idx="58">
                  <c:v>153.71012561506905</c:v>
                </c:pt>
                <c:pt idx="59">
                  <c:v>156.09431297112462</c:v>
                </c:pt>
                <c:pt idx="60">
                  <c:v>158.10410828883929</c:v>
                </c:pt>
                <c:pt idx="61">
                  <c:v>160.4391119049194</c:v>
                </c:pt>
                <c:pt idx="62">
                  <c:v>162.52965477659265</c:v>
                </c:pt>
                <c:pt idx="63">
                  <c:v>164.57425193543577</c:v>
                </c:pt>
                <c:pt idx="64">
                  <c:v>166.46051370428208</c:v>
                </c:pt>
                <c:pt idx="65">
                  <c:v>168.64770301041469</c:v>
                </c:pt>
                <c:pt idx="66">
                  <c:v>170.98772283692873</c:v>
                </c:pt>
                <c:pt idx="67">
                  <c:v>173.19112890629182</c:v>
                </c:pt>
                <c:pt idx="68">
                  <c:v>174.92830194577687</c:v>
                </c:pt>
                <c:pt idx="69">
                  <c:v>176.70495927663566</c:v>
                </c:pt>
                <c:pt idx="70">
                  <c:v>178.5922893267053</c:v>
                </c:pt>
                <c:pt idx="71">
                  <c:v>180.3468537664838</c:v>
                </c:pt>
                <c:pt idx="72">
                  <c:v>182.73631221418523</c:v>
                </c:pt>
                <c:pt idx="73">
                  <c:v>185.0733564329536</c:v>
                </c:pt>
                <c:pt idx="74">
                  <c:v>187.21777902269014</c:v>
                </c:pt>
                <c:pt idx="75">
                  <c:v>189.34366313269365</c:v>
                </c:pt>
                <c:pt idx="76">
                  <c:v>191.33504808904354</c:v>
                </c:pt>
                <c:pt idx="77">
                  <c:v>192.83278380091269</c:v>
                </c:pt>
                <c:pt idx="78">
                  <c:v>195.11359565186422</c:v>
                </c:pt>
                <c:pt idx="79">
                  <c:v>197.70144510653373</c:v>
                </c:pt>
                <c:pt idx="80">
                  <c:v>199.81117623303393</c:v>
                </c:pt>
                <c:pt idx="81">
                  <c:v>201.75145957385732</c:v>
                </c:pt>
                <c:pt idx="82">
                  <c:v>203.66155637833734</c:v>
                </c:pt>
                <c:pt idx="83">
                  <c:v>205.89363902502944</c:v>
                </c:pt>
                <c:pt idx="84">
                  <c:v>207.79522455608713</c:v>
                </c:pt>
                <c:pt idx="85">
                  <c:v>210.50818726499426</c:v>
                </c:pt>
                <c:pt idx="86">
                  <c:v>213.16464479392334</c:v>
                </c:pt>
                <c:pt idx="87">
                  <c:v>215.12511706208292</c:v>
                </c:pt>
                <c:pt idx="88">
                  <c:v>217.07590544174877</c:v>
                </c:pt>
                <c:pt idx="89">
                  <c:v>218.7970421872194</c:v>
                </c:pt>
                <c:pt idx="90">
                  <c:v>221.00706060603454</c:v>
                </c:pt>
                <c:pt idx="91">
                  <c:v>223.55421917093582</c:v>
                </c:pt>
                <c:pt idx="92">
                  <c:v>225.5348935572097</c:v>
                </c:pt>
                <c:pt idx="93">
                  <c:v>227.38921810802898</c:v>
                </c:pt>
                <c:pt idx="94">
                  <c:v>229.60308850943818</c:v>
                </c:pt>
                <c:pt idx="95">
                  <c:v>231.62198634708287</c:v>
                </c:pt>
                <c:pt idx="96">
                  <c:v>233.99915978783852</c:v>
                </c:pt>
                <c:pt idx="97">
                  <c:v>235.534250095033</c:v>
                </c:pt>
                <c:pt idx="98">
                  <c:v>237.76161654752093</c:v>
                </c:pt>
                <c:pt idx="99">
                  <c:v>239.97668479326967</c:v>
                </c:pt>
                <c:pt idx="100">
                  <c:v>242.13078894564856</c:v>
                </c:pt>
                <c:pt idx="101">
                  <c:v>244.19379322433065</c:v>
                </c:pt>
                <c:pt idx="102">
                  <c:v>246.10378626306303</c:v>
                </c:pt>
                <c:pt idx="103">
                  <c:v>247.69713539536852</c:v>
                </c:pt>
                <c:pt idx="104">
                  <c:v>250.30262883267503</c:v>
                </c:pt>
                <c:pt idx="105">
                  <c:v>252.26143745570346</c:v>
                </c:pt>
                <c:pt idx="106">
                  <c:v>254.19130406558992</c:v>
                </c:pt>
                <c:pt idx="107">
                  <c:v>256.60216005793842</c:v>
                </c:pt>
                <c:pt idx="108">
                  <c:v>258.36633693611816</c:v>
                </c:pt>
                <c:pt idx="109">
                  <c:v>260.35460365012591</c:v>
                </c:pt>
                <c:pt idx="110">
                  <c:v>262.85041029891261</c:v>
                </c:pt>
                <c:pt idx="111">
                  <c:v>264.93390383332871</c:v>
                </c:pt>
                <c:pt idx="112">
                  <c:v>266.77723597997613</c:v>
                </c:pt>
                <c:pt idx="113">
                  <c:v>268.86631732749817</c:v>
                </c:pt>
                <c:pt idx="114">
                  <c:v>270.66159102247241</c:v>
                </c:pt>
                <c:pt idx="115">
                  <c:v>272.97873888074827</c:v>
                </c:pt>
                <c:pt idx="116">
                  <c:v>275.08533449205402</c:v>
                </c:pt>
                <c:pt idx="117">
                  <c:v>276.95865805464103</c:v>
                </c:pt>
                <c:pt idx="118">
                  <c:v>279.5229176986461</c:v>
                </c:pt>
                <c:pt idx="119">
                  <c:v>281.47471094416062</c:v>
                </c:pt>
                <c:pt idx="120">
                  <c:v>283.36138327719675</c:v>
                </c:pt>
                <c:pt idx="121">
                  <c:v>285.27167502387607</c:v>
                </c:pt>
                <c:pt idx="122">
                  <c:v>286.99754724255718</c:v>
                </c:pt>
                <c:pt idx="123">
                  <c:v>289.68018581937372</c:v>
                </c:pt>
                <c:pt idx="124">
                  <c:v>291.56468648756976</c:v>
                </c:pt>
                <c:pt idx="125">
                  <c:v>293.36069326443021</c:v>
                </c:pt>
                <c:pt idx="126">
                  <c:v>295.63908428558068</c:v>
                </c:pt>
                <c:pt idx="127">
                  <c:v>297.38874026460979</c:v>
                </c:pt>
                <c:pt idx="128">
                  <c:v>299.34220995859374</c:v>
                </c:pt>
                <c:pt idx="129">
                  <c:v>301.79241432417581</c:v>
                </c:pt>
                <c:pt idx="130">
                  <c:v>303.95016516046786</c:v>
                </c:pt>
                <c:pt idx="131">
                  <c:v>305.88047600917758</c:v>
                </c:pt>
                <c:pt idx="132">
                  <c:v>307.48997213019362</c:v>
                </c:pt>
                <c:pt idx="133">
                  <c:v>309.30064641635278</c:v>
                </c:pt>
                <c:pt idx="134">
                  <c:v>311.16967189723414</c:v>
                </c:pt>
                <c:pt idx="135">
                  <c:v>312.6723363642501</c:v>
                </c:pt>
                <c:pt idx="136">
                  <c:v>314.73689963410851</c:v>
                </c:pt>
                <c:pt idx="137">
                  <c:v>316.96734431515023</c:v>
                </c:pt>
                <c:pt idx="138">
                  <c:v>319.29239704747948</c:v>
                </c:pt>
                <c:pt idx="139">
                  <c:v>321.3967279086383</c:v>
                </c:pt>
                <c:pt idx="140">
                  <c:v>322.86705259759913</c:v>
                </c:pt>
                <c:pt idx="141">
                  <c:v>324.50958173036173</c:v>
                </c:pt>
                <c:pt idx="142">
                  <c:v>327.1577392030311</c:v>
                </c:pt>
                <c:pt idx="143">
                  <c:v>329.25135963992193</c:v>
                </c:pt>
                <c:pt idx="144">
                  <c:v>331.33928411544065</c:v>
                </c:pt>
                <c:pt idx="145">
                  <c:v>333.52668807724046</c:v>
                </c:pt>
                <c:pt idx="146">
                  <c:v>335.21577575277354</c:v>
                </c:pt>
                <c:pt idx="147">
                  <c:v>337.73281202664492</c:v>
                </c:pt>
                <c:pt idx="148">
                  <c:v>339.56913060420015</c:v>
                </c:pt>
                <c:pt idx="149">
                  <c:v>341.14748229985497</c:v>
                </c:pt>
                <c:pt idx="150">
                  <c:v>343.60859048016709</c:v>
                </c:pt>
                <c:pt idx="151">
                  <c:v>345.18671383502414</c:v>
                </c:pt>
                <c:pt idx="152">
                  <c:v>347.0148081144402</c:v>
                </c:pt>
                <c:pt idx="153">
                  <c:v>349.31160814854979</c:v>
                </c:pt>
                <c:pt idx="154">
                  <c:v>351.2471333208548</c:v>
                </c:pt>
                <c:pt idx="155">
                  <c:v>352.99702730166672</c:v>
                </c:pt>
                <c:pt idx="156">
                  <c:v>355.09391076460747</c:v>
                </c:pt>
                <c:pt idx="157">
                  <c:v>357.1431529800185</c:v>
                </c:pt>
                <c:pt idx="158">
                  <c:v>359.29909303463847</c:v>
                </c:pt>
                <c:pt idx="159">
                  <c:v>360.84395316554259</c:v>
                </c:pt>
                <c:pt idx="160">
                  <c:v>362.81791311825191</c:v>
                </c:pt>
                <c:pt idx="161">
                  <c:v>364.31439987849632</c:v>
                </c:pt>
                <c:pt idx="162">
                  <c:v>366.08600446078373</c:v>
                </c:pt>
                <c:pt idx="163">
                  <c:v>368.5501004110958</c:v>
                </c:pt>
                <c:pt idx="164">
                  <c:v>370.80063258648539</c:v>
                </c:pt>
                <c:pt idx="165">
                  <c:v>372.68383557109883</c:v>
                </c:pt>
                <c:pt idx="166">
                  <c:v>374.70316109128777</c:v>
                </c:pt>
                <c:pt idx="167">
                  <c:v>375.74074317245805</c:v>
                </c:pt>
                <c:pt idx="168">
                  <c:v>378.02809105830585</c:v>
                </c:pt>
                <c:pt idx="169">
                  <c:v>380.14100055211435</c:v>
                </c:pt>
                <c:pt idx="170">
                  <c:v>382.35826355248753</c:v>
                </c:pt>
                <c:pt idx="171">
                  <c:v>384.30759809435597</c:v>
                </c:pt>
                <c:pt idx="172">
                  <c:v>386.45598646386969</c:v>
                </c:pt>
                <c:pt idx="173">
                  <c:v>388.01348199973194</c:v>
                </c:pt>
                <c:pt idx="174">
                  <c:v>390.23866188594764</c:v>
                </c:pt>
                <c:pt idx="175">
                  <c:v>392.08654073248505</c:v>
                </c:pt>
                <c:pt idx="176">
                  <c:v>393.82901339563267</c:v>
                </c:pt>
                <c:pt idx="177">
                  <c:v>396.23340110691765</c:v>
                </c:pt>
                <c:pt idx="178">
                  <c:v>397.56178997965338</c:v>
                </c:pt>
                <c:pt idx="179">
                  <c:v>399.68579897476974</c:v>
                </c:pt>
                <c:pt idx="180">
                  <c:v>401.45977430229641</c:v>
                </c:pt>
                <c:pt idx="181">
                  <c:v>403.60501305442421</c:v>
                </c:pt>
                <c:pt idx="182">
                  <c:v>405.57754103989396</c:v>
                </c:pt>
                <c:pt idx="183">
                  <c:v>407.14429504740235</c:v>
                </c:pt>
                <c:pt idx="184">
                  <c:v>409.25701521668344</c:v>
                </c:pt>
                <c:pt idx="185">
                  <c:v>411.43901582999064</c:v>
                </c:pt>
                <c:pt idx="186">
                  <c:v>413.00512067075692</c:v>
                </c:pt>
                <c:pt idx="187">
                  <c:v>415.71203715302477</c:v>
                </c:pt>
                <c:pt idx="188">
                  <c:v>417.36525549256424</c:v>
                </c:pt>
                <c:pt idx="189">
                  <c:v>418.76051193543151</c:v>
                </c:pt>
                <c:pt idx="190">
                  <c:v>420.36210289776261</c:v>
                </c:pt>
                <c:pt idx="191">
                  <c:v>421.82890190913525</c:v>
                </c:pt>
                <c:pt idx="192">
                  <c:v>423.49487873350034</c:v>
                </c:pt>
                <c:pt idx="193">
                  <c:v>425.55058743315823</c:v>
                </c:pt>
                <c:pt idx="194">
                  <c:v>427.56425769015453</c:v>
                </c:pt>
                <c:pt idx="195">
                  <c:v>429.51984987960117</c:v>
                </c:pt>
                <c:pt idx="196">
                  <c:v>430.96610747925047</c:v>
                </c:pt>
                <c:pt idx="197">
                  <c:v>432.6381684047434</c:v>
                </c:pt>
                <c:pt idx="198">
                  <c:v>434.34397187150256</c:v>
                </c:pt>
                <c:pt idx="199">
                  <c:v>436.4264697639565</c:v>
                </c:pt>
                <c:pt idx="200">
                  <c:v>438.40193225960775</c:v>
                </c:pt>
                <c:pt idx="201">
                  <c:v>440.25509764121568</c:v>
                </c:pt>
                <c:pt idx="202">
                  <c:v>442.11622701816214</c:v>
                </c:pt>
                <c:pt idx="203">
                  <c:v>444.19734181812214</c:v>
                </c:pt>
                <c:pt idx="204">
                  <c:v>445.70031142859688</c:v>
                </c:pt>
                <c:pt idx="205">
                  <c:v>447.40471224059479</c:v>
                </c:pt>
                <c:pt idx="206">
                  <c:v>449.03604003089436</c:v>
                </c:pt>
                <c:pt idx="207">
                  <c:v>450.57840232297576</c:v>
                </c:pt>
                <c:pt idx="208">
                  <c:v>452.92358630030128</c:v>
                </c:pt>
                <c:pt idx="209">
                  <c:v>455.42658019733022</c:v>
                </c:pt>
                <c:pt idx="210">
                  <c:v>457.10892506791873</c:v>
                </c:pt>
                <c:pt idx="211">
                  <c:v>459.33687141359769</c:v>
                </c:pt>
                <c:pt idx="212">
                  <c:v>460.83108547704035</c:v>
                </c:pt>
                <c:pt idx="213">
                  <c:v>462.65814146394155</c:v>
                </c:pt>
                <c:pt idx="214">
                  <c:v>464.96946357493323</c:v>
                </c:pt>
                <c:pt idx="215">
                  <c:v>466.42963067679966</c:v>
                </c:pt>
                <c:pt idx="216">
                  <c:v>468.24199546165761</c:v>
                </c:pt>
                <c:pt idx="217">
                  <c:v>469.87243145606857</c:v>
                </c:pt>
                <c:pt idx="218">
                  <c:v>471.26381377682702</c:v>
                </c:pt>
                <c:pt idx="219">
                  <c:v>473.29167330790403</c:v>
                </c:pt>
                <c:pt idx="220">
                  <c:v>474.7922590829354</c:v>
                </c:pt>
                <c:pt idx="221">
                  <c:v>476.61666537362413</c:v>
                </c:pt>
                <c:pt idx="222">
                  <c:v>478.89416450379207</c:v>
                </c:pt>
                <c:pt idx="223">
                  <c:v>480.8608708352603</c:v>
                </c:pt>
                <c:pt idx="224">
                  <c:v>482.36627905125107</c:v>
                </c:pt>
                <c:pt idx="225">
                  <c:v>484.01941700975766</c:v>
                </c:pt>
                <c:pt idx="226">
                  <c:v>485.91748532053793</c:v>
                </c:pt>
                <c:pt idx="227">
                  <c:v>488.13042073294423</c:v>
                </c:pt>
                <c:pt idx="228">
                  <c:v>490.03049477234708</c:v>
                </c:pt>
                <c:pt idx="229">
                  <c:v>491.93121743604001</c:v>
                </c:pt>
                <c:pt idx="230">
                  <c:v>493.86941481759146</c:v>
                </c:pt>
                <c:pt idx="231">
                  <c:v>495.36161432978787</c:v>
                </c:pt>
                <c:pt idx="232">
                  <c:v>497.48355980838471</c:v>
                </c:pt>
                <c:pt idx="233">
                  <c:v>499.42601068410323</c:v>
                </c:pt>
                <c:pt idx="234">
                  <c:v>500.8141942820622</c:v>
                </c:pt>
                <c:pt idx="235">
                  <c:v>502.40131777508947</c:v>
                </c:pt>
                <c:pt idx="236">
                  <c:v>503.76173834705185</c:v>
                </c:pt>
                <c:pt idx="237">
                  <c:v>505.58283844678294</c:v>
                </c:pt>
                <c:pt idx="238">
                  <c:v>507.18848045704146</c:v>
                </c:pt>
                <c:pt idx="239">
                  <c:v>508.97282585643734</c:v>
                </c:pt>
                <c:pt idx="240">
                  <c:v>510.91135220779336</c:v>
                </c:pt>
                <c:pt idx="241">
                  <c:v>512.75249072165695</c:v>
                </c:pt>
                <c:pt idx="242">
                  <c:v>514.28854301280035</c:v>
                </c:pt>
                <c:pt idx="243">
                  <c:v>516.21589790574319</c:v>
                </c:pt>
                <c:pt idx="244">
                  <c:v>517.84798859481418</c:v>
                </c:pt>
                <c:pt idx="245">
                  <c:v>519.27633697895737</c:v>
                </c:pt>
                <c:pt idx="246">
                  <c:v>521.27721405451064</c:v>
                </c:pt>
                <c:pt idx="247">
                  <c:v>523.03841666552194</c:v>
                </c:pt>
                <c:pt idx="248">
                  <c:v>524.96984474983753</c:v>
                </c:pt>
                <c:pt idx="249">
                  <c:v>526.75478281201538</c:v>
                </c:pt>
                <c:pt idx="250">
                  <c:v>528.65691212797003</c:v>
                </c:pt>
                <c:pt idx="251">
                  <c:v>530.43449065245511</c:v>
                </c:pt>
                <c:pt idx="252">
                  <c:v>532.07804509509083</c:v>
                </c:pt>
                <c:pt idx="253">
                  <c:v>533.69944117593047</c:v>
                </c:pt>
                <c:pt idx="254">
                  <c:v>535.30565814893919</c:v>
                </c:pt>
                <c:pt idx="255">
                  <c:v>536.47610734413831</c:v>
                </c:pt>
                <c:pt idx="256">
                  <c:v>538.24829176346475</c:v>
                </c:pt>
                <c:pt idx="257">
                  <c:v>540.32421995286063</c:v>
                </c:pt>
                <c:pt idx="258">
                  <c:v>541.96039850321347</c:v>
                </c:pt>
                <c:pt idx="259">
                  <c:v>543.79018913186758</c:v>
                </c:pt>
                <c:pt idx="260">
                  <c:v>545.5221155243047</c:v>
                </c:pt>
                <c:pt idx="261">
                  <c:v>547.13319930398279</c:v>
                </c:pt>
                <c:pt idx="262">
                  <c:v>548.75586126417738</c:v>
                </c:pt>
                <c:pt idx="263">
                  <c:v>549.77002564908605</c:v>
                </c:pt>
                <c:pt idx="264">
                  <c:v>551.21022328103527</c:v>
                </c:pt>
                <c:pt idx="265">
                  <c:v>553.09361542136162</c:v>
                </c:pt>
                <c:pt idx="266">
                  <c:v>554.70672801230364</c:v>
                </c:pt>
                <c:pt idx="267">
                  <c:v>556.70258297777229</c:v>
                </c:pt>
                <c:pt idx="268">
                  <c:v>558.85708392151366</c:v>
                </c:pt>
                <c:pt idx="269">
                  <c:v>560.39357428830499</c:v>
                </c:pt>
                <c:pt idx="270">
                  <c:v>562.35140122077473</c:v>
                </c:pt>
                <c:pt idx="271">
                  <c:v>564.40536466839558</c:v>
                </c:pt>
                <c:pt idx="272">
                  <c:v>566.33757597125179</c:v>
                </c:pt>
                <c:pt idx="273">
                  <c:v>567.7703945769091</c:v>
                </c:pt>
                <c:pt idx="274">
                  <c:v>568.76394846678988</c:v>
                </c:pt>
                <c:pt idx="275">
                  <c:v>569.9875010281994</c:v>
                </c:pt>
                <c:pt idx="276">
                  <c:v>571.03317310933164</c:v>
                </c:pt>
                <c:pt idx="277">
                  <c:v>572.37911311860751</c:v>
                </c:pt>
                <c:pt idx="278">
                  <c:v>574.27643653664302</c:v>
                </c:pt>
                <c:pt idx="279">
                  <c:v>575.46457684167217</c:v>
                </c:pt>
                <c:pt idx="280">
                  <c:v>577.18830257890193</c:v>
                </c:pt>
                <c:pt idx="281">
                  <c:v>578.81988173065054</c:v>
                </c:pt>
                <c:pt idx="282">
                  <c:v>580.60971097988727</c:v>
                </c:pt>
                <c:pt idx="283">
                  <c:v>581.99864450877885</c:v>
                </c:pt>
                <c:pt idx="284">
                  <c:v>583.70982315982951</c:v>
                </c:pt>
                <c:pt idx="285">
                  <c:v>584.77694068202277</c:v>
                </c:pt>
                <c:pt idx="286">
                  <c:v>586.32356084990136</c:v>
                </c:pt>
                <c:pt idx="287">
                  <c:v>587.37017661481286</c:v>
                </c:pt>
                <c:pt idx="288">
                  <c:v>588.69458283902236</c:v>
                </c:pt>
                <c:pt idx="289">
                  <c:v>590.04987934112626</c:v>
                </c:pt>
                <c:pt idx="290">
                  <c:v>592.07130007011619</c:v>
                </c:pt>
                <c:pt idx="291">
                  <c:v>593.74755280991565</c:v>
                </c:pt>
                <c:pt idx="292">
                  <c:v>595.2991860168039</c:v>
                </c:pt>
                <c:pt idx="293">
                  <c:v>597.04343902555513</c:v>
                </c:pt>
                <c:pt idx="294">
                  <c:v>598.43932133368639</c:v>
                </c:pt>
                <c:pt idx="295">
                  <c:v>599.82312529506032</c:v>
                </c:pt>
                <c:pt idx="296">
                  <c:v>601.75625897808197</c:v>
                </c:pt>
                <c:pt idx="297">
                  <c:v>603.5370760626198</c:v>
                </c:pt>
                <c:pt idx="298">
                  <c:v>605.2697568229737</c:v>
                </c:pt>
                <c:pt idx="299">
                  <c:v>607.09988187434897</c:v>
                </c:pt>
                <c:pt idx="300">
                  <c:v>608.6454057347828</c:v>
                </c:pt>
                <c:pt idx="301">
                  <c:v>609.78491494550951</c:v>
                </c:pt>
                <c:pt idx="302">
                  <c:v>611.24818710972932</c:v>
                </c:pt>
                <c:pt idx="303">
                  <c:v>612.78392415443057</c:v>
                </c:pt>
                <c:pt idx="304">
                  <c:v>614.70094504262397</c:v>
                </c:pt>
                <c:pt idx="305">
                  <c:v>616.36825586127588</c:v>
                </c:pt>
                <c:pt idx="306">
                  <c:v>617.92908838508208</c:v>
                </c:pt>
                <c:pt idx="307">
                  <c:v>619.66637218307301</c:v>
                </c:pt>
                <c:pt idx="308">
                  <c:v>621.45914473077994</c:v>
                </c:pt>
                <c:pt idx="309">
                  <c:v>623.14132844969447</c:v>
                </c:pt>
                <c:pt idx="310">
                  <c:v>625.07859495688763</c:v>
                </c:pt>
                <c:pt idx="311">
                  <c:v>626.44201466892207</c:v>
                </c:pt>
                <c:pt idx="312">
                  <c:v>627.6699309700507</c:v>
                </c:pt>
                <c:pt idx="313">
                  <c:v>629.2194369265311</c:v>
                </c:pt>
                <c:pt idx="314">
                  <c:v>630.52787229695866</c:v>
                </c:pt>
                <c:pt idx="315">
                  <c:v>632.24615156972095</c:v>
                </c:pt>
                <c:pt idx="316">
                  <c:v>633.53687598512158</c:v>
                </c:pt>
                <c:pt idx="317">
                  <c:v>635.04826994285429</c:v>
                </c:pt>
                <c:pt idx="318">
                  <c:v>636.58980008969752</c:v>
                </c:pt>
                <c:pt idx="319">
                  <c:v>638.04658542265099</c:v>
                </c:pt>
                <c:pt idx="320">
                  <c:v>639.38463157386002</c:v>
                </c:pt>
                <c:pt idx="321">
                  <c:v>641.0373934833666</c:v>
                </c:pt>
                <c:pt idx="322">
                  <c:v>642.61886049126861</c:v>
                </c:pt>
                <c:pt idx="323">
                  <c:v>644.66836117319292</c:v>
                </c:pt>
                <c:pt idx="324">
                  <c:v>646.85936932287643</c:v>
                </c:pt>
                <c:pt idx="325">
                  <c:v>648.50313652955992</c:v>
                </c:pt>
                <c:pt idx="326">
                  <c:v>650.01258905481939</c:v>
                </c:pt>
                <c:pt idx="327">
                  <c:v>651.06166932457506</c:v>
                </c:pt>
                <c:pt idx="328">
                  <c:v>652.76163729495988</c:v>
                </c:pt>
                <c:pt idx="329">
                  <c:v>654.2447918532132</c:v>
                </c:pt>
                <c:pt idx="330">
                  <c:v>655.84601205336287</c:v>
                </c:pt>
                <c:pt idx="331">
                  <c:v>657.38604929138785</c:v>
                </c:pt>
                <c:pt idx="332">
                  <c:v>658.77372116426238</c:v>
                </c:pt>
                <c:pt idx="333">
                  <c:v>660.10059417296293</c:v>
                </c:pt>
                <c:pt idx="334">
                  <c:v>661.85127825338668</c:v>
                </c:pt>
                <c:pt idx="335">
                  <c:v>663.53545282958555</c:v>
                </c:pt>
                <c:pt idx="336">
                  <c:v>665.15137337853753</c:v>
                </c:pt>
                <c:pt idx="337">
                  <c:v>666.70508777181578</c:v>
                </c:pt>
                <c:pt idx="338">
                  <c:v>667.60530253403897</c:v>
                </c:pt>
                <c:pt idx="339">
                  <c:v>669.02314957175236</c:v>
                </c:pt>
                <c:pt idx="340">
                  <c:v>670.59584000762413</c:v>
                </c:pt>
                <c:pt idx="341">
                  <c:v>672.14544095220447</c:v>
                </c:pt>
                <c:pt idx="342">
                  <c:v>673.67732608967151</c:v>
                </c:pt>
                <c:pt idx="343">
                  <c:v>674.64750846483139</c:v>
                </c:pt>
                <c:pt idx="344">
                  <c:v>676.09553081195168</c:v>
                </c:pt>
                <c:pt idx="345">
                  <c:v>677.21190515918158</c:v>
                </c:pt>
                <c:pt idx="346">
                  <c:v>678.89190589450732</c:v>
                </c:pt>
                <c:pt idx="347">
                  <c:v>680.80815132761279</c:v>
                </c:pt>
                <c:pt idx="348">
                  <c:v>681.95190381813757</c:v>
                </c:pt>
                <c:pt idx="349">
                  <c:v>683.54974919390463</c:v>
                </c:pt>
                <c:pt idx="350">
                  <c:v>685.28531876912348</c:v>
                </c:pt>
                <c:pt idx="351">
                  <c:v>686.39666093017331</c:v>
                </c:pt>
                <c:pt idx="352">
                  <c:v>687.81795314764565</c:v>
                </c:pt>
                <c:pt idx="353">
                  <c:v>689.42610879743381</c:v>
                </c:pt>
                <c:pt idx="354">
                  <c:v>691.20931977230555</c:v>
                </c:pt>
                <c:pt idx="355">
                  <c:v>693.13004391835909</c:v>
                </c:pt>
                <c:pt idx="356">
                  <c:v>694.61341586054345</c:v>
                </c:pt>
                <c:pt idx="357">
                  <c:v>695.74788505438232</c:v>
                </c:pt>
                <c:pt idx="358">
                  <c:v>696.8854017000109</c:v>
                </c:pt>
                <c:pt idx="359">
                  <c:v>698.36952006089132</c:v>
                </c:pt>
                <c:pt idx="360">
                  <c:v>700.12139263813401</c:v>
                </c:pt>
                <c:pt idx="361">
                  <c:v>701.52871962606525</c:v>
                </c:pt>
                <c:pt idx="362">
                  <c:v>702.87939931279391</c:v>
                </c:pt>
                <c:pt idx="363">
                  <c:v>703.90778246551861</c:v>
                </c:pt>
                <c:pt idx="364">
                  <c:v>704.88417802141555</c:v>
                </c:pt>
                <c:pt idx="365">
                  <c:v>706.33559645564094</c:v>
                </c:pt>
                <c:pt idx="366">
                  <c:v>708.12442149707704</c:v>
                </c:pt>
                <c:pt idx="367">
                  <c:v>709.47997348390584</c:v>
                </c:pt>
                <c:pt idx="368">
                  <c:v>710.95835058506123</c:v>
                </c:pt>
                <c:pt idx="369">
                  <c:v>712.65065688531843</c:v>
                </c:pt>
                <c:pt idx="370">
                  <c:v>713.37550745517126</c:v>
                </c:pt>
                <c:pt idx="371">
                  <c:v>714.49300332734538</c:v>
                </c:pt>
                <c:pt idx="372">
                  <c:v>716.92608693762452</c:v>
                </c:pt>
                <c:pt idx="373">
                  <c:v>718.54015915667219</c:v>
                </c:pt>
                <c:pt idx="374">
                  <c:v>720.94315906004624</c:v>
                </c:pt>
                <c:pt idx="375">
                  <c:v>722.74862401118116</c:v>
                </c:pt>
                <c:pt idx="376">
                  <c:v>724.56862082050964</c:v>
                </c:pt>
                <c:pt idx="377">
                  <c:v>726.05390787147644</c:v>
                </c:pt>
                <c:pt idx="378">
                  <c:v>727.73740496913626</c:v>
                </c:pt>
                <c:pt idx="379">
                  <c:v>729.89486299805446</c:v>
                </c:pt>
                <c:pt idx="380">
                  <c:v>731.70088444221824</c:v>
                </c:pt>
                <c:pt idx="381">
                  <c:v>733.51577999140113</c:v>
                </c:pt>
                <c:pt idx="382">
                  <c:v>735.09677229492047</c:v>
                </c:pt>
                <c:pt idx="383">
                  <c:v>736.37700339644994</c:v>
                </c:pt>
                <c:pt idx="384">
                  <c:v>738.09044082423225</c:v>
                </c:pt>
                <c:pt idx="385">
                  <c:v>739.82243076645796</c:v>
                </c:pt>
                <c:pt idx="386">
                  <c:v>741.19470899908788</c:v>
                </c:pt>
                <c:pt idx="387">
                  <c:v>742.47499145574477</c:v>
                </c:pt>
                <c:pt idx="388">
                  <c:v>743.8888827891725</c:v>
                </c:pt>
                <c:pt idx="389">
                  <c:v>745.60780688179761</c:v>
                </c:pt>
                <c:pt idx="390">
                  <c:v>746.66744907189195</c:v>
                </c:pt>
                <c:pt idx="391">
                  <c:v>747.91188599757481</c:v>
                </c:pt>
                <c:pt idx="392">
                  <c:v>749.40939951424537</c:v>
                </c:pt>
                <c:pt idx="393">
                  <c:v>750.66247816926841</c:v>
                </c:pt>
                <c:pt idx="394">
                  <c:v>751.84524623775178</c:v>
                </c:pt>
                <c:pt idx="395">
                  <c:v>753.82225761639404</c:v>
                </c:pt>
                <c:pt idx="396">
                  <c:v>755.26041491884769</c:v>
                </c:pt>
                <c:pt idx="397">
                  <c:v>756.06979815705995</c:v>
                </c:pt>
                <c:pt idx="398">
                  <c:v>757.62791708753616</c:v>
                </c:pt>
                <c:pt idx="399">
                  <c:v>759.21053027504604</c:v>
                </c:pt>
                <c:pt idx="400">
                  <c:v>760.77824381206528</c:v>
                </c:pt>
                <c:pt idx="401">
                  <c:v>762.20918220583803</c:v>
                </c:pt>
                <c:pt idx="402">
                  <c:v>763.17682866952634</c:v>
                </c:pt>
                <c:pt idx="403">
                  <c:v>764.44392420752308</c:v>
                </c:pt>
                <c:pt idx="404">
                  <c:v>766.28974201699657</c:v>
                </c:pt>
                <c:pt idx="405">
                  <c:v>767.5606347247209</c:v>
                </c:pt>
                <c:pt idx="406">
                  <c:v>769.27450214177691</c:v>
                </c:pt>
                <c:pt idx="407">
                  <c:v>770.28416168208275</c:v>
                </c:pt>
                <c:pt idx="408">
                  <c:v>771.58151249995899</c:v>
                </c:pt>
                <c:pt idx="409">
                  <c:v>773.23434554566234</c:v>
                </c:pt>
                <c:pt idx="410">
                  <c:v>774.77241352119438</c:v>
                </c:pt>
                <c:pt idx="411">
                  <c:v>776.64092168274271</c:v>
                </c:pt>
                <c:pt idx="412">
                  <c:v>778.02177952896375</c:v>
                </c:pt>
                <c:pt idx="413">
                  <c:v>779.14906170973813</c:v>
                </c:pt>
                <c:pt idx="414">
                  <c:v>780.45224227012773</c:v>
                </c:pt>
                <c:pt idx="415">
                  <c:v>781.80548010043776</c:v>
                </c:pt>
                <c:pt idx="416">
                  <c:v>782.97540901474849</c:v>
                </c:pt>
                <c:pt idx="417">
                  <c:v>784.04708573241419</c:v>
                </c:pt>
                <c:pt idx="418">
                  <c:v>785.38434494156616</c:v>
                </c:pt>
                <c:pt idx="419">
                  <c:v>787.04903199836156</c:v>
                </c:pt>
                <c:pt idx="420">
                  <c:v>788.37928880936215</c:v>
                </c:pt>
                <c:pt idx="421">
                  <c:v>789.50409495782253</c:v>
                </c:pt>
                <c:pt idx="422">
                  <c:v>790.88652916301737</c:v>
                </c:pt>
                <c:pt idx="423">
                  <c:v>792.16059837323871</c:v>
                </c:pt>
                <c:pt idx="424">
                  <c:v>793.77411546261715</c:v>
                </c:pt>
                <c:pt idx="425">
                  <c:v>795.56363727923338</c:v>
                </c:pt>
                <c:pt idx="426">
                  <c:v>796.74489600044694</c:v>
                </c:pt>
                <c:pt idx="427">
                  <c:v>798.43217687149365</c:v>
                </c:pt>
                <c:pt idx="428">
                  <c:v>799.38290947659971</c:v>
                </c:pt>
                <c:pt idx="429">
                  <c:v>800.70190366328291</c:v>
                </c:pt>
                <c:pt idx="430">
                  <c:v>802.24052468623097</c:v>
                </c:pt>
                <c:pt idx="431">
                  <c:v>804.01217791731017</c:v>
                </c:pt>
                <c:pt idx="432">
                  <c:v>805.58934149469508</c:v>
                </c:pt>
                <c:pt idx="433">
                  <c:v>806.79554131518989</c:v>
                </c:pt>
                <c:pt idx="434">
                  <c:v>808.53906715423761</c:v>
                </c:pt>
                <c:pt idx="435">
                  <c:v>809.82293167418811</c:v>
                </c:pt>
                <c:pt idx="436">
                  <c:v>810.65374814744223</c:v>
                </c:pt>
                <c:pt idx="437">
                  <c:v>812.18599920973929</c:v>
                </c:pt>
                <c:pt idx="438">
                  <c:v>813.50942125009806</c:v>
                </c:pt>
                <c:pt idx="439">
                  <c:v>814.65909250644552</c:v>
                </c:pt>
                <c:pt idx="440">
                  <c:v>815.85036876192703</c:v>
                </c:pt>
                <c:pt idx="441">
                  <c:v>817.52371625937189</c:v>
                </c:pt>
                <c:pt idx="442">
                  <c:v>818.43275153394995</c:v>
                </c:pt>
                <c:pt idx="443">
                  <c:v>820.25360126100747</c:v>
                </c:pt>
                <c:pt idx="444">
                  <c:v>821.82229930538472</c:v>
                </c:pt>
                <c:pt idx="445">
                  <c:v>823.56798911237911</c:v>
                </c:pt>
                <c:pt idx="446">
                  <c:v>824.82467555654557</c:v>
                </c:pt>
                <c:pt idx="447">
                  <c:v>825.84099616092851</c:v>
                </c:pt>
                <c:pt idx="448">
                  <c:v>827.284069699013</c:v>
                </c:pt>
                <c:pt idx="449">
                  <c:v>828.45666800893389</c:v>
                </c:pt>
                <c:pt idx="450">
                  <c:v>829.76531885326938</c:v>
                </c:pt>
                <c:pt idx="451">
                  <c:v>831.88976323710756</c:v>
                </c:pt>
                <c:pt idx="452">
                  <c:v>833.30729632789303</c:v>
                </c:pt>
                <c:pt idx="453">
                  <c:v>834.37863710191368</c:v>
                </c:pt>
                <c:pt idx="454">
                  <c:v>835.36324624423355</c:v>
                </c:pt>
                <c:pt idx="455">
                  <c:v>836.95848950194807</c:v>
                </c:pt>
                <c:pt idx="456">
                  <c:v>838.65937350884292</c:v>
                </c:pt>
                <c:pt idx="457">
                  <c:v>839.87951624409595</c:v>
                </c:pt>
                <c:pt idx="458">
                  <c:v>840.92040522495154</c:v>
                </c:pt>
                <c:pt idx="459">
                  <c:v>842.4281787129263</c:v>
                </c:pt>
                <c:pt idx="460">
                  <c:v>843.42554536248099</c:v>
                </c:pt>
                <c:pt idx="461">
                  <c:v>844.85900021046598</c:v>
                </c:pt>
                <c:pt idx="462">
                  <c:v>846.37684473148499</c:v>
                </c:pt>
                <c:pt idx="463">
                  <c:v>847.56051583200031</c:v>
                </c:pt>
                <c:pt idx="464">
                  <c:v>849.3281878882832</c:v>
                </c:pt>
                <c:pt idx="465">
                  <c:v>850.36680478034179</c:v>
                </c:pt>
                <c:pt idx="466">
                  <c:v>851.45036164054261</c:v>
                </c:pt>
                <c:pt idx="467">
                  <c:v>852.51851013267105</c:v>
                </c:pt>
                <c:pt idx="468">
                  <c:v>853.51929255368134</c:v>
                </c:pt>
                <c:pt idx="469">
                  <c:v>855.0658647061091</c:v>
                </c:pt>
                <c:pt idx="470">
                  <c:v>856.41826711290662</c:v>
                </c:pt>
                <c:pt idx="471">
                  <c:v>856.85640062062794</c:v>
                </c:pt>
                <c:pt idx="472">
                  <c:v>858.58560778152366</c:v>
                </c:pt>
                <c:pt idx="473">
                  <c:v>859.72753132680123</c:v>
                </c:pt>
                <c:pt idx="474">
                  <c:v>861.06728425890628</c:v>
                </c:pt>
                <c:pt idx="475">
                  <c:v>862.530379382045</c:v>
                </c:pt>
                <c:pt idx="476">
                  <c:v>863.97763050420326</c:v>
                </c:pt>
                <c:pt idx="477">
                  <c:v>865.00095852505569</c:v>
                </c:pt>
                <c:pt idx="478">
                  <c:v>866.07521128717576</c:v>
                </c:pt>
                <c:pt idx="479">
                  <c:v>866.82322695142057</c:v>
                </c:pt>
                <c:pt idx="480">
                  <c:v>868.40583049874681</c:v>
                </c:pt>
                <c:pt idx="481">
                  <c:v>869.96411981280892</c:v>
                </c:pt>
                <c:pt idx="482">
                  <c:v>871.44551602251261</c:v>
                </c:pt>
                <c:pt idx="483">
                  <c:v>872.73637477981902</c:v>
                </c:pt>
                <c:pt idx="484">
                  <c:v>874.25517288275739</c:v>
                </c:pt>
                <c:pt idx="485">
                  <c:v>875.63581462786829</c:v>
                </c:pt>
                <c:pt idx="486">
                  <c:v>876.58950519849895</c:v>
                </c:pt>
                <c:pt idx="487">
                  <c:v>877.88533452560011</c:v>
                </c:pt>
                <c:pt idx="488">
                  <c:v>879.2317755204682</c:v>
                </c:pt>
                <c:pt idx="489">
                  <c:v>880.40279451981201</c:v>
                </c:pt>
                <c:pt idx="490">
                  <c:v>881.53987165565104</c:v>
                </c:pt>
                <c:pt idx="491">
                  <c:v>883.12631646566081</c:v>
                </c:pt>
                <c:pt idx="492">
                  <c:v>883.98914562008599</c:v>
                </c:pt>
                <c:pt idx="493">
                  <c:v>885.16974842829825</c:v>
                </c:pt>
                <c:pt idx="494">
                  <c:v>886.72546222428832</c:v>
                </c:pt>
                <c:pt idx="495">
                  <c:v>887.91230148094678</c:v>
                </c:pt>
                <c:pt idx="496">
                  <c:v>888.80176557182949</c:v>
                </c:pt>
                <c:pt idx="497">
                  <c:v>889.53930210878025</c:v>
                </c:pt>
                <c:pt idx="498">
                  <c:v>890.03795353744863</c:v>
                </c:pt>
                <c:pt idx="499">
                  <c:v>890.51039805907476</c:v>
                </c:pt>
                <c:pt idx="500">
                  <c:v>891.49763358528764</c:v>
                </c:pt>
                <c:pt idx="501">
                  <c:v>892.47472669642218</c:v>
                </c:pt>
                <c:pt idx="502">
                  <c:v>894.31659712879912</c:v>
                </c:pt>
                <c:pt idx="503">
                  <c:v>895.24549141057662</c:v>
                </c:pt>
                <c:pt idx="504">
                  <c:v>896.30270407570993</c:v>
                </c:pt>
                <c:pt idx="505">
                  <c:v>897.4991594193292</c:v>
                </c:pt>
                <c:pt idx="506">
                  <c:v>898.41773656048542</c:v>
                </c:pt>
                <c:pt idx="507">
                  <c:v>899.39898938662827</c:v>
                </c:pt>
                <c:pt idx="508">
                  <c:v>900.7663295602722</c:v>
                </c:pt>
                <c:pt idx="509">
                  <c:v>901.87480758149275</c:v>
                </c:pt>
                <c:pt idx="510">
                  <c:v>902.74312232149407</c:v>
                </c:pt>
                <c:pt idx="511">
                  <c:v>903.2997557167788</c:v>
                </c:pt>
                <c:pt idx="512">
                  <c:v>904.32231106149584</c:v>
                </c:pt>
                <c:pt idx="513">
                  <c:v>905.36312333706314</c:v>
                </c:pt>
                <c:pt idx="514">
                  <c:v>905.88734760148031</c:v>
                </c:pt>
                <c:pt idx="515">
                  <c:v>907.25576348431343</c:v>
                </c:pt>
                <c:pt idx="516">
                  <c:v>908.16994011067322</c:v>
                </c:pt>
                <c:pt idx="517">
                  <c:v>909.25247357181934</c:v>
                </c:pt>
                <c:pt idx="518">
                  <c:v>910.38652647761921</c:v>
                </c:pt>
                <c:pt idx="519">
                  <c:v>910.98939596660728</c:v>
                </c:pt>
                <c:pt idx="520">
                  <c:v>912.26749942428592</c:v>
                </c:pt>
                <c:pt idx="521">
                  <c:v>913.24031499553837</c:v>
                </c:pt>
                <c:pt idx="522">
                  <c:v>913.71450551179089</c:v>
                </c:pt>
                <c:pt idx="523">
                  <c:v>914.72646980996967</c:v>
                </c:pt>
                <c:pt idx="524">
                  <c:v>915.20520051785695</c:v>
                </c:pt>
                <c:pt idx="525">
                  <c:v>915.92690134792031</c:v>
                </c:pt>
                <c:pt idx="526">
                  <c:v>916.74195460454735</c:v>
                </c:pt>
                <c:pt idx="527">
                  <c:v>917.98028103710999</c:v>
                </c:pt>
                <c:pt idx="528">
                  <c:v>918.90543782421707</c:v>
                </c:pt>
                <c:pt idx="529">
                  <c:v>919.56203034616203</c:v>
                </c:pt>
                <c:pt idx="530">
                  <c:v>920.25679540589374</c:v>
                </c:pt>
                <c:pt idx="531">
                  <c:v>921.55562367811672</c:v>
                </c:pt>
                <c:pt idx="532">
                  <c:v>922.34186641440886</c:v>
                </c:pt>
                <c:pt idx="533">
                  <c:v>922.9283372920728</c:v>
                </c:pt>
                <c:pt idx="534">
                  <c:v>923.74830647150293</c:v>
                </c:pt>
                <c:pt idx="535">
                  <c:v>924.49568896786911</c:v>
                </c:pt>
                <c:pt idx="536">
                  <c:v>924.84379560444484</c:v>
                </c:pt>
                <c:pt idx="537">
                  <c:v>925.42152028752935</c:v>
                </c:pt>
                <c:pt idx="538">
                  <c:v>925.79758746324831</c:v>
                </c:pt>
                <c:pt idx="539">
                  <c:v>926.84677121622747</c:v>
                </c:pt>
                <c:pt idx="540">
                  <c:v>927.30690591954135</c:v>
                </c:pt>
                <c:pt idx="541">
                  <c:v>928.2286385247105</c:v>
                </c:pt>
                <c:pt idx="542">
                  <c:v>928.84650716921874</c:v>
                </c:pt>
                <c:pt idx="543">
                  <c:v>929.34408561038913</c:v>
                </c:pt>
                <c:pt idx="544">
                  <c:v>929.71699177059759</c:v>
                </c:pt>
                <c:pt idx="545">
                  <c:v>930.3398271312268</c:v>
                </c:pt>
                <c:pt idx="546">
                  <c:v>931.12849783848662</c:v>
                </c:pt>
                <c:pt idx="547">
                  <c:v>931.67600160984443</c:v>
                </c:pt>
                <c:pt idx="548">
                  <c:v>932.45988817884529</c:v>
                </c:pt>
                <c:pt idx="549">
                  <c:v>932.66651961797504</c:v>
                </c:pt>
                <c:pt idx="550">
                  <c:v>933.07013672780806</c:v>
                </c:pt>
                <c:pt idx="551">
                  <c:v>933.13715780978396</c:v>
                </c:pt>
                <c:pt idx="552">
                  <c:v>933.59564874128512</c:v>
                </c:pt>
                <c:pt idx="553">
                  <c:v>934.1627414781899</c:v>
                </c:pt>
                <c:pt idx="554">
                  <c:v>934.65814336773428</c:v>
                </c:pt>
                <c:pt idx="555">
                  <c:v>935.18382573340375</c:v>
                </c:pt>
                <c:pt idx="556">
                  <c:v>935.28167767138837</c:v>
                </c:pt>
                <c:pt idx="557">
                  <c:v>935.95818006811726</c:v>
                </c:pt>
                <c:pt idx="558">
                  <c:v>936.67106538533153</c:v>
                </c:pt>
                <c:pt idx="559">
                  <c:v>937.00839473595113</c:v>
                </c:pt>
                <c:pt idx="560">
                  <c:v>937.84532425875921</c:v>
                </c:pt>
                <c:pt idx="561">
                  <c:v>937.83537874659601</c:v>
                </c:pt>
                <c:pt idx="562">
                  <c:v>938.07537365441794</c:v>
                </c:pt>
                <c:pt idx="563">
                  <c:v>938.80587142226477</c:v>
                </c:pt>
                <c:pt idx="564">
                  <c:v>938.8784758147392</c:v>
                </c:pt>
                <c:pt idx="565">
                  <c:v>939.51162453928805</c:v>
                </c:pt>
                <c:pt idx="566">
                  <c:v>940.15231430114591</c:v>
                </c:pt>
                <c:pt idx="567">
                  <c:v>940.36613187581531</c:v>
                </c:pt>
                <c:pt idx="568">
                  <c:v>940.98118800589748</c:v>
                </c:pt>
                <c:pt idx="569">
                  <c:v>941.24294330864404</c:v>
                </c:pt>
                <c:pt idx="570">
                  <c:v>941.39469925290314</c:v>
                </c:pt>
                <c:pt idx="571">
                  <c:v>941.91254298783792</c:v>
                </c:pt>
                <c:pt idx="572">
                  <c:v>942.05262628597097</c:v>
                </c:pt>
                <c:pt idx="573">
                  <c:v>942.03625980010838</c:v>
                </c:pt>
                <c:pt idx="574">
                  <c:v>942.60518022912288</c:v>
                </c:pt>
                <c:pt idx="575">
                  <c:v>942.78813450972734</c:v>
                </c:pt>
                <c:pt idx="576">
                  <c:v>943.34431304428881</c:v>
                </c:pt>
                <c:pt idx="577">
                  <c:v>943.71920573549835</c:v>
                </c:pt>
                <c:pt idx="578">
                  <c:v>943.65367686996694</c:v>
                </c:pt>
                <c:pt idx="579">
                  <c:v>944.061339511033</c:v>
                </c:pt>
                <c:pt idx="580">
                  <c:v>944.42191198274691</c:v>
                </c:pt>
                <c:pt idx="581">
                  <c:v>944.24533938147465</c:v>
                </c:pt>
                <c:pt idx="582">
                  <c:v>944.83297489834888</c:v>
                </c:pt>
                <c:pt idx="583">
                  <c:v>945.24462729063225</c:v>
                </c:pt>
                <c:pt idx="584">
                  <c:v>945.76614070077426</c:v>
                </c:pt>
                <c:pt idx="585">
                  <c:v>946.11288202321555</c:v>
                </c:pt>
                <c:pt idx="586">
                  <c:v>946.65911930045331</c:v>
                </c:pt>
                <c:pt idx="587">
                  <c:v>947.2987614328373</c:v>
                </c:pt>
                <c:pt idx="588">
                  <c:v>947.31994483130541</c:v>
                </c:pt>
                <c:pt idx="589">
                  <c:v>947.62783423920348</c:v>
                </c:pt>
                <c:pt idx="590">
                  <c:v>947.54085264565742</c:v>
                </c:pt>
                <c:pt idx="591">
                  <c:v>947.68278653214247</c:v>
                </c:pt>
                <c:pt idx="592">
                  <c:v>948.16352404524582</c:v>
                </c:pt>
                <c:pt idx="593">
                  <c:v>948.7199385528404</c:v>
                </c:pt>
                <c:pt idx="594">
                  <c:v>948.93369576288808</c:v>
                </c:pt>
                <c:pt idx="595">
                  <c:v>948.5880600620751</c:v>
                </c:pt>
                <c:pt idx="596">
                  <c:v>948.95748915526758</c:v>
                </c:pt>
                <c:pt idx="597">
                  <c:v>949.15885465330939</c:v>
                </c:pt>
                <c:pt idx="598">
                  <c:v>949.97746829365201</c:v>
                </c:pt>
                <c:pt idx="599">
                  <c:v>950.12704802203746</c:v>
                </c:pt>
                <c:pt idx="600">
                  <c:v>950.23604632332774</c:v>
                </c:pt>
                <c:pt idx="601">
                  <c:v>950.19861364879807</c:v>
                </c:pt>
                <c:pt idx="602">
                  <c:v>950.15639183089638</c:v>
                </c:pt>
                <c:pt idx="603">
                  <c:v>950.68856653171508</c:v>
                </c:pt>
                <c:pt idx="604">
                  <c:v>951.0592733512791</c:v>
                </c:pt>
                <c:pt idx="605">
                  <c:v>951.3356959790807</c:v>
                </c:pt>
                <c:pt idx="606">
                  <c:v>951.37984732248663</c:v>
                </c:pt>
                <c:pt idx="607">
                  <c:v>951.56289971776755</c:v>
                </c:pt>
                <c:pt idx="608">
                  <c:v>951.90649473689336</c:v>
                </c:pt>
                <c:pt idx="609">
                  <c:v>952.14943764019927</c:v>
                </c:pt>
                <c:pt idx="610">
                  <c:v>952.36355313703336</c:v>
                </c:pt>
                <c:pt idx="611">
                  <c:v>953.20498399850692</c:v>
                </c:pt>
                <c:pt idx="612">
                  <c:v>953.20500297010642</c:v>
                </c:pt>
                <c:pt idx="613">
                  <c:v>953.45335792222772</c:v>
                </c:pt>
                <c:pt idx="614">
                  <c:v>953.51078619860914</c:v>
                </c:pt>
                <c:pt idx="615">
                  <c:v>953.37002563330532</c:v>
                </c:pt>
                <c:pt idx="616">
                  <c:v>953.64805117559513</c:v>
                </c:pt>
                <c:pt idx="617">
                  <c:v>954.03928501539463</c:v>
                </c:pt>
                <c:pt idx="618">
                  <c:v>954.14187574075493</c:v>
                </c:pt>
                <c:pt idx="619">
                  <c:v>954.79241612849569</c:v>
                </c:pt>
                <c:pt idx="620">
                  <c:v>954.71533499174427</c:v>
                </c:pt>
                <c:pt idx="621">
                  <c:v>954.58773281407991</c:v>
                </c:pt>
                <c:pt idx="622">
                  <c:v>955.23648461072844</c:v>
                </c:pt>
                <c:pt idx="623">
                  <c:v>955.50144491293509</c:v>
                </c:pt>
                <c:pt idx="624">
                  <c:v>955.53827619085973</c:v>
                </c:pt>
                <c:pt idx="625">
                  <c:v>956.15620959343505</c:v>
                </c:pt>
                <c:pt idx="626">
                  <c:v>956.10325648908713</c:v>
                </c:pt>
                <c:pt idx="627">
                  <c:v>956.49731563002331</c:v>
                </c:pt>
                <c:pt idx="628">
                  <c:v>956.47077860306911</c:v>
                </c:pt>
                <c:pt idx="629">
                  <c:v>956.73158288932723</c:v>
                </c:pt>
                <c:pt idx="630">
                  <c:v>957.10375136581297</c:v>
                </c:pt>
                <c:pt idx="631">
                  <c:v>956.60678172512178</c:v>
                </c:pt>
                <c:pt idx="632">
                  <c:v>956.80409461530496</c:v>
                </c:pt>
                <c:pt idx="633">
                  <c:v>957.12560467467256</c:v>
                </c:pt>
                <c:pt idx="634">
                  <c:v>957.18894565593564</c:v>
                </c:pt>
                <c:pt idx="635">
                  <c:v>957.68013903215865</c:v>
                </c:pt>
                <c:pt idx="636">
                  <c:v>957.82477453682225</c:v>
                </c:pt>
                <c:pt idx="637">
                  <c:v>958.51866250265846</c:v>
                </c:pt>
                <c:pt idx="638">
                  <c:v>959.08435528671703</c:v>
                </c:pt>
                <c:pt idx="639">
                  <c:v>958.67143444718567</c:v>
                </c:pt>
                <c:pt idx="640">
                  <c:v>958.69127734272536</c:v>
                </c:pt>
                <c:pt idx="641">
                  <c:v>958.88160941960291</c:v>
                </c:pt>
                <c:pt idx="642">
                  <c:v>959.10086124885299</c:v>
                </c:pt>
                <c:pt idx="643">
                  <c:v>959.39377993199673</c:v>
                </c:pt>
                <c:pt idx="644">
                  <c:v>959.29354066240489</c:v>
                </c:pt>
                <c:pt idx="645">
                  <c:v>959.44490097476512</c:v>
                </c:pt>
                <c:pt idx="646">
                  <c:v>960.3127429756405</c:v>
                </c:pt>
                <c:pt idx="647">
                  <c:v>960.22883582371219</c:v>
                </c:pt>
                <c:pt idx="648">
                  <c:v>961.11811523077188</c:v>
                </c:pt>
                <c:pt idx="649">
                  <c:v>961.33308046438583</c:v>
                </c:pt>
                <c:pt idx="650">
                  <c:v>961.11224547364918</c:v>
                </c:pt>
                <c:pt idx="651">
                  <c:v>961.1296135100888</c:v>
                </c:pt>
                <c:pt idx="652">
                  <c:v>960.75303624952824</c:v>
                </c:pt>
                <c:pt idx="653">
                  <c:v>961.05583115416414</c:v>
                </c:pt>
                <c:pt idx="654">
                  <c:v>961.19662818634811</c:v>
                </c:pt>
                <c:pt idx="655">
                  <c:v>961.85304674311055</c:v>
                </c:pt>
                <c:pt idx="656">
                  <c:v>961.79815495477044</c:v>
                </c:pt>
                <c:pt idx="657">
                  <c:v>961.99999600583635</c:v>
                </c:pt>
                <c:pt idx="658">
                  <c:v>961.83030464818989</c:v>
                </c:pt>
                <c:pt idx="659">
                  <c:v>962.32425405434935</c:v>
                </c:pt>
                <c:pt idx="660">
                  <c:v>962.18013495464743</c:v>
                </c:pt>
                <c:pt idx="661">
                  <c:v>962.49639914328793</c:v>
                </c:pt>
                <c:pt idx="662">
                  <c:v>963.05749264349993</c:v>
                </c:pt>
                <c:pt idx="663">
                  <c:v>963.38849542358923</c:v>
                </c:pt>
                <c:pt idx="664">
                  <c:v>963.1669528182191</c:v>
                </c:pt>
                <c:pt idx="665">
                  <c:v>963.20424973697175</c:v>
                </c:pt>
                <c:pt idx="666">
                  <c:v>963.1050204877057</c:v>
                </c:pt>
                <c:pt idx="667">
                  <c:v>963.01816208760749</c:v>
                </c:pt>
                <c:pt idx="668">
                  <c:v>963.25009037605184</c:v>
                </c:pt>
                <c:pt idx="669">
                  <c:v>963.87618569911729</c:v>
                </c:pt>
                <c:pt idx="670">
                  <c:v>964.36390514349773</c:v>
                </c:pt>
                <c:pt idx="671">
                  <c:v>964.37681785728228</c:v>
                </c:pt>
                <c:pt idx="672">
                  <c:v>964.75986515763987</c:v>
                </c:pt>
                <c:pt idx="673">
                  <c:v>965.16390801877435</c:v>
                </c:pt>
                <c:pt idx="674">
                  <c:v>965.65618226498998</c:v>
                </c:pt>
                <c:pt idx="675">
                  <c:v>966.03664155813408</c:v>
                </c:pt>
                <c:pt idx="676">
                  <c:v>966.35843569257906</c:v>
                </c:pt>
                <c:pt idx="677">
                  <c:v>966.49624455359651</c:v>
                </c:pt>
                <c:pt idx="678">
                  <c:v>966.63314127169156</c:v>
                </c:pt>
                <c:pt idx="679">
                  <c:v>966.33145915064426</c:v>
                </c:pt>
                <c:pt idx="680">
                  <c:v>966.67087633902088</c:v>
                </c:pt>
                <c:pt idx="681">
                  <c:v>966.95737681776768</c:v>
                </c:pt>
                <c:pt idx="682">
                  <c:v>966.82678623924232</c:v>
                </c:pt>
                <c:pt idx="683">
                  <c:v>966.65196110956288</c:v>
                </c:pt>
                <c:pt idx="684">
                  <c:v>966.20578962748505</c:v>
                </c:pt>
                <c:pt idx="685">
                  <c:v>966.68521932278543</c:v>
                </c:pt>
                <c:pt idx="686">
                  <c:v>966.90578981919657</c:v>
                </c:pt>
                <c:pt idx="687">
                  <c:v>967.38227726450236</c:v>
                </c:pt>
                <c:pt idx="688">
                  <c:v>967.48757985611689</c:v>
                </c:pt>
                <c:pt idx="689">
                  <c:v>967.64089465360564</c:v>
                </c:pt>
                <c:pt idx="690">
                  <c:v>967.51230216311922</c:v>
                </c:pt>
                <c:pt idx="691">
                  <c:v>967.72293131367917</c:v>
                </c:pt>
                <c:pt idx="692">
                  <c:v>967.97646181638277</c:v>
                </c:pt>
                <c:pt idx="693">
                  <c:v>968.36426330629911</c:v>
                </c:pt>
                <c:pt idx="694">
                  <c:v>969.03970525712214</c:v>
                </c:pt>
                <c:pt idx="695">
                  <c:v>968.80942338787077</c:v>
                </c:pt>
                <c:pt idx="696">
                  <c:v>969.59163407312212</c:v>
                </c:pt>
                <c:pt idx="697">
                  <c:v>969.72685951553967</c:v>
                </c:pt>
                <c:pt idx="698">
                  <c:v>969.42451884756895</c:v>
                </c:pt>
                <c:pt idx="699">
                  <c:v>969.25747720888569</c:v>
                </c:pt>
                <c:pt idx="700">
                  <c:v>969.39970870791217</c:v>
                </c:pt>
                <c:pt idx="701">
                  <c:v>970.12991309370284</c:v>
                </c:pt>
                <c:pt idx="702">
                  <c:v>970.43335954241445</c:v>
                </c:pt>
                <c:pt idx="703">
                  <c:v>970.59264806163935</c:v>
                </c:pt>
                <c:pt idx="704">
                  <c:v>970.61105761697831</c:v>
                </c:pt>
                <c:pt idx="705">
                  <c:v>970.54348873794527</c:v>
                </c:pt>
                <c:pt idx="706">
                  <c:v>970.22496703995864</c:v>
                </c:pt>
                <c:pt idx="707">
                  <c:v>970.99027832336299</c:v>
                </c:pt>
                <c:pt idx="708">
                  <c:v>971.01688420742312</c:v>
                </c:pt>
                <c:pt idx="709">
                  <c:v>971.00312016865485</c:v>
                </c:pt>
                <c:pt idx="710">
                  <c:v>971.13167650225512</c:v>
                </c:pt>
                <c:pt idx="711">
                  <c:v>970.97173440208041</c:v>
                </c:pt>
                <c:pt idx="712">
                  <c:v>971.20661084827543</c:v>
                </c:pt>
                <c:pt idx="713">
                  <c:v>971.21952022919425</c:v>
                </c:pt>
                <c:pt idx="714">
                  <c:v>971.07823103905014</c:v>
                </c:pt>
                <c:pt idx="715">
                  <c:v>971.47653433404014</c:v>
                </c:pt>
                <c:pt idx="716">
                  <c:v>971.38933693769138</c:v>
                </c:pt>
                <c:pt idx="717">
                  <c:v>971.87604095102643</c:v>
                </c:pt>
                <c:pt idx="718">
                  <c:v>972.34291652988748</c:v>
                </c:pt>
                <c:pt idx="719">
                  <c:v>972.43589556808286</c:v>
                </c:pt>
                <c:pt idx="720">
                  <c:v>972.98172499704606</c:v>
                </c:pt>
                <c:pt idx="721">
                  <c:v>973.03284756866378</c:v>
                </c:pt>
                <c:pt idx="722">
                  <c:v>973.06068317134395</c:v>
                </c:pt>
                <c:pt idx="723">
                  <c:v>973.31797489040434</c:v>
                </c:pt>
                <c:pt idx="724">
                  <c:v>973.30613902414666</c:v>
                </c:pt>
                <c:pt idx="725">
                  <c:v>973.52813639709314</c:v>
                </c:pt>
                <c:pt idx="726">
                  <c:v>974.24297115480908</c:v>
                </c:pt>
                <c:pt idx="727">
                  <c:v>974.38205256980632</c:v>
                </c:pt>
                <c:pt idx="728">
                  <c:v>974.67965360220239</c:v>
                </c:pt>
                <c:pt idx="729">
                  <c:v>974.71618967974837</c:v>
                </c:pt>
                <c:pt idx="730">
                  <c:v>974.89914163585888</c:v>
                </c:pt>
                <c:pt idx="731">
                  <c:v>975.17364033532976</c:v>
                </c:pt>
                <c:pt idx="732">
                  <c:v>975.45333958268407</c:v>
                </c:pt>
                <c:pt idx="733">
                  <c:v>975.37092829151959</c:v>
                </c:pt>
                <c:pt idx="734">
                  <c:v>975.74906261799458</c:v>
                </c:pt>
                <c:pt idx="735">
                  <c:v>975.4778981643783</c:v>
                </c:pt>
                <c:pt idx="736">
                  <c:v>975.64950148609739</c:v>
                </c:pt>
                <c:pt idx="737">
                  <c:v>976.14606572925231</c:v>
                </c:pt>
                <c:pt idx="738">
                  <c:v>975.86769857687113</c:v>
                </c:pt>
                <c:pt idx="739">
                  <c:v>976.06643845897929</c:v>
                </c:pt>
                <c:pt idx="740">
                  <c:v>976.41843553108947</c:v>
                </c:pt>
                <c:pt idx="741">
                  <c:v>976.58074251490973</c:v>
                </c:pt>
                <c:pt idx="742">
                  <c:v>976.44312764883193</c:v>
                </c:pt>
                <c:pt idx="743">
                  <c:v>975.96787638036972</c:v>
                </c:pt>
                <c:pt idx="744">
                  <c:v>976.74050611959262</c:v>
                </c:pt>
                <c:pt idx="745">
                  <c:v>976.82297527496257</c:v>
                </c:pt>
                <c:pt idx="746">
                  <c:v>976.78131544240625</c:v>
                </c:pt>
                <c:pt idx="747">
                  <c:v>976.94752194395085</c:v>
                </c:pt>
                <c:pt idx="748">
                  <c:v>977.17195946755976</c:v>
                </c:pt>
                <c:pt idx="749">
                  <c:v>976.91608313977486</c:v>
                </c:pt>
                <c:pt idx="750">
                  <c:v>977.35116402793744</c:v>
                </c:pt>
                <c:pt idx="751">
                  <c:v>977.78506778370536</c:v>
                </c:pt>
                <c:pt idx="752">
                  <c:v>978.06219488095655</c:v>
                </c:pt>
                <c:pt idx="753">
                  <c:v>978.09186538023778</c:v>
                </c:pt>
                <c:pt idx="754">
                  <c:v>978.18233034461377</c:v>
                </c:pt>
                <c:pt idx="755">
                  <c:v>978.29933869062893</c:v>
                </c:pt>
                <c:pt idx="756">
                  <c:v>978.50064055185567</c:v>
                </c:pt>
                <c:pt idx="757">
                  <c:v>978.98052319545513</c:v>
                </c:pt>
                <c:pt idx="758">
                  <c:v>979.45567310886963</c:v>
                </c:pt>
                <c:pt idx="759">
                  <c:v>979.38593661028381</c:v>
                </c:pt>
                <c:pt idx="760">
                  <c:v>979.57543419590354</c:v>
                </c:pt>
                <c:pt idx="761">
                  <c:v>979.12744618976706</c:v>
                </c:pt>
                <c:pt idx="762">
                  <c:v>979.1022584059707</c:v>
                </c:pt>
                <c:pt idx="763">
                  <c:v>979.21404540321191</c:v>
                </c:pt>
                <c:pt idx="764">
                  <c:v>979.96224446916858</c:v>
                </c:pt>
                <c:pt idx="765">
                  <c:v>980.28757063591229</c:v>
                </c:pt>
                <c:pt idx="766">
                  <c:v>980.21729105886016</c:v>
                </c:pt>
                <c:pt idx="767">
                  <c:v>979.95159156143586</c:v>
                </c:pt>
                <c:pt idx="768">
                  <c:v>980.60653743090177</c:v>
                </c:pt>
                <c:pt idx="769">
                  <c:v>981.06643428649545</c:v>
                </c:pt>
                <c:pt idx="770">
                  <c:v>981.23556306896251</c:v>
                </c:pt>
                <c:pt idx="771">
                  <c:v>981.44850344188364</c:v>
                </c:pt>
                <c:pt idx="772">
                  <c:v>981.35012075784675</c:v>
                </c:pt>
                <c:pt idx="773">
                  <c:v>981.2623928952172</c:v>
                </c:pt>
                <c:pt idx="774">
                  <c:v>981.31628273430283</c:v>
                </c:pt>
                <c:pt idx="775">
                  <c:v>980.92731790288133</c:v>
                </c:pt>
                <c:pt idx="776">
                  <c:v>981.32444802401926</c:v>
                </c:pt>
                <c:pt idx="777">
                  <c:v>981.65317087655069</c:v>
                </c:pt>
                <c:pt idx="778">
                  <c:v>981.61433425622636</c:v>
                </c:pt>
                <c:pt idx="779">
                  <c:v>982.13728930055765</c:v>
                </c:pt>
                <c:pt idx="780">
                  <c:v>982.23596490707757</c:v>
                </c:pt>
                <c:pt idx="781">
                  <c:v>981.93322646343358</c:v>
                </c:pt>
                <c:pt idx="782">
                  <c:v>982.41688227586224</c:v>
                </c:pt>
                <c:pt idx="783">
                  <c:v>982.33571787486596</c:v>
                </c:pt>
                <c:pt idx="784">
                  <c:v>982.78336223158374</c:v>
                </c:pt>
                <c:pt idx="785">
                  <c:v>983.33485278451622</c:v>
                </c:pt>
                <c:pt idx="786">
                  <c:v>983.35010292589311</c:v>
                </c:pt>
                <c:pt idx="787">
                  <c:v>983.55721256869424</c:v>
                </c:pt>
                <c:pt idx="788">
                  <c:v>983.21946359564367</c:v>
                </c:pt>
                <c:pt idx="789">
                  <c:v>983.38324341174177</c:v>
                </c:pt>
                <c:pt idx="790">
                  <c:v>983.80436547717386</c:v>
                </c:pt>
                <c:pt idx="791">
                  <c:v>983.93114651497535</c:v>
                </c:pt>
                <c:pt idx="792">
                  <c:v>984.27717334686406</c:v>
                </c:pt>
                <c:pt idx="793">
                  <c:v>984.46128170330212</c:v>
                </c:pt>
                <c:pt idx="794">
                  <c:v>984.43854015933084</c:v>
                </c:pt>
                <c:pt idx="795">
                  <c:v>984.38618963537817</c:v>
                </c:pt>
                <c:pt idx="796">
                  <c:v>984.40953386475962</c:v>
                </c:pt>
                <c:pt idx="797">
                  <c:v>984.6043466604043</c:v>
                </c:pt>
                <c:pt idx="798">
                  <c:v>984.77640540644916</c:v>
                </c:pt>
                <c:pt idx="799">
                  <c:v>984.9474243567438</c:v>
                </c:pt>
                <c:pt idx="800">
                  <c:v>984.62626685392127</c:v>
                </c:pt>
                <c:pt idx="801">
                  <c:v>984.76057204322478</c:v>
                </c:pt>
                <c:pt idx="802">
                  <c:v>985.18655301461854</c:v>
                </c:pt>
                <c:pt idx="803">
                  <c:v>985.60337181779073</c:v>
                </c:pt>
                <c:pt idx="804">
                  <c:v>985.64900876347735</c:v>
                </c:pt>
                <c:pt idx="805">
                  <c:v>985.75645888842166</c:v>
                </c:pt>
                <c:pt idx="806">
                  <c:v>986.10048369071956</c:v>
                </c:pt>
                <c:pt idx="807">
                  <c:v>986.1958014422828</c:v>
                </c:pt>
                <c:pt idx="808">
                  <c:v>986.35945781137912</c:v>
                </c:pt>
                <c:pt idx="809">
                  <c:v>986.7527026070602</c:v>
                </c:pt>
                <c:pt idx="810">
                  <c:v>986.93258579164228</c:v>
                </c:pt>
                <c:pt idx="811">
                  <c:v>987.40373664956337</c:v>
                </c:pt>
                <c:pt idx="812">
                  <c:v>987.19497701572425</c:v>
                </c:pt>
                <c:pt idx="813">
                  <c:v>987.21223798556878</c:v>
                </c:pt>
                <c:pt idx="814">
                  <c:v>987.07932565735871</c:v>
                </c:pt>
                <c:pt idx="815">
                  <c:v>987.290523337889</c:v>
                </c:pt>
                <c:pt idx="816">
                  <c:v>987.25143230860647</c:v>
                </c:pt>
                <c:pt idx="817">
                  <c:v>987.37644809921915</c:v>
                </c:pt>
                <c:pt idx="818">
                  <c:v>987.30593984208008</c:v>
                </c:pt>
                <c:pt idx="819">
                  <c:v>987.99354406239809</c:v>
                </c:pt>
                <c:pt idx="820">
                  <c:v>987.74858972711138</c:v>
                </c:pt>
                <c:pt idx="821">
                  <c:v>987.92859266921289</c:v>
                </c:pt>
                <c:pt idx="822">
                  <c:v>988.34656365344767</c:v>
                </c:pt>
                <c:pt idx="823">
                  <c:v>988.0581023883077</c:v>
                </c:pt>
                <c:pt idx="824">
                  <c:v>987.94616817989311</c:v>
                </c:pt>
                <c:pt idx="825">
                  <c:v>987.79325368638058</c:v>
                </c:pt>
                <c:pt idx="826">
                  <c:v>987.94377172091515</c:v>
                </c:pt>
                <c:pt idx="827">
                  <c:v>988.646588081044</c:v>
                </c:pt>
                <c:pt idx="828">
                  <c:v>988.79835608252347</c:v>
                </c:pt>
                <c:pt idx="829">
                  <c:v>989.47801770291267</c:v>
                </c:pt>
                <c:pt idx="830">
                  <c:v>989.68047690238041</c:v>
                </c:pt>
                <c:pt idx="831">
                  <c:v>989.39956034440127</c:v>
                </c:pt>
                <c:pt idx="832">
                  <c:v>989.66331572770969</c:v>
                </c:pt>
                <c:pt idx="833">
                  <c:v>989.59938195906022</c:v>
                </c:pt>
                <c:pt idx="834">
                  <c:v>988.86107500716059</c:v>
                </c:pt>
                <c:pt idx="835">
                  <c:v>989.64823718516675</c:v>
                </c:pt>
                <c:pt idx="836">
                  <c:v>990.13461712849585</c:v>
                </c:pt>
                <c:pt idx="837">
                  <c:v>990.20280977586447</c:v>
                </c:pt>
                <c:pt idx="838">
                  <c:v>990.52075800956595</c:v>
                </c:pt>
                <c:pt idx="839">
                  <c:v>990.64493238655916</c:v>
                </c:pt>
                <c:pt idx="840">
                  <c:v>990.91958746735236</c:v>
                </c:pt>
                <c:pt idx="841">
                  <c:v>991.48973899545865</c:v>
                </c:pt>
                <c:pt idx="842">
                  <c:v>991.56151832376793</c:v>
                </c:pt>
                <c:pt idx="843">
                  <c:v>991.86325080989934</c:v>
                </c:pt>
                <c:pt idx="844">
                  <c:v>991.79450864092723</c:v>
                </c:pt>
                <c:pt idx="845">
                  <c:v>991.74705726936759</c:v>
                </c:pt>
                <c:pt idx="846">
                  <c:v>992.10855620982909</c:v>
                </c:pt>
                <c:pt idx="847">
                  <c:v>992.44509069815933</c:v>
                </c:pt>
                <c:pt idx="848">
                  <c:v>992.62306960650574</c:v>
                </c:pt>
                <c:pt idx="849">
                  <c:v>992.91375277438419</c:v>
                </c:pt>
                <c:pt idx="850">
                  <c:v>992.17316497258423</c:v>
                </c:pt>
                <c:pt idx="851">
                  <c:v>992.06900023269441</c:v>
                </c:pt>
                <c:pt idx="852">
                  <c:v>992.29976827510393</c:v>
                </c:pt>
                <c:pt idx="853">
                  <c:v>992.74609764397405</c:v>
                </c:pt>
                <c:pt idx="854">
                  <c:v>992.60900007820146</c:v>
                </c:pt>
                <c:pt idx="855">
                  <c:v>992.54794918683581</c:v>
                </c:pt>
                <c:pt idx="856">
                  <c:v>992.79766149377576</c:v>
                </c:pt>
                <c:pt idx="857">
                  <c:v>992.95181544646471</c:v>
                </c:pt>
                <c:pt idx="858">
                  <c:v>992.59676109851432</c:v>
                </c:pt>
                <c:pt idx="859">
                  <c:v>992.64183878912945</c:v>
                </c:pt>
                <c:pt idx="860">
                  <c:v>992.9143346468594</c:v>
                </c:pt>
                <c:pt idx="861">
                  <c:v>993.43748248296924</c:v>
                </c:pt>
                <c:pt idx="862">
                  <c:v>993.43403587204637</c:v>
                </c:pt>
                <c:pt idx="863">
                  <c:v>993.27810085445628</c:v>
                </c:pt>
                <c:pt idx="864">
                  <c:v>993.76617927455277</c:v>
                </c:pt>
                <c:pt idx="865">
                  <c:v>994.16245390280187</c:v>
                </c:pt>
                <c:pt idx="866">
                  <c:v>994.12498782442424</c:v>
                </c:pt>
                <c:pt idx="867">
                  <c:v>994.53647679861967</c:v>
                </c:pt>
                <c:pt idx="868">
                  <c:v>994.88977636195102</c:v>
                </c:pt>
                <c:pt idx="869">
                  <c:v>994.9454271644629</c:v>
                </c:pt>
                <c:pt idx="870">
                  <c:v>994.96897490660285</c:v>
                </c:pt>
                <c:pt idx="871">
                  <c:v>995.32050148276403</c:v>
                </c:pt>
                <c:pt idx="872">
                  <c:v>995.2229439545365</c:v>
                </c:pt>
                <c:pt idx="873">
                  <c:v>995.80474838101418</c:v>
                </c:pt>
                <c:pt idx="874">
                  <c:v>995.48001210737561</c:v>
                </c:pt>
                <c:pt idx="875">
                  <c:v>995.55609695428927</c:v>
                </c:pt>
                <c:pt idx="876">
                  <c:v>995.59544424439412</c:v>
                </c:pt>
                <c:pt idx="877">
                  <c:v>995.4856004850368</c:v>
                </c:pt>
                <c:pt idx="878">
                  <c:v>995.46512830562438</c:v>
                </c:pt>
                <c:pt idx="879">
                  <c:v>995.80460482907324</c:v>
                </c:pt>
                <c:pt idx="880">
                  <c:v>995.93013753204548</c:v>
                </c:pt>
                <c:pt idx="881">
                  <c:v>995.98635426988631</c:v>
                </c:pt>
                <c:pt idx="882">
                  <c:v>995.78329717124313</c:v>
                </c:pt>
                <c:pt idx="883">
                  <c:v>995.75256293888367</c:v>
                </c:pt>
                <c:pt idx="884">
                  <c:v>995.83232980682067</c:v>
                </c:pt>
                <c:pt idx="885">
                  <c:v>996.19774682794014</c:v>
                </c:pt>
                <c:pt idx="886">
                  <c:v>996.79654125037234</c:v>
                </c:pt>
                <c:pt idx="887">
                  <c:v>996.73010233099296</c:v>
                </c:pt>
                <c:pt idx="888">
                  <c:v>996.58966621751949</c:v>
                </c:pt>
                <c:pt idx="889">
                  <c:v>996.86915076524963</c:v>
                </c:pt>
                <c:pt idx="890">
                  <c:v>996.90642135498172</c:v>
                </c:pt>
                <c:pt idx="891">
                  <c:v>997.25903384154356</c:v>
                </c:pt>
                <c:pt idx="892">
                  <c:v>997.54719492376614</c:v>
                </c:pt>
                <c:pt idx="893">
                  <c:v>997.95128097432234</c:v>
                </c:pt>
                <c:pt idx="894">
                  <c:v>998.22923405806318</c:v>
                </c:pt>
                <c:pt idx="895">
                  <c:v>998.02622014366307</c:v>
                </c:pt>
                <c:pt idx="896">
                  <c:v>998.19028964439735</c:v>
                </c:pt>
                <c:pt idx="897">
                  <c:v>998.20642157272482</c:v>
                </c:pt>
                <c:pt idx="898">
                  <c:v>998.08788822142731</c:v>
                </c:pt>
                <c:pt idx="899">
                  <c:v>998.66452291800226</c:v>
                </c:pt>
                <c:pt idx="900">
                  <c:v>999.02246396036378</c:v>
                </c:pt>
                <c:pt idx="901">
                  <c:v>998.72286098301936</c:v>
                </c:pt>
                <c:pt idx="902">
                  <c:v>999.07933765757025</c:v>
                </c:pt>
                <c:pt idx="903">
                  <c:v>998.8437327982565</c:v>
                </c:pt>
                <c:pt idx="904">
                  <c:v>998.952126412555</c:v>
                </c:pt>
                <c:pt idx="905">
                  <c:v>999.04055856545267</c:v>
                </c:pt>
                <c:pt idx="906">
                  <c:v>998.96827140148457</c:v>
                </c:pt>
                <c:pt idx="907">
                  <c:v>999.17779840714502</c:v>
                </c:pt>
                <c:pt idx="908">
                  <c:v>999.27476705683716</c:v>
                </c:pt>
                <c:pt idx="909">
                  <c:v>999.08198542989328</c:v>
                </c:pt>
                <c:pt idx="910">
                  <c:v>999.10575145738699</c:v>
                </c:pt>
                <c:pt idx="911">
                  <c:v>999.58677680115807</c:v>
                </c:pt>
                <c:pt idx="912">
                  <c:v>999.65293929245354</c:v>
                </c:pt>
                <c:pt idx="913">
                  <c:v>1000.1217890986603</c:v>
                </c:pt>
                <c:pt idx="914">
                  <c:v>999.97895385254958</c:v>
                </c:pt>
                <c:pt idx="915">
                  <c:v>1000.2122503100271</c:v>
                </c:pt>
                <c:pt idx="916">
                  <c:v>1000.0040798339284</c:v>
                </c:pt>
                <c:pt idx="917">
                  <c:v>1000.0213889219424</c:v>
                </c:pt>
                <c:pt idx="918">
                  <c:v>1000.209147483828</c:v>
                </c:pt>
                <c:pt idx="919">
                  <c:v>1000.5910277946846</c:v>
                </c:pt>
                <c:pt idx="920">
                  <c:v>1000.6913585535273</c:v>
                </c:pt>
                <c:pt idx="921">
                  <c:v>1000.6875207872151</c:v>
                </c:pt>
                <c:pt idx="922">
                  <c:v>1000.8328889415496</c:v>
                </c:pt>
                <c:pt idx="923">
                  <c:v>1001.2121670451806</c:v>
                </c:pt>
                <c:pt idx="924">
                  <c:v>1001.4819289014765</c:v>
                </c:pt>
                <c:pt idx="925">
                  <c:v>1001.307325906874</c:v>
                </c:pt>
                <c:pt idx="926">
                  <c:v>1001.5562608962348</c:v>
                </c:pt>
                <c:pt idx="927">
                  <c:v>1001.6331174357579</c:v>
                </c:pt>
                <c:pt idx="928">
                  <c:v>1001.6914124294879</c:v>
                </c:pt>
                <c:pt idx="929">
                  <c:v>1001.3609967195882</c:v>
                </c:pt>
                <c:pt idx="930">
                  <c:v>1001.3891713604752</c:v>
                </c:pt>
                <c:pt idx="931">
                  <c:v>1001.9407714780036</c:v>
                </c:pt>
                <c:pt idx="932">
                  <c:v>1001.9394662638667</c:v>
                </c:pt>
                <c:pt idx="933">
                  <c:v>1001.8765598711338</c:v>
                </c:pt>
                <c:pt idx="934">
                  <c:v>1001.8826985150539</c:v>
                </c:pt>
                <c:pt idx="935">
                  <c:v>1002.0976002070474</c:v>
                </c:pt>
                <c:pt idx="936">
                  <c:v>1002.4089880359425</c:v>
                </c:pt>
                <c:pt idx="937">
                  <c:v>1002.765612951765</c:v>
                </c:pt>
                <c:pt idx="938">
                  <c:v>1003.0099540866009</c:v>
                </c:pt>
                <c:pt idx="939">
                  <c:v>1003.1684732271447</c:v>
                </c:pt>
                <c:pt idx="940">
                  <c:v>1003.0900861094909</c:v>
                </c:pt>
                <c:pt idx="941">
                  <c:v>1003.0863236053082</c:v>
                </c:pt>
                <c:pt idx="942">
                  <c:v>1003.2053206949081</c:v>
                </c:pt>
                <c:pt idx="943">
                  <c:v>1003.454002106705</c:v>
                </c:pt>
                <c:pt idx="944">
                  <c:v>1003.600364272615</c:v>
                </c:pt>
                <c:pt idx="945">
                  <c:v>1004.0412405234979</c:v>
                </c:pt>
                <c:pt idx="946">
                  <c:v>1004.0279743305297</c:v>
                </c:pt>
                <c:pt idx="947">
                  <c:v>1004.3093854819591</c:v>
                </c:pt>
                <c:pt idx="948">
                  <c:v>1004.3492959580013</c:v>
                </c:pt>
                <c:pt idx="949">
                  <c:v>1004.4871383750032</c:v>
                </c:pt>
                <c:pt idx="950">
                  <c:v>1004.7148980820875</c:v>
                </c:pt>
                <c:pt idx="951">
                  <c:v>1004.5336781850381</c:v>
                </c:pt>
                <c:pt idx="952">
                  <c:v>1004.4167811676226</c:v>
                </c:pt>
                <c:pt idx="953">
                  <c:v>1004.3046915228796</c:v>
                </c:pt>
                <c:pt idx="954">
                  <c:v>1004.2559215514578</c:v>
                </c:pt>
                <c:pt idx="955">
                  <c:v>1004.3049936052636</c:v>
                </c:pt>
                <c:pt idx="956">
                  <c:v>1004.2391185631514</c:v>
                </c:pt>
                <c:pt idx="957">
                  <c:v>1004.5468499965872</c:v>
                </c:pt>
                <c:pt idx="958">
                  <c:v>1004.8319974236044</c:v>
                </c:pt>
                <c:pt idx="959">
                  <c:v>1005.3651112778003</c:v>
                </c:pt>
                <c:pt idx="960">
                  <c:v>1005.3504091466752</c:v>
                </c:pt>
                <c:pt idx="961">
                  <c:v>1005.2282119324493</c:v>
                </c:pt>
                <c:pt idx="962">
                  <c:v>1005.8224396627011</c:v>
                </c:pt>
                <c:pt idx="963">
                  <c:v>1006.374152562003</c:v>
                </c:pt>
                <c:pt idx="964">
                  <c:v>1006.2625413485856</c:v>
                </c:pt>
                <c:pt idx="965">
                  <c:v>1006.0044586516335</c:v>
                </c:pt>
                <c:pt idx="966">
                  <c:v>1005.9483748647581</c:v>
                </c:pt>
                <c:pt idx="967">
                  <c:v>1006.0199042178579</c:v>
                </c:pt>
                <c:pt idx="968">
                  <c:v>1005.8422970443529</c:v>
                </c:pt>
                <c:pt idx="969">
                  <c:v>1006.322623108014</c:v>
                </c:pt>
                <c:pt idx="970">
                  <c:v>1006.7826092538404</c:v>
                </c:pt>
                <c:pt idx="971">
                  <c:v>1006.9252514664553</c:v>
                </c:pt>
                <c:pt idx="972">
                  <c:v>1007.0057964580892</c:v>
                </c:pt>
                <c:pt idx="973">
                  <c:v>1006.9803165336729</c:v>
                </c:pt>
                <c:pt idx="974">
                  <c:v>1007.3237378900828</c:v>
                </c:pt>
                <c:pt idx="975">
                  <c:v>1007.4005511664161</c:v>
                </c:pt>
                <c:pt idx="976">
                  <c:v>1007.42347657781</c:v>
                </c:pt>
                <c:pt idx="977">
                  <c:v>1007.8002610486622</c:v>
                </c:pt>
                <c:pt idx="978">
                  <c:v>1007.7044387067956</c:v>
                </c:pt>
                <c:pt idx="979">
                  <c:v>1007.4826719882911</c:v>
                </c:pt>
                <c:pt idx="980">
                  <c:v>1007.3156947138201</c:v>
                </c:pt>
                <c:pt idx="981">
                  <c:v>1006.9459107118284</c:v>
                </c:pt>
                <c:pt idx="982">
                  <c:v>1007.1777162252354</c:v>
                </c:pt>
                <c:pt idx="983">
                  <c:v>1007.2775391727205</c:v>
                </c:pt>
                <c:pt idx="984">
                  <c:v>1007.6333205877435</c:v>
                </c:pt>
                <c:pt idx="985">
                  <c:v>1007.8991025510983</c:v>
                </c:pt>
                <c:pt idx="986">
                  <c:v>1007.7548185779671</c:v>
                </c:pt>
                <c:pt idx="987">
                  <c:v>1008.1040363823855</c:v>
                </c:pt>
                <c:pt idx="988">
                  <c:v>1008.2069657471751</c:v>
                </c:pt>
                <c:pt idx="989">
                  <c:v>1008.5686561148785</c:v>
                </c:pt>
                <c:pt idx="990">
                  <c:v>1009.0184617810587</c:v>
                </c:pt>
                <c:pt idx="991">
                  <c:v>1008.7599856443339</c:v>
                </c:pt>
                <c:pt idx="992">
                  <c:v>1008.8392150971139</c:v>
                </c:pt>
                <c:pt idx="993">
                  <c:v>1008.815504502208</c:v>
                </c:pt>
                <c:pt idx="994">
                  <c:v>1008.5146978778515</c:v>
                </c:pt>
                <c:pt idx="995">
                  <c:v>1008.8886947855176</c:v>
                </c:pt>
                <c:pt idx="996">
                  <c:v>1009.1976437138422</c:v>
                </c:pt>
                <c:pt idx="997">
                  <c:v>1009.3967905896503</c:v>
                </c:pt>
                <c:pt idx="998">
                  <c:v>1009.72359452587</c:v>
                </c:pt>
                <c:pt idx="999">
                  <c:v>1009.3421159396432</c:v>
                </c:pt>
                <c:pt idx="1000">
                  <c:v>1009.3056309906735</c:v>
                </c:pt>
                <c:pt idx="1001">
                  <c:v>1009.4935125451535</c:v>
                </c:pt>
                <c:pt idx="1002">
                  <c:v>1009.6127355884673</c:v>
                </c:pt>
                <c:pt idx="1003">
                  <c:v>1009.9309856359495</c:v>
                </c:pt>
                <c:pt idx="1004">
                  <c:v>1009.6827039684508</c:v>
                </c:pt>
                <c:pt idx="1005">
                  <c:v>1009.4471853578327</c:v>
                </c:pt>
                <c:pt idx="1006">
                  <c:v>1009.7457058142968</c:v>
                </c:pt>
                <c:pt idx="1007">
                  <c:v>1010.1199115838083</c:v>
                </c:pt>
                <c:pt idx="1008">
                  <c:v>1010.4117040893528</c:v>
                </c:pt>
                <c:pt idx="1009">
                  <c:v>1010.6991801515378</c:v>
                </c:pt>
                <c:pt idx="1010">
                  <c:v>1010.3714141165328</c:v>
                </c:pt>
                <c:pt idx="1011">
                  <c:v>1010.4712653515794</c:v>
                </c:pt>
                <c:pt idx="1012">
                  <c:v>1010.4291291522416</c:v>
                </c:pt>
                <c:pt idx="1013">
                  <c:v>1010.2492225396794</c:v>
                </c:pt>
                <c:pt idx="1014">
                  <c:v>1010.6615244006014</c:v>
                </c:pt>
                <c:pt idx="1015">
                  <c:v>1010.9733606717907</c:v>
                </c:pt>
                <c:pt idx="1016">
                  <c:v>1011.2483145026704</c:v>
                </c:pt>
                <c:pt idx="1017">
                  <c:v>1011.449051120745</c:v>
                </c:pt>
                <c:pt idx="1018">
                  <c:v>1011.4035022189937</c:v>
                </c:pt>
                <c:pt idx="1019">
                  <c:v>1011.4384075457552</c:v>
                </c:pt>
                <c:pt idx="1020">
                  <c:v>1011.8181926905098</c:v>
                </c:pt>
                <c:pt idx="1021">
                  <c:v>1011.9255869662949</c:v>
                </c:pt>
                <c:pt idx="1022">
                  <c:v>1011.9853438943267</c:v>
                </c:pt>
                <c:pt idx="1023">
                  <c:v>1011.6738679173026</c:v>
                </c:pt>
                <c:pt idx="1024">
                  <c:v>1011.7988904732374</c:v>
                </c:pt>
                <c:pt idx="1025">
                  <c:v>1011.9048808807055</c:v>
                </c:pt>
                <c:pt idx="1026">
                  <c:v>1012.118058788918</c:v>
                </c:pt>
                <c:pt idx="1027">
                  <c:v>1012.704663809929</c:v>
                </c:pt>
                <c:pt idx="1028">
                  <c:v>1012.7539892781862</c:v>
                </c:pt>
                <c:pt idx="1029">
                  <c:v>1012.2782590833601</c:v>
                </c:pt>
                <c:pt idx="1030">
                  <c:v>1012.6400896773139</c:v>
                </c:pt>
                <c:pt idx="1031">
                  <c:v>1012.667800928434</c:v>
                </c:pt>
                <c:pt idx="1032">
                  <c:v>1013.0865946406018</c:v>
                </c:pt>
                <c:pt idx="1033">
                  <c:v>1013.2467866163609</c:v>
                </c:pt>
                <c:pt idx="1034">
                  <c:v>1013.2088317639308</c:v>
                </c:pt>
                <c:pt idx="1035">
                  <c:v>1013.5389323631832</c:v>
                </c:pt>
                <c:pt idx="1036">
                  <c:v>1013.5456635567442</c:v>
                </c:pt>
                <c:pt idx="1037">
                  <c:v>1013.7338870979411</c:v>
                </c:pt>
                <c:pt idx="1038">
                  <c:v>1013.7617939279636</c:v>
                </c:pt>
                <c:pt idx="1039">
                  <c:v>1013.4239913977308</c:v>
                </c:pt>
                <c:pt idx="1040">
                  <c:v>1013.8452499496157</c:v>
                </c:pt>
                <c:pt idx="1041">
                  <c:v>1013.8363054590916</c:v>
                </c:pt>
                <c:pt idx="1042">
                  <c:v>1013.7323742233456</c:v>
                </c:pt>
                <c:pt idx="1043">
                  <c:v>1013.9913379990601</c:v>
                </c:pt>
                <c:pt idx="1044">
                  <c:v>1014.0175803343299</c:v>
                </c:pt>
                <c:pt idx="1045">
                  <c:v>1014.1738594958307</c:v>
                </c:pt>
                <c:pt idx="1046">
                  <c:v>1014.5819918795455</c:v>
                </c:pt>
                <c:pt idx="1047">
                  <c:v>1014.7964617585044</c:v>
                </c:pt>
                <c:pt idx="1048">
                  <c:v>1014.7590052372703</c:v>
                </c:pt>
                <c:pt idx="1049">
                  <c:v>1015.0093078810331</c:v>
                </c:pt>
                <c:pt idx="1050">
                  <c:v>1014.7833480718133</c:v>
                </c:pt>
                <c:pt idx="1051">
                  <c:v>1014.9068303526333</c:v>
                </c:pt>
                <c:pt idx="1052">
                  <c:v>1015.0167419877774</c:v>
                </c:pt>
                <c:pt idx="1053">
                  <c:v>1015.07077469744</c:v>
                </c:pt>
                <c:pt idx="1054">
                  <c:v>1015.3716736853743</c:v>
                </c:pt>
                <c:pt idx="1055">
                  <c:v>1015.3599098260129</c:v>
                </c:pt>
                <c:pt idx="1056">
                  <c:v>1014.7851316823387</c:v>
                </c:pt>
                <c:pt idx="1057">
                  <c:v>1015.0309722395365</c:v>
                </c:pt>
                <c:pt idx="1058">
                  <c:v>1014.4056546809001</c:v>
                </c:pt>
                <c:pt idx="1059">
                  <c:v>1014.6237801224969</c:v>
                </c:pt>
                <c:pt idx="1060">
                  <c:v>1015.0079867433302</c:v>
                </c:pt>
                <c:pt idx="1061">
                  <c:v>1015.1313375112862</c:v>
                </c:pt>
                <c:pt idx="1062">
                  <c:v>1015.4124211019456</c:v>
                </c:pt>
                <c:pt idx="1063">
                  <c:v>1015.3755138269966</c:v>
                </c:pt>
                <c:pt idx="1064">
                  <c:v>1015.3101935698685</c:v>
                </c:pt>
                <c:pt idx="1065">
                  <c:v>1015.8526043193606</c:v>
                </c:pt>
                <c:pt idx="1066">
                  <c:v>1016.3436370783998</c:v>
                </c:pt>
                <c:pt idx="1067">
                  <c:v>1016.792751273003</c:v>
                </c:pt>
                <c:pt idx="1068">
                  <c:v>1016.5396341732607</c:v>
                </c:pt>
                <c:pt idx="1069">
                  <c:v>1016.3420977586958</c:v>
                </c:pt>
                <c:pt idx="1070">
                  <c:v>1016.399609048685</c:v>
                </c:pt>
                <c:pt idx="1071">
                  <c:v>1016.4051928933155</c:v>
                </c:pt>
                <c:pt idx="1072">
                  <c:v>1016.5246313801117</c:v>
                </c:pt>
                <c:pt idx="1073">
                  <c:v>1016.4642484759911</c:v>
                </c:pt>
                <c:pt idx="1074">
                  <c:v>1016.4477851183375</c:v>
                </c:pt>
                <c:pt idx="1075">
                  <c:v>1016.5108536416047</c:v>
                </c:pt>
                <c:pt idx="1076">
                  <c:v>1016.6775450076302</c:v>
                </c:pt>
                <c:pt idx="1077">
                  <c:v>1017.1366143513187</c:v>
                </c:pt>
                <c:pt idx="1078">
                  <c:v>1017.4663062179795</c:v>
                </c:pt>
                <c:pt idx="1079">
                  <c:v>1017.4629324132583</c:v>
                </c:pt>
                <c:pt idx="1080">
                  <c:v>1017.4010004538001</c:v>
                </c:pt>
                <c:pt idx="1081">
                  <c:v>1017.8178713179562</c:v>
                </c:pt>
                <c:pt idx="1082">
                  <c:v>1017.8159352406014</c:v>
                </c:pt>
                <c:pt idx="1083">
                  <c:v>1018.0108008137059</c:v>
                </c:pt>
                <c:pt idx="1084">
                  <c:v>1018.6011504796891</c:v>
                </c:pt>
                <c:pt idx="1085">
                  <c:v>1018.4781261465217</c:v>
                </c:pt>
                <c:pt idx="1086">
                  <c:v>1018.7256515609033</c:v>
                </c:pt>
                <c:pt idx="1087">
                  <c:v>1018.9005260127025</c:v>
                </c:pt>
                <c:pt idx="1088">
                  <c:v>1018.5522331249306</c:v>
                </c:pt>
                <c:pt idx="1089">
                  <c:v>1018.8455010613304</c:v>
                </c:pt>
                <c:pt idx="1090">
                  <c:v>1018.6257310394059</c:v>
                </c:pt>
                <c:pt idx="1091">
                  <c:v>1018.6388409475308</c:v>
                </c:pt>
                <c:pt idx="1092">
                  <c:v>1019.2227876782146</c:v>
                </c:pt>
                <c:pt idx="1093">
                  <c:v>1019.2300630399086</c:v>
                </c:pt>
                <c:pt idx="1094">
                  <c:v>1019.3226428525068</c:v>
                </c:pt>
                <c:pt idx="1095">
                  <c:v>1019.0655988657011</c:v>
                </c:pt>
                <c:pt idx="1096">
                  <c:v>1019.1444079513342</c:v>
                </c:pt>
                <c:pt idx="1097">
                  <c:v>1019.6509036660591</c:v>
                </c:pt>
                <c:pt idx="1098">
                  <c:v>1019.6102562469893</c:v>
                </c:pt>
                <c:pt idx="1099">
                  <c:v>1019.5664980079285</c:v>
                </c:pt>
                <c:pt idx="1100">
                  <c:v>1019.3749065639004</c:v>
                </c:pt>
                <c:pt idx="1101">
                  <c:v>1019.3286788333345</c:v>
                </c:pt>
                <c:pt idx="1102">
                  <c:v>1019.972695058244</c:v>
                </c:pt>
                <c:pt idx="1103">
                  <c:v>1019.9112985755398</c:v>
                </c:pt>
                <c:pt idx="1104">
                  <c:v>1020.0368888728301</c:v>
                </c:pt>
                <c:pt idx="1105">
                  <c:v>1020.2336914033265</c:v>
                </c:pt>
                <c:pt idx="1106">
                  <c:v>1019.6332721843693</c:v>
                </c:pt>
                <c:pt idx="1107">
                  <c:v>1019.8895961070718</c:v>
                </c:pt>
                <c:pt idx="1108">
                  <c:v>1020.0139737681068</c:v>
                </c:pt>
                <c:pt idx="1109">
                  <c:v>1020.2487108033682</c:v>
                </c:pt>
                <c:pt idx="1110">
                  <c:v>1020.4956558915806</c:v>
                </c:pt>
                <c:pt idx="1111">
                  <c:v>1020.3983455716118</c:v>
                </c:pt>
                <c:pt idx="1112">
                  <c:v>1020.2593081893283</c:v>
                </c:pt>
                <c:pt idx="1113">
                  <c:v>1020.3423493914208</c:v>
                </c:pt>
                <c:pt idx="1114">
                  <c:v>1020.1958897913648</c:v>
                </c:pt>
                <c:pt idx="1115">
                  <c:v>1020.4443601488183</c:v>
                </c:pt>
                <c:pt idx="1116">
                  <c:v>1020.5272168740374</c:v>
                </c:pt>
                <c:pt idx="1117">
                  <c:v>1021.0787956876513</c:v>
                </c:pt>
                <c:pt idx="1118">
                  <c:v>1021.1710858019969</c:v>
                </c:pt>
                <c:pt idx="1119">
                  <c:v>1021.4229926182245</c:v>
                </c:pt>
                <c:pt idx="1120">
                  <c:v>1021.2677746734647</c:v>
                </c:pt>
                <c:pt idx="1121">
                  <c:v>1021.535197424825</c:v>
                </c:pt>
                <c:pt idx="1122">
                  <c:v>1021.2104008568579</c:v>
                </c:pt>
                <c:pt idx="1123">
                  <c:v>1021.5289972416471</c:v>
                </c:pt>
                <c:pt idx="1124">
                  <c:v>1021.6036167529365</c:v>
                </c:pt>
                <c:pt idx="1125">
                  <c:v>1021.6974779948814</c:v>
                </c:pt>
                <c:pt idx="1126">
                  <c:v>1021.8657053446665</c:v>
                </c:pt>
                <c:pt idx="1127">
                  <c:v>1021.8516059391914</c:v>
                </c:pt>
                <c:pt idx="1128">
                  <c:v>1021.6663334672779</c:v>
                </c:pt>
                <c:pt idx="1129">
                  <c:v>1022.0560117138821</c:v>
                </c:pt>
                <c:pt idx="1130">
                  <c:v>1021.49140911772</c:v>
                </c:pt>
                <c:pt idx="1131">
                  <c:v>1021.6401772809298</c:v>
                </c:pt>
                <c:pt idx="1132">
                  <c:v>1021.8236836925972</c:v>
                </c:pt>
                <c:pt idx="1133">
                  <c:v>1021.7867299790169</c:v>
                </c:pt>
                <c:pt idx="1134">
                  <c:v>1022.0208265825496</c:v>
                </c:pt>
                <c:pt idx="1135">
                  <c:v>1022.2173453101813</c:v>
                </c:pt>
                <c:pt idx="1136">
                  <c:v>1022.6028789677212</c:v>
                </c:pt>
                <c:pt idx="1137">
                  <c:v>1022.7795061802314</c:v>
                </c:pt>
                <c:pt idx="1138">
                  <c:v>1022.4764704684989</c:v>
                </c:pt>
                <c:pt idx="1139">
                  <c:v>1022.4371120665202</c:v>
                </c:pt>
                <c:pt idx="1140">
                  <c:v>1022.7353502091108</c:v>
                </c:pt>
                <c:pt idx="1141">
                  <c:v>1023.0723500862163</c:v>
                </c:pt>
                <c:pt idx="1142">
                  <c:v>1022.8374652773044</c:v>
                </c:pt>
                <c:pt idx="1143">
                  <c:v>1022.7732796554493</c:v>
                </c:pt>
                <c:pt idx="1144">
                  <c:v>1023.0330547715063</c:v>
                </c:pt>
                <c:pt idx="1145">
                  <c:v>1023.4120216550212</c:v>
                </c:pt>
                <c:pt idx="1146">
                  <c:v>1023.390524260619</c:v>
                </c:pt>
                <c:pt idx="1147">
                  <c:v>1023.4979066351359</c:v>
                </c:pt>
                <c:pt idx="1148">
                  <c:v>1023.7377196692995</c:v>
                </c:pt>
                <c:pt idx="1149">
                  <c:v>1024.1839683679341</c:v>
                </c:pt>
                <c:pt idx="1150">
                  <c:v>1024.8790716423212</c:v>
                </c:pt>
                <c:pt idx="1151">
                  <c:v>1024.6652868105568</c:v>
                </c:pt>
                <c:pt idx="1152">
                  <c:v>1024.0493253703103</c:v>
                </c:pt>
                <c:pt idx="1153">
                  <c:v>1024.1502031457858</c:v>
                </c:pt>
                <c:pt idx="1154">
                  <c:v>1024.2592988092524</c:v>
                </c:pt>
                <c:pt idx="1155">
                  <c:v>1024.6455839068324</c:v>
                </c:pt>
                <c:pt idx="1156">
                  <c:v>1024.6198015785833</c:v>
                </c:pt>
                <c:pt idx="1157">
                  <c:v>1024.546147314303</c:v>
                </c:pt>
                <c:pt idx="1158">
                  <c:v>1024.5367450246852</c:v>
                </c:pt>
                <c:pt idx="1159">
                  <c:v>1024.7301328780911</c:v>
                </c:pt>
                <c:pt idx="1160">
                  <c:v>1025.0517430728478</c:v>
                </c:pt>
                <c:pt idx="1161">
                  <c:v>1025.1325035558907</c:v>
                </c:pt>
                <c:pt idx="1162">
                  <c:v>1025.0289961029223</c:v>
                </c:pt>
                <c:pt idx="1163">
                  <c:v>1024.8559907783081</c:v>
                </c:pt>
                <c:pt idx="1164">
                  <c:v>1025.251135595023</c:v>
                </c:pt>
                <c:pt idx="1165">
                  <c:v>1025.2124406666351</c:v>
                </c:pt>
                <c:pt idx="1166">
                  <c:v>1025.4626105362281</c:v>
                </c:pt>
                <c:pt idx="1167">
                  <c:v>1025.6528064714885</c:v>
                </c:pt>
                <c:pt idx="1168">
                  <c:v>1026.1209060734841</c:v>
                </c:pt>
                <c:pt idx="1169">
                  <c:v>1026.4640941653772</c:v>
                </c:pt>
                <c:pt idx="1170">
                  <c:v>1025.9638460624994</c:v>
                </c:pt>
                <c:pt idx="1171">
                  <c:v>1025.9800893166059</c:v>
                </c:pt>
                <c:pt idx="1172">
                  <c:v>1026.4629574204944</c:v>
                </c:pt>
                <c:pt idx="1173">
                  <c:v>1026.269142471582</c:v>
                </c:pt>
                <c:pt idx="1174">
                  <c:v>1026.7122965290666</c:v>
                </c:pt>
                <c:pt idx="1175">
                  <c:v>1026.3945239206118</c:v>
                </c:pt>
                <c:pt idx="1176">
                  <c:v>1026.5480337975177</c:v>
                </c:pt>
                <c:pt idx="1177">
                  <c:v>1026.5307611205756</c:v>
                </c:pt>
                <c:pt idx="1178">
                  <c:v>1026.4722310978266</c:v>
                </c:pt>
                <c:pt idx="1179">
                  <c:v>1026.4219015336371</c:v>
                </c:pt>
                <c:pt idx="1180">
                  <c:v>1026.8186935831275</c:v>
                </c:pt>
                <c:pt idx="1181">
                  <c:v>1026.6556710116597</c:v>
                </c:pt>
                <c:pt idx="1182">
                  <c:v>1026.9706942088567</c:v>
                </c:pt>
                <c:pt idx="1183">
                  <c:v>1027.3207260878175</c:v>
                </c:pt>
                <c:pt idx="1184">
                  <c:v>1026.9720106792947</c:v>
                </c:pt>
                <c:pt idx="1185">
                  <c:v>1026.8956959993243</c:v>
                </c:pt>
                <c:pt idx="1186">
                  <c:v>1026.6996848913434</c:v>
                </c:pt>
                <c:pt idx="1187">
                  <c:v>1026.6615461243505</c:v>
                </c:pt>
                <c:pt idx="1188">
                  <c:v>1027.0172740534679</c:v>
                </c:pt>
                <c:pt idx="1189">
                  <c:v>1026.9704248318687</c:v>
                </c:pt>
                <c:pt idx="1190">
                  <c:v>1027.2753789733858</c:v>
                </c:pt>
                <c:pt idx="1191">
                  <c:v>1027.2300415997081</c:v>
                </c:pt>
                <c:pt idx="1192">
                  <c:v>1027.0844950150715</c:v>
                </c:pt>
                <c:pt idx="1193">
                  <c:v>1027.3497950561175</c:v>
                </c:pt>
                <c:pt idx="1194">
                  <c:v>1027.3501168929861</c:v>
                </c:pt>
                <c:pt idx="1195">
                  <c:v>1027.5023213585794</c:v>
                </c:pt>
                <c:pt idx="1196">
                  <c:v>1027.4043545914242</c:v>
                </c:pt>
                <c:pt idx="1197">
                  <c:v>1027.1219116359348</c:v>
                </c:pt>
                <c:pt idx="1198">
                  <c:v>1027.6428159741199</c:v>
                </c:pt>
                <c:pt idx="1199">
                  <c:v>1027.6016974809704</c:v>
                </c:pt>
                <c:pt idx="1200">
                  <c:v>1027.5205257256805</c:v>
                </c:pt>
                <c:pt idx="1201">
                  <c:v>1027.8937595616585</c:v>
                </c:pt>
                <c:pt idx="1202">
                  <c:v>1027.4717458507087</c:v>
                </c:pt>
                <c:pt idx="1203">
                  <c:v>1028.1139223009654</c:v>
                </c:pt>
                <c:pt idx="1204">
                  <c:v>1028.3700408431789</c:v>
                </c:pt>
                <c:pt idx="1205">
                  <c:v>1028.470484327667</c:v>
                </c:pt>
                <c:pt idx="1206">
                  <c:v>1029.0092304639411</c:v>
                </c:pt>
                <c:pt idx="1207">
                  <c:v>1028.8543821863893</c:v>
                </c:pt>
                <c:pt idx="1208">
                  <c:v>1029.0684960832109</c:v>
                </c:pt>
                <c:pt idx="1209">
                  <c:v>1029.3725524498248</c:v>
                </c:pt>
                <c:pt idx="1210">
                  <c:v>1029.1945376693186</c:v>
                </c:pt>
                <c:pt idx="1211">
                  <c:v>1029.0943886190855</c:v>
                </c:pt>
                <c:pt idx="1212">
                  <c:v>1029.1489937023214</c:v>
                </c:pt>
                <c:pt idx="1213">
                  <c:v>1029.0100484681211</c:v>
                </c:pt>
                <c:pt idx="1214">
                  <c:v>1029.6293781943405</c:v>
                </c:pt>
                <c:pt idx="1215">
                  <c:v>1029.5258695316757</c:v>
                </c:pt>
                <c:pt idx="1216">
                  <c:v>1029.6376361122286</c:v>
                </c:pt>
                <c:pt idx="1217">
                  <c:v>1029.8499622640688</c:v>
                </c:pt>
                <c:pt idx="1218">
                  <c:v>1029.8451462824285</c:v>
                </c:pt>
                <c:pt idx="1219">
                  <c:v>1030.0437519605332</c:v>
                </c:pt>
                <c:pt idx="1220">
                  <c:v>1030.0206451923561</c:v>
                </c:pt>
                <c:pt idx="1221">
                  <c:v>1029.7807447461175</c:v>
                </c:pt>
                <c:pt idx="1222">
                  <c:v>1029.8722419905271</c:v>
                </c:pt>
                <c:pt idx="1223">
                  <c:v>1029.6658886771486</c:v>
                </c:pt>
                <c:pt idx="1224">
                  <c:v>1029.4680009460378</c:v>
                </c:pt>
                <c:pt idx="1225">
                  <c:v>1029.9909113865378</c:v>
                </c:pt>
                <c:pt idx="1226">
                  <c:v>1030.2932577085135</c:v>
                </c:pt>
                <c:pt idx="1227">
                  <c:v>1030.8552680843409</c:v>
                </c:pt>
                <c:pt idx="1228">
                  <c:v>1030.6414658771814</c:v>
                </c:pt>
                <c:pt idx="1229">
                  <c:v>1030.5298309343277</c:v>
                </c:pt>
                <c:pt idx="1230">
                  <c:v>1030.6246145189243</c:v>
                </c:pt>
                <c:pt idx="1231">
                  <c:v>1031.1277936304741</c:v>
                </c:pt>
                <c:pt idx="1232">
                  <c:v>1031.2115755513632</c:v>
                </c:pt>
                <c:pt idx="1233">
                  <c:v>1031.6520335745122</c:v>
                </c:pt>
                <c:pt idx="1234">
                  <c:v>1031.2549671111183</c:v>
                </c:pt>
                <c:pt idx="1235">
                  <c:v>1030.8897702978893</c:v>
                </c:pt>
                <c:pt idx="1236">
                  <c:v>1030.9348944292008</c:v>
                </c:pt>
                <c:pt idx="1237">
                  <c:v>1030.8339535973753</c:v>
                </c:pt>
                <c:pt idx="1238">
                  <c:v>1031.2914330343792</c:v>
                </c:pt>
                <c:pt idx="1239">
                  <c:v>1031.6398348101291</c:v>
                </c:pt>
                <c:pt idx="1240">
                  <c:v>1031.7334688071576</c:v>
                </c:pt>
                <c:pt idx="1241">
                  <c:v>1031.7016252547326</c:v>
                </c:pt>
                <c:pt idx="1242">
                  <c:v>1031.1139059446568</c:v>
                </c:pt>
                <c:pt idx="1243">
                  <c:v>1031.1911773252605</c:v>
                </c:pt>
                <c:pt idx="1244">
                  <c:v>1031.450775601756</c:v>
                </c:pt>
                <c:pt idx="1245">
                  <c:v>1031.4488939224088</c:v>
                </c:pt>
                <c:pt idx="1246">
                  <c:v>1031.7128218641944</c:v>
                </c:pt>
                <c:pt idx="1247">
                  <c:v>1031.306541836964</c:v>
                </c:pt>
                <c:pt idx="1248">
                  <c:v>1031.3922058201019</c:v>
                </c:pt>
                <c:pt idx="1249">
                  <c:v>1031.7426502515007</c:v>
                </c:pt>
                <c:pt idx="1250">
                  <c:v>1032.2327788540501</c:v>
                </c:pt>
                <c:pt idx="1251">
                  <c:v>1032.6212369363559</c:v>
                </c:pt>
                <c:pt idx="1252">
                  <c:v>1033.028716495731</c:v>
                </c:pt>
                <c:pt idx="1253">
                  <c:v>1032.3339950411153</c:v>
                </c:pt>
                <c:pt idx="1254">
                  <c:v>1032.587800759155</c:v>
                </c:pt>
                <c:pt idx="1255">
                  <c:v>1032.0670412554191</c:v>
                </c:pt>
                <c:pt idx="1256">
                  <c:v>1032.5003782858278</c:v>
                </c:pt>
                <c:pt idx="1257">
                  <c:v>1033.1450588201683</c:v>
                </c:pt>
                <c:pt idx="1258">
                  <c:v>1033.2998468971271</c:v>
                </c:pt>
                <c:pt idx="1259">
                  <c:v>1033.0741791759883</c:v>
                </c:pt>
                <c:pt idx="1260">
                  <c:v>1033.3948414870351</c:v>
                </c:pt>
                <c:pt idx="1261">
                  <c:v>1032.9831723756283</c:v>
                </c:pt>
                <c:pt idx="1262">
                  <c:v>1032.8563253701732</c:v>
                </c:pt>
                <c:pt idx="1263">
                  <c:v>1032.9774796171143</c:v>
                </c:pt>
                <c:pt idx="1264">
                  <c:v>1033.2407588898882</c:v>
                </c:pt>
                <c:pt idx="1265">
                  <c:v>1033.0850353387832</c:v>
                </c:pt>
                <c:pt idx="1266">
                  <c:v>1033.2671824737233</c:v>
                </c:pt>
                <c:pt idx="1267">
                  <c:v>1033.635665030441</c:v>
                </c:pt>
                <c:pt idx="1268">
                  <c:v>1034.1668367533489</c:v>
                </c:pt>
                <c:pt idx="1269">
                  <c:v>1034.1478100345851</c:v>
                </c:pt>
                <c:pt idx="1270">
                  <c:v>1034.0643601759025</c:v>
                </c:pt>
                <c:pt idx="1271">
                  <c:v>1034.3482933478854</c:v>
                </c:pt>
                <c:pt idx="1272">
                  <c:v>1034.3212240945275</c:v>
                </c:pt>
                <c:pt idx="1273">
                  <c:v>1034.2714002828004</c:v>
                </c:pt>
                <c:pt idx="1274">
                  <c:v>1034.2398523051095</c:v>
                </c:pt>
                <c:pt idx="1275">
                  <c:v>1034.0547122139287</c:v>
                </c:pt>
                <c:pt idx="1276">
                  <c:v>1034.4053360237456</c:v>
                </c:pt>
                <c:pt idx="1277">
                  <c:v>1034.6447107931365</c:v>
                </c:pt>
                <c:pt idx="1278">
                  <c:v>1034.975577558497</c:v>
                </c:pt>
                <c:pt idx="1279">
                  <c:v>1034.7180073068334</c:v>
                </c:pt>
                <c:pt idx="1280">
                  <c:v>1034.164581978758</c:v>
                </c:pt>
                <c:pt idx="1281">
                  <c:v>1034.3735826569809</c:v>
                </c:pt>
                <c:pt idx="1282">
                  <c:v>1034.4410957097057</c:v>
                </c:pt>
                <c:pt idx="1283">
                  <c:v>1034.9793924934315</c:v>
                </c:pt>
                <c:pt idx="1284">
                  <c:v>1035.1940636145955</c:v>
                </c:pt>
                <c:pt idx="1285">
                  <c:v>1035.1243719314871</c:v>
                </c:pt>
                <c:pt idx="1286">
                  <c:v>1034.8843303157628</c:v>
                </c:pt>
                <c:pt idx="1287">
                  <c:v>1034.7376314036292</c:v>
                </c:pt>
                <c:pt idx="1288">
                  <c:v>1034.7325384521778</c:v>
                </c:pt>
                <c:pt idx="1289">
                  <c:v>1035.4123526048854</c:v>
                </c:pt>
                <c:pt idx="1290">
                  <c:v>1035.8133027928027</c:v>
                </c:pt>
                <c:pt idx="1291">
                  <c:v>1035.8532423463544</c:v>
                </c:pt>
                <c:pt idx="1292">
                  <c:v>1036.1451740201255</c:v>
                </c:pt>
                <c:pt idx="1293">
                  <c:v>1036.0788275740574</c:v>
                </c:pt>
                <c:pt idx="1294">
                  <c:v>1036.0513657978136</c:v>
                </c:pt>
                <c:pt idx="1295">
                  <c:v>1036.3321754868136</c:v>
                </c:pt>
                <c:pt idx="1296">
                  <c:v>1035.9581283457942</c:v>
                </c:pt>
                <c:pt idx="1297">
                  <c:v>1036.0538846408253</c:v>
                </c:pt>
                <c:pt idx="1298">
                  <c:v>1036.1398715481466</c:v>
                </c:pt>
                <c:pt idx="1299">
                  <c:v>1035.7372047878132</c:v>
                </c:pt>
                <c:pt idx="1300">
                  <c:v>1036.1082963159279</c:v>
                </c:pt>
                <c:pt idx="1301">
                  <c:v>1035.9108289293879</c:v>
                </c:pt>
                <c:pt idx="1302">
                  <c:v>1036.2413273529457</c:v>
                </c:pt>
                <c:pt idx="1303">
                  <c:v>1036.2414264567205</c:v>
                </c:pt>
                <c:pt idx="1304">
                  <c:v>1036.1943759362007</c:v>
                </c:pt>
                <c:pt idx="1305">
                  <c:v>1036.4884276504606</c:v>
                </c:pt>
                <c:pt idx="1306">
                  <c:v>1036.4215435969754</c:v>
                </c:pt>
                <c:pt idx="1307">
                  <c:v>1036.4094292685625</c:v>
                </c:pt>
                <c:pt idx="1308">
                  <c:v>1036.9317079391753</c:v>
                </c:pt>
                <c:pt idx="1309">
                  <c:v>1037.0286509444147</c:v>
                </c:pt>
                <c:pt idx="1310">
                  <c:v>1037.2202332696102</c:v>
                </c:pt>
                <c:pt idx="1311">
                  <c:v>1037.1175710098032</c:v>
                </c:pt>
                <c:pt idx="1312">
                  <c:v>1037.0298422383808</c:v>
                </c:pt>
                <c:pt idx="1313">
                  <c:v>1037.7085733131407</c:v>
                </c:pt>
                <c:pt idx="1314">
                  <c:v>1037.8926558976475</c:v>
                </c:pt>
                <c:pt idx="1315">
                  <c:v>1038.0439424082781</c:v>
                </c:pt>
                <c:pt idx="1316">
                  <c:v>1038.6404764629428</c:v>
                </c:pt>
                <c:pt idx="1317">
                  <c:v>1038.5096174823889</c:v>
                </c:pt>
                <c:pt idx="1318">
                  <c:v>1038.6372639327362</c:v>
                </c:pt>
                <c:pt idx="1319">
                  <c:v>1038.2831977678086</c:v>
                </c:pt>
                <c:pt idx="1320">
                  <c:v>1037.7371847604752</c:v>
                </c:pt>
                <c:pt idx="1321">
                  <c:v>1037.9090127344011</c:v>
                </c:pt>
                <c:pt idx="1322">
                  <c:v>1038.0580688089099</c:v>
                </c:pt>
                <c:pt idx="1323">
                  <c:v>1038.0841332558646</c:v>
                </c:pt>
                <c:pt idx="1324">
                  <c:v>1038.4206187949271</c:v>
                </c:pt>
                <c:pt idx="1325">
                  <c:v>1037.9943019257187</c:v>
                </c:pt>
                <c:pt idx="1326">
                  <c:v>1038.0795984472688</c:v>
                </c:pt>
                <c:pt idx="1327">
                  <c:v>1038.1368688612631</c:v>
                </c:pt>
                <c:pt idx="1328">
                  <c:v>1038.3867725879984</c:v>
                </c:pt>
                <c:pt idx="1329">
                  <c:v>1038.6513721670476</c:v>
                </c:pt>
                <c:pt idx="1330">
                  <c:v>1038.4251822777092</c:v>
                </c:pt>
                <c:pt idx="1331">
                  <c:v>1038.3128121654083</c:v>
                </c:pt>
                <c:pt idx="1332">
                  <c:v>1038.6840536531463</c:v>
                </c:pt>
                <c:pt idx="1333">
                  <c:v>1039.0743612892916</c:v>
                </c:pt>
                <c:pt idx="1334">
                  <c:v>1038.9927760689541</c:v>
                </c:pt>
                <c:pt idx="1335">
                  <c:v>1038.8794808680977</c:v>
                </c:pt>
                <c:pt idx="1336">
                  <c:v>1039.0664751197805</c:v>
                </c:pt>
                <c:pt idx="1337">
                  <c:v>1038.9803503466917</c:v>
                </c:pt>
                <c:pt idx="1338">
                  <c:v>1038.786873823042</c:v>
                </c:pt>
                <c:pt idx="1339">
                  <c:v>1038.8578832606681</c:v>
                </c:pt>
                <c:pt idx="1340">
                  <c:v>1039.1833663804121</c:v>
                </c:pt>
                <c:pt idx="1341">
                  <c:v>1039.0724383484085</c:v>
                </c:pt>
                <c:pt idx="1342">
                  <c:v>1039.6615507053591</c:v>
                </c:pt>
                <c:pt idx="1343">
                  <c:v>1039.4923243467965</c:v>
                </c:pt>
                <c:pt idx="1344">
                  <c:v>1039.1764792499546</c:v>
                </c:pt>
                <c:pt idx="1345">
                  <c:v>1039.6941085729718</c:v>
                </c:pt>
                <c:pt idx="1346">
                  <c:v>1039.6513522509417</c:v>
                </c:pt>
                <c:pt idx="1347">
                  <c:v>1039.9186711613772</c:v>
                </c:pt>
                <c:pt idx="1348">
                  <c:v>1040.2204590559079</c:v>
                </c:pt>
                <c:pt idx="1349">
                  <c:v>1040.2086567989045</c:v>
                </c:pt>
                <c:pt idx="1350">
                  <c:v>1040.0191166459504</c:v>
                </c:pt>
                <c:pt idx="1351">
                  <c:v>1039.6924084440204</c:v>
                </c:pt>
                <c:pt idx="1352">
                  <c:v>1039.3585042224622</c:v>
                </c:pt>
                <c:pt idx="1353">
                  <c:v>1039.9418220376858</c:v>
                </c:pt>
                <c:pt idx="1354">
                  <c:v>1039.7600517431504</c:v>
                </c:pt>
                <c:pt idx="1355">
                  <c:v>1040.0230510060348</c:v>
                </c:pt>
                <c:pt idx="1356">
                  <c:v>1039.9573170301617</c:v>
                </c:pt>
                <c:pt idx="1357">
                  <c:v>1039.9499287993792</c:v>
                </c:pt>
                <c:pt idx="1358">
                  <c:v>1040.2263598371026</c:v>
                </c:pt>
                <c:pt idx="1359">
                  <c:v>1040.4535464918977</c:v>
                </c:pt>
                <c:pt idx="1360">
                  <c:v>1040.4504122048097</c:v>
                </c:pt>
                <c:pt idx="1361">
                  <c:v>1040.6968103353101</c:v>
                </c:pt>
                <c:pt idx="1362">
                  <c:v>1040.786583924302</c:v>
                </c:pt>
                <c:pt idx="1363">
                  <c:v>1040.7652392048897</c:v>
                </c:pt>
                <c:pt idx="1364">
                  <c:v>1041.2985265189993</c:v>
                </c:pt>
                <c:pt idx="1365">
                  <c:v>1041.4959680136344</c:v>
                </c:pt>
                <c:pt idx="1366">
                  <c:v>1041.8031775932977</c:v>
                </c:pt>
                <c:pt idx="1367">
                  <c:v>1041.8569565425105</c:v>
                </c:pt>
                <c:pt idx="1368">
                  <c:v>1041.682373331214</c:v>
                </c:pt>
                <c:pt idx="1369">
                  <c:v>1041.8243320505082</c:v>
                </c:pt>
                <c:pt idx="1370">
                  <c:v>1041.4511696016114</c:v>
                </c:pt>
                <c:pt idx="1371">
                  <c:v>1041.4264347545309</c:v>
                </c:pt>
                <c:pt idx="1372">
                  <c:v>1041.9027040609735</c:v>
                </c:pt>
                <c:pt idx="1373">
                  <c:v>1042.0097587696935</c:v>
                </c:pt>
                <c:pt idx="1374">
                  <c:v>1042.5015146965754</c:v>
                </c:pt>
                <c:pt idx="1375">
                  <c:v>1042.2616377939144</c:v>
                </c:pt>
                <c:pt idx="1376">
                  <c:v>1041.8905218212776</c:v>
                </c:pt>
                <c:pt idx="1377">
                  <c:v>1041.9766862052429</c:v>
                </c:pt>
                <c:pt idx="1378">
                  <c:v>1042.0665093691291</c:v>
                </c:pt>
                <c:pt idx="1379">
                  <c:v>1042.5808380264032</c:v>
                </c:pt>
                <c:pt idx="1380">
                  <c:v>1042.9974442059652</c:v>
                </c:pt>
                <c:pt idx="1381">
                  <c:v>1042.8532528865603</c:v>
                </c:pt>
                <c:pt idx="1382">
                  <c:v>1042.9258003807813</c:v>
                </c:pt>
                <c:pt idx="1383">
                  <c:v>1042.8770175605514</c:v>
                </c:pt>
                <c:pt idx="1384">
                  <c:v>1042.8575779804937</c:v>
                </c:pt>
                <c:pt idx="1385">
                  <c:v>1042.9851465281231</c:v>
                </c:pt>
                <c:pt idx="1386">
                  <c:v>1042.7523239065949</c:v>
                </c:pt>
                <c:pt idx="1387">
                  <c:v>1042.7976859725923</c:v>
                </c:pt>
                <c:pt idx="1388">
                  <c:v>1042.4986674712009</c:v>
                </c:pt>
                <c:pt idx="1389">
                  <c:v>1042.3085004475813</c:v>
                </c:pt>
                <c:pt idx="1390">
                  <c:v>1042.7615339500794</c:v>
                </c:pt>
                <c:pt idx="1391">
                  <c:v>1042.777434292833</c:v>
                </c:pt>
                <c:pt idx="1392">
                  <c:v>1042.7481243560962</c:v>
                </c:pt>
                <c:pt idx="1393">
                  <c:v>1042.8190935449411</c:v>
                </c:pt>
                <c:pt idx="1394">
                  <c:v>1042.8852891489878</c:v>
                </c:pt>
                <c:pt idx="1395">
                  <c:v>1042.6295513865537</c:v>
                </c:pt>
                <c:pt idx="1396">
                  <c:v>1042.8876804747342</c:v>
                </c:pt>
                <c:pt idx="1397">
                  <c:v>1043.0111671642296</c:v>
                </c:pt>
                <c:pt idx="1398">
                  <c:v>1043.4378454814448</c:v>
                </c:pt>
                <c:pt idx="1399">
                  <c:v>1043.9923648641029</c:v>
                </c:pt>
                <c:pt idx="1400">
                  <c:v>1043.8826184877767</c:v>
                </c:pt>
                <c:pt idx="1401">
                  <c:v>1043.5236443106105</c:v>
                </c:pt>
                <c:pt idx="1402">
                  <c:v>1043.8918664945757</c:v>
                </c:pt>
                <c:pt idx="1403">
                  <c:v>1044.0259157255889</c:v>
                </c:pt>
                <c:pt idx="1404">
                  <c:v>1044.7042532072287</c:v>
                </c:pt>
                <c:pt idx="1405">
                  <c:v>1044.4158695316189</c:v>
                </c:pt>
                <c:pt idx="1406">
                  <c:v>1044.5241358476101</c:v>
                </c:pt>
                <c:pt idx="1407">
                  <c:v>1044.4787743776742</c:v>
                </c:pt>
                <c:pt idx="1408">
                  <c:v>1044.299246946938</c:v>
                </c:pt>
                <c:pt idx="1409">
                  <c:v>1044.3518884872767</c:v>
                </c:pt>
                <c:pt idx="1410">
                  <c:v>1044.5138454243327</c:v>
                </c:pt>
                <c:pt idx="1411">
                  <c:v>1044.4670653978446</c:v>
                </c:pt>
                <c:pt idx="1412">
                  <c:v>1044.6079355646823</c:v>
                </c:pt>
                <c:pt idx="1413">
                  <c:v>1044.7905006789001</c:v>
                </c:pt>
                <c:pt idx="1414">
                  <c:v>1044.3580444986935</c:v>
                </c:pt>
                <c:pt idx="1415">
                  <c:v>1044.9331518946915</c:v>
                </c:pt>
                <c:pt idx="1416">
                  <c:v>1045.1210701923942</c:v>
                </c:pt>
                <c:pt idx="1417">
                  <c:v>1045.1957995089558</c:v>
                </c:pt>
                <c:pt idx="1418">
                  <c:v>1045.3417957066135</c:v>
                </c:pt>
                <c:pt idx="1419">
                  <c:v>1045.7609116706512</c:v>
                </c:pt>
                <c:pt idx="1420">
                  <c:v>1045.9609315282844</c:v>
                </c:pt>
                <c:pt idx="1421">
                  <c:v>1045.7469170970846</c:v>
                </c:pt>
                <c:pt idx="1422">
                  <c:v>1046.0773040528172</c:v>
                </c:pt>
                <c:pt idx="1423">
                  <c:v>1045.5594648024985</c:v>
                </c:pt>
                <c:pt idx="1424">
                  <c:v>1045.4194968004863</c:v>
                </c:pt>
                <c:pt idx="1425">
                  <c:v>1045.8223199772497</c:v>
                </c:pt>
                <c:pt idx="1426">
                  <c:v>1045.8662518751412</c:v>
                </c:pt>
                <c:pt idx="1427">
                  <c:v>1045.7052452829626</c:v>
                </c:pt>
                <c:pt idx="1428">
                  <c:v>1045.7147358214222</c:v>
                </c:pt>
                <c:pt idx="1429">
                  <c:v>1045.7794758404987</c:v>
                </c:pt>
                <c:pt idx="1430">
                  <c:v>1045.9067246345205</c:v>
                </c:pt>
                <c:pt idx="1431">
                  <c:v>1045.8110481403073</c:v>
                </c:pt>
                <c:pt idx="1432">
                  <c:v>1046.0959925490736</c:v>
                </c:pt>
                <c:pt idx="1433">
                  <c:v>1045.6385347707203</c:v>
                </c:pt>
                <c:pt idx="1434">
                  <c:v>1045.8167230564645</c:v>
                </c:pt>
                <c:pt idx="1435">
                  <c:v>1045.8011321252068</c:v>
                </c:pt>
                <c:pt idx="1436">
                  <c:v>1045.8848419246094</c:v>
                </c:pt>
                <c:pt idx="1437">
                  <c:v>1045.9947970680466</c:v>
                </c:pt>
                <c:pt idx="1438">
                  <c:v>1046.0897792214212</c:v>
                </c:pt>
                <c:pt idx="1439">
                  <c:v>1045.7913720009626</c:v>
                </c:pt>
                <c:pt idx="1440">
                  <c:v>1045.89968101677</c:v>
                </c:pt>
                <c:pt idx="1441">
                  <c:v>1045.8645405188333</c:v>
                </c:pt>
                <c:pt idx="1442">
                  <c:v>1046.5341423668742</c:v>
                </c:pt>
                <c:pt idx="1443">
                  <c:v>1046.2204032435495</c:v>
                </c:pt>
                <c:pt idx="1444">
                  <c:v>1046.48149517301</c:v>
                </c:pt>
                <c:pt idx="1445">
                  <c:v>1046.5633558826021</c:v>
                </c:pt>
                <c:pt idx="1446">
                  <c:v>1046.8904450741031</c:v>
                </c:pt>
                <c:pt idx="1447">
                  <c:v>1047.3299620579312</c:v>
                </c:pt>
                <c:pt idx="1448">
                  <c:v>1047.0942815930307</c:v>
                </c:pt>
                <c:pt idx="1449">
                  <c:v>1047.2352971249422</c:v>
                </c:pt>
                <c:pt idx="1450">
                  <c:v>1047.5825503547596</c:v>
                </c:pt>
                <c:pt idx="1451">
                  <c:v>1047.4814962570617</c:v>
                </c:pt>
                <c:pt idx="1452">
                  <c:v>1048.1802198253015</c:v>
                </c:pt>
                <c:pt idx="1453">
                  <c:v>1047.8000647135593</c:v>
                </c:pt>
                <c:pt idx="1454">
                  <c:v>1047.7522169380986</c:v>
                </c:pt>
                <c:pt idx="1455">
                  <c:v>1047.8165481635062</c:v>
                </c:pt>
                <c:pt idx="1456">
                  <c:v>1047.8347050773668</c:v>
                </c:pt>
                <c:pt idx="1457">
                  <c:v>1047.7481734988326</c:v>
                </c:pt>
                <c:pt idx="1458">
                  <c:v>1047.2757365563416</c:v>
                </c:pt>
                <c:pt idx="1459">
                  <c:v>1046.9777204693717</c:v>
                </c:pt>
                <c:pt idx="1460">
                  <c:v>1047.044459952496</c:v>
                </c:pt>
                <c:pt idx="1461">
                  <c:v>1047.8614888438078</c:v>
                </c:pt>
                <c:pt idx="1462">
                  <c:v>1048.3535953270261</c:v>
                </c:pt>
                <c:pt idx="1463">
                  <c:v>1048.9711242421167</c:v>
                </c:pt>
                <c:pt idx="1464">
                  <c:v>1048.7590124451049</c:v>
                </c:pt>
                <c:pt idx="1465">
                  <c:v>1048.6591391354875</c:v>
                </c:pt>
                <c:pt idx="1466">
                  <c:v>1048.3101660615657</c:v>
                </c:pt>
                <c:pt idx="1467">
                  <c:v>1048.3131097844184</c:v>
                </c:pt>
                <c:pt idx="1468">
                  <c:v>1048.6763200750725</c:v>
                </c:pt>
                <c:pt idx="1469">
                  <c:v>1048.618795046518</c:v>
                </c:pt>
                <c:pt idx="1470">
                  <c:v>1048.4200500189258</c:v>
                </c:pt>
                <c:pt idx="1471">
                  <c:v>1048.73501626248</c:v>
                </c:pt>
                <c:pt idx="1472">
                  <c:v>1048.6628434633162</c:v>
                </c:pt>
                <c:pt idx="1473">
                  <c:v>1049.4053565514314</c:v>
                </c:pt>
                <c:pt idx="1474">
                  <c:v>1049.2700950475512</c:v>
                </c:pt>
                <c:pt idx="1475">
                  <c:v>1048.9358740076598</c:v>
                </c:pt>
                <c:pt idx="1476">
                  <c:v>1049.2798082158388</c:v>
                </c:pt>
                <c:pt idx="1477">
                  <c:v>1048.8188434037297</c:v>
                </c:pt>
                <c:pt idx="1478">
                  <c:v>1048.8609646550053</c:v>
                </c:pt>
                <c:pt idx="1479">
                  <c:v>1049.3132081613323</c:v>
                </c:pt>
                <c:pt idx="1480">
                  <c:v>1048.9895065537582</c:v>
                </c:pt>
                <c:pt idx="1481">
                  <c:v>1049.1496555654846</c:v>
                </c:pt>
                <c:pt idx="1482">
                  <c:v>1049.3241511637068</c:v>
                </c:pt>
                <c:pt idx="1483">
                  <c:v>1049.3029325722737</c:v>
                </c:pt>
                <c:pt idx="1484">
                  <c:v>1049.7285203053257</c:v>
                </c:pt>
                <c:pt idx="1485">
                  <c:v>1049.5248090851815</c:v>
                </c:pt>
                <c:pt idx="1486">
                  <c:v>1049.5660797428397</c:v>
                </c:pt>
                <c:pt idx="1487">
                  <c:v>1049.5892701953101</c:v>
                </c:pt>
                <c:pt idx="1488">
                  <c:v>1049.6054144229242</c:v>
                </c:pt>
                <c:pt idx="1489">
                  <c:v>1050.2003130487731</c:v>
                </c:pt>
                <c:pt idx="1490">
                  <c:v>1050.3287408400859</c:v>
                </c:pt>
                <c:pt idx="1491">
                  <c:v>1049.8663493102204</c:v>
                </c:pt>
                <c:pt idx="1492">
                  <c:v>1049.9041607259514</c:v>
                </c:pt>
                <c:pt idx="1493">
                  <c:v>1050.1320187684157</c:v>
                </c:pt>
                <c:pt idx="1494">
                  <c:v>1049.8857622550131</c:v>
                </c:pt>
                <c:pt idx="1495">
                  <c:v>1050.4946232990917</c:v>
                </c:pt>
                <c:pt idx="1496">
                  <c:v>1050.3979959997778</c:v>
                </c:pt>
                <c:pt idx="1497">
                  <c:v>1050.3157331276063</c:v>
                </c:pt>
                <c:pt idx="1498">
                  <c:v>1049.9768900526597</c:v>
                </c:pt>
                <c:pt idx="1499">
                  <c:v>1050.0259250165041</c:v>
                </c:pt>
                <c:pt idx="1500">
                  <c:v>1050.9187277563201</c:v>
                </c:pt>
                <c:pt idx="1501">
                  <c:v>1051.1449982475565</c:v>
                </c:pt>
                <c:pt idx="1502">
                  <c:v>1051.1633665646198</c:v>
                </c:pt>
                <c:pt idx="1503">
                  <c:v>1051.0568769383365</c:v>
                </c:pt>
                <c:pt idx="1504">
                  <c:v>1051.3639886735446</c:v>
                </c:pt>
                <c:pt idx="1505">
                  <c:v>1051.2596784482882</c:v>
                </c:pt>
                <c:pt idx="1506">
                  <c:v>1051.2698532464722</c:v>
                </c:pt>
                <c:pt idx="1507">
                  <c:v>1051.3125849196153</c:v>
                </c:pt>
                <c:pt idx="1508">
                  <c:v>1051.5821253313179</c:v>
                </c:pt>
                <c:pt idx="1509">
                  <c:v>1051.5842126046196</c:v>
                </c:pt>
                <c:pt idx="1510">
                  <c:v>1051.7323475904523</c:v>
                </c:pt>
                <c:pt idx="1511">
                  <c:v>1051.9764270071119</c:v>
                </c:pt>
                <c:pt idx="1512">
                  <c:v>1051.5192833020888</c:v>
                </c:pt>
                <c:pt idx="1513">
                  <c:v>1051.8622462203828</c:v>
                </c:pt>
                <c:pt idx="1514">
                  <c:v>1052.1003244575368</c:v>
                </c:pt>
                <c:pt idx="1515">
                  <c:v>1051.9542773100809</c:v>
                </c:pt>
                <c:pt idx="1516">
                  <c:v>1052.1179048258794</c:v>
                </c:pt>
                <c:pt idx="1517">
                  <c:v>1051.8362928627696</c:v>
                </c:pt>
                <c:pt idx="1518">
                  <c:v>1051.6349892802132</c:v>
                </c:pt>
                <c:pt idx="1519">
                  <c:v>1051.9461067002123</c:v>
                </c:pt>
                <c:pt idx="1520">
                  <c:v>1052.1197561817066</c:v>
                </c:pt>
                <c:pt idx="1521">
                  <c:v>1052.1407053396601</c:v>
                </c:pt>
                <c:pt idx="1522">
                  <c:v>1052.5983050705995</c:v>
                </c:pt>
                <c:pt idx="1523">
                  <c:v>1052.2622817941528</c:v>
                </c:pt>
                <c:pt idx="1524">
                  <c:v>1052.7648860038125</c:v>
                </c:pt>
                <c:pt idx="1525">
                  <c:v>1052.8143824971955</c:v>
                </c:pt>
                <c:pt idx="1526">
                  <c:v>1052.6510236319573</c:v>
                </c:pt>
                <c:pt idx="1527">
                  <c:v>1053.0810297327528</c:v>
                </c:pt>
                <c:pt idx="1528">
                  <c:v>1052.5367432331075</c:v>
                </c:pt>
                <c:pt idx="1529">
                  <c:v>1052.3696092607149</c:v>
                </c:pt>
                <c:pt idx="1530">
                  <c:v>1052.1638119105005</c:v>
                </c:pt>
                <c:pt idx="1531">
                  <c:v>1051.9277991422655</c:v>
                </c:pt>
                <c:pt idx="1532">
                  <c:v>1052.4637546013942</c:v>
                </c:pt>
                <c:pt idx="1533">
                  <c:v>1052.4913874165627</c:v>
                </c:pt>
                <c:pt idx="1534">
                  <c:v>1052.571563659749</c:v>
                </c:pt>
                <c:pt idx="1535">
                  <c:v>1052.8448671294302</c:v>
                </c:pt>
                <c:pt idx="1536">
                  <c:v>1052.4371362702968</c:v>
                </c:pt>
                <c:pt idx="1537">
                  <c:v>1052.4302048213303</c:v>
                </c:pt>
                <c:pt idx="1538">
                  <c:v>1053.1014996192</c:v>
                </c:pt>
                <c:pt idx="1539">
                  <c:v>1053.2904395326243</c:v>
                </c:pt>
                <c:pt idx="1540">
                  <c:v>1053.1681811580875</c:v>
                </c:pt>
                <c:pt idx="1541">
                  <c:v>1053.2943160539546</c:v>
                </c:pt>
                <c:pt idx="1542">
                  <c:v>1053.2546649996646</c:v>
                </c:pt>
                <c:pt idx="1543">
                  <c:v>1053.6127857537786</c:v>
                </c:pt>
                <c:pt idx="1544">
                  <c:v>1053.4150433607992</c:v>
                </c:pt>
                <c:pt idx="1545">
                  <c:v>1053.5499789062314</c:v>
                </c:pt>
                <c:pt idx="1546">
                  <c:v>1053.570198530866</c:v>
                </c:pt>
                <c:pt idx="1547">
                  <c:v>1053.7547042167712</c:v>
                </c:pt>
                <c:pt idx="1548">
                  <c:v>1054.0873672124726</c:v>
                </c:pt>
                <c:pt idx="1549">
                  <c:v>1053.9541493805755</c:v>
                </c:pt>
                <c:pt idx="1550">
                  <c:v>1054.1848146782941</c:v>
                </c:pt>
                <c:pt idx="1551">
                  <c:v>1054.3041478074417</c:v>
                </c:pt>
                <c:pt idx="1552">
                  <c:v>1054.4381007941752</c:v>
                </c:pt>
                <c:pt idx="1553">
                  <c:v>1054.3703040245591</c:v>
                </c:pt>
                <c:pt idx="1554">
                  <c:v>1054.3816400207584</c:v>
                </c:pt>
                <c:pt idx="1555">
                  <c:v>1053.9648515889514</c:v>
                </c:pt>
                <c:pt idx="1556">
                  <c:v>1053.7019222079618</c:v>
                </c:pt>
                <c:pt idx="1557">
                  <c:v>1053.6538125645891</c:v>
                </c:pt>
                <c:pt idx="1558">
                  <c:v>1053.9516245065145</c:v>
                </c:pt>
                <c:pt idx="1559">
                  <c:v>1054.6033451739945</c:v>
                </c:pt>
                <c:pt idx="1560">
                  <c:v>1054.491642935343</c:v>
                </c:pt>
                <c:pt idx="1561">
                  <c:v>1054.8898988728918</c:v>
                </c:pt>
                <c:pt idx="1562">
                  <c:v>1055.2033188382106</c:v>
                </c:pt>
                <c:pt idx="1563">
                  <c:v>1055.4154462053107</c:v>
                </c:pt>
                <c:pt idx="1564">
                  <c:v>1055.4302202340918</c:v>
                </c:pt>
                <c:pt idx="1565">
                  <c:v>1055.2694704079022</c:v>
                </c:pt>
                <c:pt idx="1566">
                  <c:v>1055.0231218290303</c:v>
                </c:pt>
                <c:pt idx="1567">
                  <c:v>1054.9806552914308</c:v>
                </c:pt>
                <c:pt idx="1568">
                  <c:v>1054.5804007824552</c:v>
                </c:pt>
                <c:pt idx="1569">
                  <c:v>1055.005947096472</c:v>
                </c:pt>
                <c:pt idx="1570">
                  <c:v>1055.4390574896158</c:v>
                </c:pt>
                <c:pt idx="1571">
                  <c:v>1055.3980659139274</c:v>
                </c:pt>
                <c:pt idx="1572">
                  <c:v>1055.7562362544636</c:v>
                </c:pt>
                <c:pt idx="1573">
                  <c:v>1055.0898839500449</c:v>
                </c:pt>
                <c:pt idx="1574">
                  <c:v>1054.9153218374115</c:v>
                </c:pt>
                <c:pt idx="1575">
                  <c:v>1055.3268377543045</c:v>
                </c:pt>
                <c:pt idx="1576">
                  <c:v>1055.226819982156</c:v>
                </c:pt>
                <c:pt idx="1577">
                  <c:v>1055.3370399574792</c:v>
                </c:pt>
                <c:pt idx="1578">
                  <c:v>1055.3165331723835</c:v>
                </c:pt>
                <c:pt idx="1579">
                  <c:v>1055.3466099633456</c:v>
                </c:pt>
                <c:pt idx="1580">
                  <c:v>1055.4367686249284</c:v>
                </c:pt>
                <c:pt idx="1581">
                  <c:v>1055.7297602443691</c:v>
                </c:pt>
                <c:pt idx="1582">
                  <c:v>1056.4026188625171</c:v>
                </c:pt>
                <c:pt idx="1583">
                  <c:v>1056.436724611106</c:v>
                </c:pt>
                <c:pt idx="1584">
                  <c:v>1056.5042970663751</c:v>
                </c:pt>
                <c:pt idx="1585">
                  <c:v>1056.8090763785478</c:v>
                </c:pt>
                <c:pt idx="1586">
                  <c:v>1056.7293172513412</c:v>
                </c:pt>
                <c:pt idx="1587">
                  <c:v>1056.2035358200451</c:v>
                </c:pt>
                <c:pt idx="1588">
                  <c:v>1056.1271026871157</c:v>
                </c:pt>
                <c:pt idx="1589">
                  <c:v>1056.0994577572512</c:v>
                </c:pt>
                <c:pt idx="1590">
                  <c:v>1056.1911556131222</c:v>
                </c:pt>
                <c:pt idx="1591">
                  <c:v>1056.6434554831831</c:v>
                </c:pt>
                <c:pt idx="1592">
                  <c:v>1056.3025450823111</c:v>
                </c:pt>
                <c:pt idx="1593">
                  <c:v>1055.9816257040206</c:v>
                </c:pt>
                <c:pt idx="1594">
                  <c:v>1055.7414851994254</c:v>
                </c:pt>
                <c:pt idx="1595">
                  <c:v>1056.11695987295</c:v>
                </c:pt>
                <c:pt idx="1596">
                  <c:v>1056.6305987230264</c:v>
                </c:pt>
                <c:pt idx="1597">
                  <c:v>1056.8261775489466</c:v>
                </c:pt>
                <c:pt idx="1598">
                  <c:v>1056.7218440724739</c:v>
                </c:pt>
                <c:pt idx="1599">
                  <c:v>1056.6698730067965</c:v>
                </c:pt>
                <c:pt idx="1600">
                  <c:v>1056.7544666585379</c:v>
                </c:pt>
                <c:pt idx="1601">
                  <c:v>1057.204473204743</c:v>
                </c:pt>
                <c:pt idx="1602">
                  <c:v>1057.5633786947728</c:v>
                </c:pt>
                <c:pt idx="1603">
                  <c:v>1057.6057230640022</c:v>
                </c:pt>
                <c:pt idx="1604">
                  <c:v>1057.9517890242371</c:v>
                </c:pt>
                <c:pt idx="1605">
                  <c:v>1057.6853020648289</c:v>
                </c:pt>
                <c:pt idx="1606">
                  <c:v>1057.4026156168936</c:v>
                </c:pt>
                <c:pt idx="1607">
                  <c:v>1057.1687258870331</c:v>
                </c:pt>
                <c:pt idx="1608">
                  <c:v>1057.742575193987</c:v>
                </c:pt>
                <c:pt idx="1609">
                  <c:v>1057.8077957226556</c:v>
                </c:pt>
                <c:pt idx="1610">
                  <c:v>1057.8380498221075</c:v>
                </c:pt>
                <c:pt idx="1611">
                  <c:v>1057.7616511392928</c:v>
                </c:pt>
                <c:pt idx="1612">
                  <c:v>1057.7860491966414</c:v>
                </c:pt>
                <c:pt idx="1613">
                  <c:v>1057.6103519241292</c:v>
                </c:pt>
                <c:pt idx="1614">
                  <c:v>1057.3339590902465</c:v>
                </c:pt>
                <c:pt idx="1615">
                  <c:v>1057.9523541442725</c:v>
                </c:pt>
                <c:pt idx="1616">
                  <c:v>1058.3557820929268</c:v>
                </c:pt>
                <c:pt idx="1617">
                  <c:v>1058.6944286922883</c:v>
                </c:pt>
                <c:pt idx="1618">
                  <c:v>1058.8263115143022</c:v>
                </c:pt>
                <c:pt idx="1619">
                  <c:v>1058.8257085078394</c:v>
                </c:pt>
                <c:pt idx="1620">
                  <c:v>1058.9663914209491</c:v>
                </c:pt>
                <c:pt idx="1621">
                  <c:v>1058.579562215846</c:v>
                </c:pt>
                <c:pt idx="1622">
                  <c:v>1058.7020857182461</c:v>
                </c:pt>
                <c:pt idx="1623">
                  <c:v>1058.8851329674912</c:v>
                </c:pt>
                <c:pt idx="1624">
                  <c:v>1058.2788846520168</c:v>
                </c:pt>
                <c:pt idx="1625">
                  <c:v>1058.5963768684001</c:v>
                </c:pt>
                <c:pt idx="1626">
                  <c:v>1058.649248635568</c:v>
                </c:pt>
                <c:pt idx="1627">
                  <c:v>1058.4937654408959</c:v>
                </c:pt>
                <c:pt idx="1628">
                  <c:v>1058.6216138522232</c:v>
                </c:pt>
                <c:pt idx="1629">
                  <c:v>1058.7903597401944</c:v>
                </c:pt>
                <c:pt idx="1630">
                  <c:v>1058.8380546705612</c:v>
                </c:pt>
                <c:pt idx="1631">
                  <c:v>1059.4173788006581</c:v>
                </c:pt>
                <c:pt idx="1632">
                  <c:v>1058.810212517131</c:v>
                </c:pt>
                <c:pt idx="1633">
                  <c:v>1058.7159979226503</c:v>
                </c:pt>
                <c:pt idx="1634">
                  <c:v>1059.2368715390951</c:v>
                </c:pt>
                <c:pt idx="1635">
                  <c:v>1059.155343900321</c:v>
                </c:pt>
                <c:pt idx="1636">
                  <c:v>1059.2276363675123</c:v>
                </c:pt>
                <c:pt idx="1637">
                  <c:v>1059.1929538738393</c:v>
                </c:pt>
                <c:pt idx="1638">
                  <c:v>1058.9939420701214</c:v>
                </c:pt>
                <c:pt idx="1639">
                  <c:v>1059.4404888532936</c:v>
                </c:pt>
                <c:pt idx="1640">
                  <c:v>1059.8606552260842</c:v>
                </c:pt>
                <c:pt idx="1641">
                  <c:v>1060.1994149985817</c:v>
                </c:pt>
                <c:pt idx="1642">
                  <c:v>1060.1809007705453</c:v>
                </c:pt>
                <c:pt idx="1643">
                  <c:v>1059.9023456176208</c:v>
                </c:pt>
                <c:pt idx="1644">
                  <c:v>1059.7239227468222</c:v>
                </c:pt>
                <c:pt idx="1645">
                  <c:v>1059.7936839806157</c:v>
                </c:pt>
                <c:pt idx="1646">
                  <c:v>1059.876981021775</c:v>
                </c:pt>
                <c:pt idx="1647">
                  <c:v>1059.9484883127307</c:v>
                </c:pt>
                <c:pt idx="1648">
                  <c:v>1059.8844576651679</c:v>
                </c:pt>
                <c:pt idx="1649">
                  <c:v>1059.8167429526873</c:v>
                </c:pt>
                <c:pt idx="1650">
                  <c:v>1059.584897885615</c:v>
                </c:pt>
                <c:pt idx="1651">
                  <c:v>1059.169258293552</c:v>
                </c:pt>
                <c:pt idx="1652">
                  <c:v>1059.5755764139965</c:v>
                </c:pt>
                <c:pt idx="1653">
                  <c:v>1059.8914744324175</c:v>
                </c:pt>
                <c:pt idx="1654">
                  <c:v>1060.2961797966495</c:v>
                </c:pt>
                <c:pt idx="1655">
                  <c:v>1060.4234738417404</c:v>
                </c:pt>
                <c:pt idx="1656">
                  <c:v>1060.7125396337394</c:v>
                </c:pt>
                <c:pt idx="1657">
                  <c:v>1060.6800507506318</c:v>
                </c:pt>
                <c:pt idx="1658">
                  <c:v>1060.5243806224378</c:v>
                </c:pt>
                <c:pt idx="1659">
                  <c:v>1060.4165332101688</c:v>
                </c:pt>
                <c:pt idx="1660">
                  <c:v>1060.8378849675375</c:v>
                </c:pt>
                <c:pt idx="1661">
                  <c:v>1061.1432887924186</c:v>
                </c:pt>
                <c:pt idx="1662">
                  <c:v>1060.7201631204316</c:v>
                </c:pt>
                <c:pt idx="1663">
                  <c:v>1060.5217984571525</c:v>
                </c:pt>
                <c:pt idx="1664">
                  <c:v>1060.2568436262138</c:v>
                </c:pt>
                <c:pt idx="1665">
                  <c:v>1060.2500725210925</c:v>
                </c:pt>
                <c:pt idx="1666">
                  <c:v>1060.4743969291203</c:v>
                </c:pt>
                <c:pt idx="1667">
                  <c:v>1060.3944870858847</c:v>
                </c:pt>
                <c:pt idx="1668">
                  <c:v>1060.6838819969707</c:v>
                </c:pt>
                <c:pt idx="1669">
                  <c:v>1060.472519408934</c:v>
                </c:pt>
                <c:pt idx="1670">
                  <c:v>1060.9805486089433</c:v>
                </c:pt>
                <c:pt idx="1671">
                  <c:v>1060.9293643818571</c:v>
                </c:pt>
                <c:pt idx="1672">
                  <c:v>1060.8474483023181</c:v>
                </c:pt>
                <c:pt idx="1673">
                  <c:v>1060.9046717740482</c:v>
                </c:pt>
                <c:pt idx="1674">
                  <c:v>1061.5402604295571</c:v>
                </c:pt>
                <c:pt idx="1675">
                  <c:v>1061.2982064693472</c:v>
                </c:pt>
                <c:pt idx="1676">
                  <c:v>1061.2124878061904</c:v>
                </c:pt>
                <c:pt idx="1677">
                  <c:v>1061.2188988350476</c:v>
                </c:pt>
                <c:pt idx="1678">
                  <c:v>1060.8832386619874</c:v>
                </c:pt>
                <c:pt idx="1679">
                  <c:v>1061.8731983312352</c:v>
                </c:pt>
                <c:pt idx="1680">
                  <c:v>1061.8360114719508</c:v>
                </c:pt>
                <c:pt idx="1681">
                  <c:v>1061.3433345078638</c:v>
                </c:pt>
                <c:pt idx="1682">
                  <c:v>1061.640421574225</c:v>
                </c:pt>
                <c:pt idx="1683">
                  <c:v>1061.6145976687681</c:v>
                </c:pt>
                <c:pt idx="1684">
                  <c:v>1061.7320055318603</c:v>
                </c:pt>
                <c:pt idx="1685">
                  <c:v>1061.4677689774312</c:v>
                </c:pt>
                <c:pt idx="1686">
                  <c:v>1061.3925874227482</c:v>
                </c:pt>
                <c:pt idx="1687">
                  <c:v>1061.4480084630113</c:v>
                </c:pt>
                <c:pt idx="1688">
                  <c:v>1061.614245726443</c:v>
                </c:pt>
                <c:pt idx="1689">
                  <c:v>1061.2702018340826</c:v>
                </c:pt>
                <c:pt idx="1690">
                  <c:v>1061.0754769121643</c:v>
                </c:pt>
                <c:pt idx="1691">
                  <c:v>1061.3481778597572</c:v>
                </c:pt>
                <c:pt idx="1692">
                  <c:v>1061.8573494040302</c:v>
                </c:pt>
                <c:pt idx="1693">
                  <c:v>1062.3001762941467</c:v>
                </c:pt>
                <c:pt idx="1694">
                  <c:v>1062.5840141322228</c:v>
                </c:pt>
                <c:pt idx="1695">
                  <c:v>1062.5494078664874</c:v>
                </c:pt>
                <c:pt idx="1696">
                  <c:v>1062.5299970449869</c:v>
                </c:pt>
                <c:pt idx="1697">
                  <c:v>1062.5155950263825</c:v>
                </c:pt>
                <c:pt idx="1698">
                  <c:v>1062.9044448190427</c:v>
                </c:pt>
                <c:pt idx="1699">
                  <c:v>1062.705490269919</c:v>
                </c:pt>
                <c:pt idx="1700">
                  <c:v>1062.7575604057508</c:v>
                </c:pt>
                <c:pt idx="1701">
                  <c:v>1062.8643510895108</c:v>
                </c:pt>
                <c:pt idx="1702">
                  <c:v>1062.4417224427582</c:v>
                </c:pt>
                <c:pt idx="1703">
                  <c:v>1063.1361130454236</c:v>
                </c:pt>
                <c:pt idx="1704">
                  <c:v>1063.1817214143425</c:v>
                </c:pt>
                <c:pt idx="1705">
                  <c:v>1063.4678803343547</c:v>
                </c:pt>
                <c:pt idx="1706">
                  <c:v>1063.4686908866122</c:v>
                </c:pt>
                <c:pt idx="1707">
                  <c:v>1063.532664980112</c:v>
                </c:pt>
                <c:pt idx="1708">
                  <c:v>1063.2405658368575</c:v>
                </c:pt>
                <c:pt idx="1709">
                  <c:v>1063.0353745053408</c:v>
                </c:pt>
                <c:pt idx="1710">
                  <c:v>1063.0295269488699</c:v>
                </c:pt>
                <c:pt idx="1711">
                  <c:v>1063.4971030941585</c:v>
                </c:pt>
                <c:pt idx="1712">
                  <c:v>1063.3063380350977</c:v>
                </c:pt>
                <c:pt idx="1713">
                  <c:v>1063.1248402809392</c:v>
                </c:pt>
                <c:pt idx="1714">
                  <c:v>1063.2739763564357</c:v>
                </c:pt>
                <c:pt idx="1715">
                  <c:v>1063.3214728777755</c:v>
                </c:pt>
                <c:pt idx="1716">
                  <c:v>1063.2170687275029</c:v>
                </c:pt>
                <c:pt idx="1717">
                  <c:v>1063.549625545465</c:v>
                </c:pt>
                <c:pt idx="1718">
                  <c:v>1063.4350852760122</c:v>
                </c:pt>
                <c:pt idx="1719">
                  <c:v>1063.7531936361804</c:v>
                </c:pt>
                <c:pt idx="1720">
                  <c:v>1063.8534999313847</c:v>
                </c:pt>
                <c:pt idx="1721">
                  <c:v>1063.8452152953057</c:v>
                </c:pt>
                <c:pt idx="1722">
                  <c:v>1064.1262729615623</c:v>
                </c:pt>
                <c:pt idx="1723">
                  <c:v>1063.8379967533474</c:v>
                </c:pt>
                <c:pt idx="1724">
                  <c:v>1064.0428337661397</c:v>
                </c:pt>
                <c:pt idx="1725">
                  <c:v>1064.3471928499562</c:v>
                </c:pt>
                <c:pt idx="1726">
                  <c:v>1064.3806238119748</c:v>
                </c:pt>
                <c:pt idx="1727">
                  <c:v>1064.997865843191</c:v>
                </c:pt>
                <c:pt idx="1728">
                  <c:v>1064.2676676199762</c:v>
                </c:pt>
                <c:pt idx="1729">
                  <c:v>1064.1419135810158</c:v>
                </c:pt>
                <c:pt idx="1730">
                  <c:v>1064.652625515984</c:v>
                </c:pt>
                <c:pt idx="1731">
                  <c:v>1064.4440827293283</c:v>
                </c:pt>
                <c:pt idx="1732">
                  <c:v>1064.0088040723697</c:v>
                </c:pt>
                <c:pt idx="1733">
                  <c:v>1064.1626994371595</c:v>
                </c:pt>
                <c:pt idx="1734">
                  <c:v>1063.8573389980099</c:v>
                </c:pt>
                <c:pt idx="1735">
                  <c:v>1064.3085401664077</c:v>
                </c:pt>
                <c:pt idx="1736">
                  <c:v>1064.7200101261324</c:v>
                </c:pt>
                <c:pt idx="1737">
                  <c:v>1064.6519715108957</c:v>
                </c:pt>
                <c:pt idx="1738">
                  <c:v>1064.4409989943751</c:v>
                </c:pt>
                <c:pt idx="1739">
                  <c:v>1064.1122303741042</c:v>
                </c:pt>
                <c:pt idx="1740">
                  <c:v>1064.0979485243072</c:v>
                </c:pt>
                <c:pt idx="1741">
                  <c:v>1064.7416948408609</c:v>
                </c:pt>
                <c:pt idx="1742">
                  <c:v>1064.4605458428446</c:v>
                </c:pt>
                <c:pt idx="1743">
                  <c:v>1064.7799233905873</c:v>
                </c:pt>
                <c:pt idx="1744">
                  <c:v>1064.6169712267999</c:v>
                </c:pt>
                <c:pt idx="1745">
                  <c:v>1064.567955533606</c:v>
                </c:pt>
                <c:pt idx="1746">
                  <c:v>1064.5138587154679</c:v>
                </c:pt>
                <c:pt idx="1747">
                  <c:v>1064.7093888780018</c:v>
                </c:pt>
                <c:pt idx="1748">
                  <c:v>1064.7762810888237</c:v>
                </c:pt>
                <c:pt idx="1749">
                  <c:v>1065.0884257549621</c:v>
                </c:pt>
                <c:pt idx="1750">
                  <c:v>1065.2918335084948</c:v>
                </c:pt>
                <c:pt idx="1751">
                  <c:v>1064.8978694764262</c:v>
                </c:pt>
                <c:pt idx="1752">
                  <c:v>1064.8836958034722</c:v>
                </c:pt>
                <c:pt idx="1753">
                  <c:v>1064.630435501686</c:v>
                </c:pt>
                <c:pt idx="1754">
                  <c:v>1064.6787075500285</c:v>
                </c:pt>
                <c:pt idx="1755">
                  <c:v>1064.9837421142493</c:v>
                </c:pt>
                <c:pt idx="1756">
                  <c:v>1064.7009490107516</c:v>
                </c:pt>
                <c:pt idx="1757">
                  <c:v>1065.3717847708642</c:v>
                </c:pt>
                <c:pt idx="1758">
                  <c:v>1065.1901958801914</c:v>
                </c:pt>
                <c:pt idx="1759">
                  <c:v>1065.0882756015521</c:v>
                </c:pt>
                <c:pt idx="1760">
                  <c:v>1065.1082675557905</c:v>
                </c:pt>
                <c:pt idx="1761">
                  <c:v>1065.6775202122437</c:v>
                </c:pt>
                <c:pt idx="1762">
                  <c:v>1066.1427178634497</c:v>
                </c:pt>
                <c:pt idx="1763">
                  <c:v>1066.1415383197852</c:v>
                </c:pt>
                <c:pt idx="1764">
                  <c:v>1066.2433360718289</c:v>
                </c:pt>
                <c:pt idx="1765">
                  <c:v>1065.82731400126</c:v>
                </c:pt>
                <c:pt idx="1766">
                  <c:v>1065.5003658828709</c:v>
                </c:pt>
                <c:pt idx="1767">
                  <c:v>1065.4018455211476</c:v>
                </c:pt>
                <c:pt idx="1768">
                  <c:v>1065.143288947879</c:v>
                </c:pt>
                <c:pt idx="1769">
                  <c:v>1065.6075397270874</c:v>
                </c:pt>
                <c:pt idx="1770">
                  <c:v>1066.2823065919581</c:v>
                </c:pt>
                <c:pt idx="1771">
                  <c:v>1066.2338363513459</c:v>
                </c:pt>
                <c:pt idx="1772">
                  <c:v>1065.852155137369</c:v>
                </c:pt>
                <c:pt idx="1773">
                  <c:v>1066.6031349450016</c:v>
                </c:pt>
                <c:pt idx="1774">
                  <c:v>1066.3375829961581</c:v>
                </c:pt>
                <c:pt idx="1775">
                  <c:v>1066.2303163783529</c:v>
                </c:pt>
                <c:pt idx="1776">
                  <c:v>1066.5141520101345</c:v>
                </c:pt>
                <c:pt idx="1777">
                  <c:v>1066.3198691051923</c:v>
                </c:pt>
                <c:pt idx="1778">
                  <c:v>1066.3734618187955</c:v>
                </c:pt>
                <c:pt idx="1779">
                  <c:v>1066.0621993683633</c:v>
                </c:pt>
                <c:pt idx="1780">
                  <c:v>1066.0736371662229</c:v>
                </c:pt>
                <c:pt idx="1781">
                  <c:v>1066.7009560227073</c:v>
                </c:pt>
                <c:pt idx="1782">
                  <c:v>1066.43281824356</c:v>
                </c:pt>
                <c:pt idx="1783">
                  <c:v>1066.9744251837885</c:v>
                </c:pt>
                <c:pt idx="1784">
                  <c:v>1066.8605981953929</c:v>
                </c:pt>
                <c:pt idx="1785">
                  <c:v>1066.6742492076403</c:v>
                </c:pt>
                <c:pt idx="1786">
                  <c:v>1066.692707673762</c:v>
                </c:pt>
                <c:pt idx="1787">
                  <c:v>1066.6593169107232</c:v>
                </c:pt>
                <c:pt idx="1788">
                  <c:v>1066.21998060744</c:v>
                </c:pt>
                <c:pt idx="1789">
                  <c:v>1066.5148206933484</c:v>
                </c:pt>
                <c:pt idx="1790">
                  <c:v>1066.2233103963438</c:v>
                </c:pt>
                <c:pt idx="1791">
                  <c:v>1065.8091439303294</c:v>
                </c:pt>
                <c:pt idx="1792">
                  <c:v>1065.7473481007778</c:v>
                </c:pt>
                <c:pt idx="1793">
                  <c:v>1065.9745040489286</c:v>
                </c:pt>
                <c:pt idx="1794">
                  <c:v>1066.6212884493914</c:v>
                </c:pt>
                <c:pt idx="1795">
                  <c:v>1067.0120643538896</c:v>
                </c:pt>
                <c:pt idx="1796">
                  <c:v>1067.0509925916074</c:v>
                </c:pt>
                <c:pt idx="1797">
                  <c:v>1066.8890806999157</c:v>
                </c:pt>
                <c:pt idx="1798">
                  <c:v>1066.6999799505841</c:v>
                </c:pt>
                <c:pt idx="1799">
                  <c:v>1066.6192538241637</c:v>
                </c:pt>
                <c:pt idx="1800">
                  <c:v>1067.0888015680118</c:v>
                </c:pt>
                <c:pt idx="1801">
                  <c:v>1067.3846707938337</c:v>
                </c:pt>
                <c:pt idx="1802">
                  <c:v>1067.075401863475</c:v>
                </c:pt>
                <c:pt idx="1803">
                  <c:v>1067.2232255908123</c:v>
                </c:pt>
                <c:pt idx="1804">
                  <c:v>1067.111665291995</c:v>
                </c:pt>
                <c:pt idx="1805">
                  <c:v>1067.1723941071398</c:v>
                </c:pt>
                <c:pt idx="1806">
                  <c:v>1067.1636097516841</c:v>
                </c:pt>
                <c:pt idx="1807">
                  <c:v>1067.5697699252537</c:v>
                </c:pt>
                <c:pt idx="1808">
                  <c:v>1067.5712562491726</c:v>
                </c:pt>
                <c:pt idx="1809">
                  <c:v>1067.2282287053272</c:v>
                </c:pt>
                <c:pt idx="1810">
                  <c:v>1067.47390567094</c:v>
                </c:pt>
                <c:pt idx="1811">
                  <c:v>1067.1211582771043</c:v>
                </c:pt>
                <c:pt idx="1812">
                  <c:v>1066.8134086446694</c:v>
                </c:pt>
                <c:pt idx="1813">
                  <c:v>1066.9340976310623</c:v>
                </c:pt>
                <c:pt idx="1814">
                  <c:v>1066.975407596002</c:v>
                </c:pt>
                <c:pt idx="1815">
                  <c:v>1066.7746227197467</c:v>
                </c:pt>
                <c:pt idx="1816">
                  <c:v>1066.9157477457359</c:v>
                </c:pt>
                <c:pt idx="1817">
                  <c:v>1066.8693614757658</c:v>
                </c:pt>
                <c:pt idx="1818">
                  <c:v>1067.513255557561</c:v>
                </c:pt>
                <c:pt idx="1819">
                  <c:v>1067.5251219729614</c:v>
                </c:pt>
                <c:pt idx="1820">
                  <c:v>1067.7260902066294</c:v>
                </c:pt>
                <c:pt idx="1821">
                  <c:v>1067.9799448708361</c:v>
                </c:pt>
                <c:pt idx="1822">
                  <c:v>1067.7399445346061</c:v>
                </c:pt>
                <c:pt idx="1823">
                  <c:v>1067.5925570323036</c:v>
                </c:pt>
                <c:pt idx="1824">
                  <c:v>1067.7163606317579</c:v>
                </c:pt>
                <c:pt idx="1825">
                  <c:v>1067.3222606040588</c:v>
                </c:pt>
                <c:pt idx="1826">
                  <c:v>1067.3791349550315</c:v>
                </c:pt>
                <c:pt idx="1827">
                  <c:v>1067.4545802084103</c:v>
                </c:pt>
                <c:pt idx="1828">
                  <c:v>1067.7708631211942</c:v>
                </c:pt>
                <c:pt idx="1829">
                  <c:v>1068.0995670459904</c:v>
                </c:pt>
                <c:pt idx="1830">
                  <c:v>1068.07924359449</c:v>
                </c:pt>
                <c:pt idx="1831">
                  <c:v>1068.1647392618154</c:v>
                </c:pt>
                <c:pt idx="1832">
                  <c:v>1068.1200086607341</c:v>
                </c:pt>
                <c:pt idx="1833">
                  <c:v>1068.1905340792719</c:v>
                </c:pt>
                <c:pt idx="1834">
                  <c:v>1068.2852447517669</c:v>
                </c:pt>
                <c:pt idx="1835">
                  <c:v>1068.0518975963873</c:v>
                </c:pt>
                <c:pt idx="1836">
                  <c:v>1067.9402378437032</c:v>
                </c:pt>
                <c:pt idx="1837">
                  <c:v>1068.0390932590576</c:v>
                </c:pt>
                <c:pt idx="1838">
                  <c:v>1067.7427568394216</c:v>
                </c:pt>
                <c:pt idx="1839">
                  <c:v>1068.0947907257703</c:v>
                </c:pt>
                <c:pt idx="1840">
                  <c:v>1068.2734735550753</c:v>
                </c:pt>
                <c:pt idx="1841">
                  <c:v>1068.2182233361216</c:v>
                </c:pt>
                <c:pt idx="1842">
                  <c:v>1067.8966883587264</c:v>
                </c:pt>
                <c:pt idx="1843">
                  <c:v>1067.6784694577784</c:v>
                </c:pt>
                <c:pt idx="1844">
                  <c:v>1067.7985305667144</c:v>
                </c:pt>
                <c:pt idx="1845">
                  <c:v>1067.9130251597367</c:v>
                </c:pt>
                <c:pt idx="1846">
                  <c:v>1067.6721559579005</c:v>
                </c:pt>
                <c:pt idx="1847">
                  <c:v>1068.0591755061134</c:v>
                </c:pt>
                <c:pt idx="1848">
                  <c:v>1068.4375657326698</c:v>
                </c:pt>
                <c:pt idx="1849">
                  <c:v>1068.4412315991017</c:v>
                </c:pt>
                <c:pt idx="1850">
                  <c:v>1069.0065926911564</c:v>
                </c:pt>
                <c:pt idx="1851">
                  <c:v>1069.5920543148341</c:v>
                </c:pt>
                <c:pt idx="1852">
                  <c:v>1069.4738387742968</c:v>
                </c:pt>
                <c:pt idx="1853">
                  <c:v>1069.8323976496979</c:v>
                </c:pt>
                <c:pt idx="1854">
                  <c:v>1070.0626572402225</c:v>
                </c:pt>
                <c:pt idx="1855">
                  <c:v>1069.3451326573747</c:v>
                </c:pt>
                <c:pt idx="1856">
                  <c:v>1068.5281145985093</c:v>
                </c:pt>
                <c:pt idx="1857">
                  <c:v>1068.6696920078762</c:v>
                </c:pt>
                <c:pt idx="1858">
                  <c:v>1068.5948232998596</c:v>
                </c:pt>
                <c:pt idx="1859">
                  <c:v>1068.7010896840204</c:v>
                </c:pt>
                <c:pt idx="1860">
                  <c:v>1068.4200818512425</c:v>
                </c:pt>
                <c:pt idx="1861">
                  <c:v>1068.6336712336326</c:v>
                </c:pt>
                <c:pt idx="1862">
                  <c:v>1068.5180956543777</c:v>
                </c:pt>
                <c:pt idx="1863">
                  <c:v>1068.5863728300808</c:v>
                </c:pt>
                <c:pt idx="1864">
                  <c:v>1068.6173978171462</c:v>
                </c:pt>
                <c:pt idx="1865">
                  <c:v>1068.6423479350196</c:v>
                </c:pt>
                <c:pt idx="1866">
                  <c:v>1068.6527691874464</c:v>
                </c:pt>
                <c:pt idx="1867">
                  <c:v>1068.7219290332484</c:v>
                </c:pt>
                <c:pt idx="1868">
                  <c:v>1068.7277476674919</c:v>
                </c:pt>
                <c:pt idx="1869">
                  <c:v>1068.8075776633166</c:v>
                </c:pt>
                <c:pt idx="1870">
                  <c:v>1068.8508295846575</c:v>
                </c:pt>
                <c:pt idx="1871">
                  <c:v>1068.7465838089406</c:v>
                </c:pt>
                <c:pt idx="1872">
                  <c:v>1069.038821286862</c:v>
                </c:pt>
                <c:pt idx="1873">
                  <c:v>1068.8668525014562</c:v>
                </c:pt>
                <c:pt idx="1874">
                  <c:v>1068.4245993313107</c:v>
                </c:pt>
                <c:pt idx="1875">
                  <c:v>1068.4845074571751</c:v>
                </c:pt>
                <c:pt idx="1876">
                  <c:v>1068.4763594820161</c:v>
                </c:pt>
                <c:pt idx="1877">
                  <c:v>1068.9069225753967</c:v>
                </c:pt>
                <c:pt idx="1878">
                  <c:v>1068.8269302537753</c:v>
                </c:pt>
                <c:pt idx="1879">
                  <c:v>1068.9286322960402</c:v>
                </c:pt>
                <c:pt idx="1880">
                  <c:v>1069.1893226754771</c:v>
                </c:pt>
                <c:pt idx="1881">
                  <c:v>1069.1454728492254</c:v>
                </c:pt>
                <c:pt idx="1882">
                  <c:v>1069.1138535265065</c:v>
                </c:pt>
                <c:pt idx="1883">
                  <c:v>1068.9362327269666</c:v>
                </c:pt>
                <c:pt idx="1884">
                  <c:v>1068.6006094152146</c:v>
                </c:pt>
                <c:pt idx="1885">
                  <c:v>1069.2763390279683</c:v>
                </c:pt>
                <c:pt idx="1886">
                  <c:v>1069.3641243450147</c:v>
                </c:pt>
                <c:pt idx="1887">
                  <c:v>1069.1186982196459</c:v>
                </c:pt>
                <c:pt idx="1888">
                  <c:v>1069.3730651722014</c:v>
                </c:pt>
                <c:pt idx="1889">
                  <c:v>1068.7468584591711</c:v>
                </c:pt>
                <c:pt idx="1890">
                  <c:v>1068.7048853651656</c:v>
                </c:pt>
                <c:pt idx="1891">
                  <c:v>1068.9071170412656</c:v>
                </c:pt>
                <c:pt idx="1892">
                  <c:v>1069.3536330849199</c:v>
                </c:pt>
                <c:pt idx="1893">
                  <c:v>1069.5921588725435</c:v>
                </c:pt>
                <c:pt idx="1894">
                  <c:v>1069.081137559999</c:v>
                </c:pt>
                <c:pt idx="1895">
                  <c:v>1069.3414038067867</c:v>
                </c:pt>
                <c:pt idx="1896">
                  <c:v>1069.401984728107</c:v>
                </c:pt>
                <c:pt idx="1897">
                  <c:v>1069.5097292433607</c:v>
                </c:pt>
                <c:pt idx="1898">
                  <c:v>1069.2628516418495</c:v>
                </c:pt>
                <c:pt idx="1899">
                  <c:v>1069.6128960825019</c:v>
                </c:pt>
                <c:pt idx="1900">
                  <c:v>1069.1194833410871</c:v>
                </c:pt>
                <c:pt idx="1901">
                  <c:v>1068.9582181265812</c:v>
                </c:pt>
                <c:pt idx="1902">
                  <c:v>1068.7877861633247</c:v>
                </c:pt>
                <c:pt idx="1903">
                  <c:v>1068.831974920018</c:v>
                </c:pt>
                <c:pt idx="1904">
                  <c:v>1068.8190931576125</c:v>
                </c:pt>
                <c:pt idx="1905">
                  <c:v>1068.9581374030115</c:v>
                </c:pt>
                <c:pt idx="1906">
                  <c:v>1068.8304909092351</c:v>
                </c:pt>
                <c:pt idx="1907">
                  <c:v>1068.6218807269245</c:v>
                </c:pt>
                <c:pt idx="1908">
                  <c:v>1068.0793945855291</c:v>
                </c:pt>
                <c:pt idx="1909">
                  <c:v>1068.5628929390966</c:v>
                </c:pt>
                <c:pt idx="1910">
                  <c:v>1068.3834075195134</c:v>
                </c:pt>
                <c:pt idx="1911">
                  <c:v>1068.8444368369826</c:v>
                </c:pt>
                <c:pt idx="1912">
                  <c:v>1068.9880282958409</c:v>
                </c:pt>
                <c:pt idx="1913">
                  <c:v>1068.6300023918077</c:v>
                </c:pt>
                <c:pt idx="1914">
                  <c:v>1068.4737263988602</c:v>
                </c:pt>
                <c:pt idx="1915">
                  <c:v>1069.1418371454345</c:v>
                </c:pt>
                <c:pt idx="1916">
                  <c:v>1069.1234081893017</c:v>
                </c:pt>
                <c:pt idx="1917">
                  <c:v>1069.312655318204</c:v>
                </c:pt>
                <c:pt idx="1918">
                  <c:v>1069.6276060302371</c:v>
                </c:pt>
                <c:pt idx="1919">
                  <c:v>1069.7376827986773</c:v>
                </c:pt>
                <c:pt idx="1920">
                  <c:v>1069.6783261779119</c:v>
                </c:pt>
                <c:pt idx="1921">
                  <c:v>1069.3569244496798</c:v>
                </c:pt>
                <c:pt idx="1922">
                  <c:v>1069.6514030623098</c:v>
                </c:pt>
                <c:pt idx="1923">
                  <c:v>1069.6552920534032</c:v>
                </c:pt>
                <c:pt idx="1924">
                  <c:v>1069.6481617337754</c:v>
                </c:pt>
                <c:pt idx="1925">
                  <c:v>1069.468753591972</c:v>
                </c:pt>
                <c:pt idx="1926">
                  <c:v>1069.3916339751138</c:v>
                </c:pt>
                <c:pt idx="1927">
                  <c:v>1069.3523734355852</c:v>
                </c:pt>
                <c:pt idx="1928">
                  <c:v>1069.4993755795103</c:v>
                </c:pt>
                <c:pt idx="1929">
                  <c:v>1069.247244473622</c:v>
                </c:pt>
                <c:pt idx="1930">
                  <c:v>1069.0090765473742</c:v>
                </c:pt>
                <c:pt idx="1931">
                  <c:v>1068.8180742137229</c:v>
                </c:pt>
                <c:pt idx="1932">
                  <c:v>1068.7782181498569</c:v>
                </c:pt>
                <c:pt idx="1933">
                  <c:v>1069.2399676063278</c:v>
                </c:pt>
                <c:pt idx="1934">
                  <c:v>1069.2924980968182</c:v>
                </c:pt>
                <c:pt idx="1935">
                  <c:v>1069.3588118882842</c:v>
                </c:pt>
                <c:pt idx="1936">
                  <c:v>1069.6833196973564</c:v>
                </c:pt>
                <c:pt idx="1937">
                  <c:v>1069.7930441734036</c:v>
                </c:pt>
                <c:pt idx="1938">
                  <c:v>1069.2078563681241</c:v>
                </c:pt>
                <c:pt idx="1939">
                  <c:v>1068.964138722652</c:v>
                </c:pt>
                <c:pt idx="1940">
                  <c:v>1068.7696655507341</c:v>
                </c:pt>
                <c:pt idx="1941">
                  <c:v>1069.0077181929507</c:v>
                </c:pt>
                <c:pt idx="1942">
                  <c:v>1069.3992447564019</c:v>
                </c:pt>
                <c:pt idx="1943">
                  <c:v>1069.3343542026012</c:v>
                </c:pt>
                <c:pt idx="1944">
                  <c:v>1068.9038199760134</c:v>
                </c:pt>
                <c:pt idx="1945">
                  <c:v>1069.1383158147501</c:v>
                </c:pt>
                <c:pt idx="1946">
                  <c:v>1069.1615297828557</c:v>
                </c:pt>
                <c:pt idx="1947">
                  <c:v>1068.9904330392615</c:v>
                </c:pt>
                <c:pt idx="1948">
                  <c:v>1069.1601722526245</c:v>
                </c:pt>
                <c:pt idx="1949">
                  <c:v>1069.1261414439193</c:v>
                </c:pt>
                <c:pt idx="1950">
                  <c:v>1069.3943733148371</c:v>
                </c:pt>
                <c:pt idx="1951">
                  <c:v>1069.475844891726</c:v>
                </c:pt>
                <c:pt idx="1952">
                  <c:v>1069.3714898363671</c:v>
                </c:pt>
                <c:pt idx="1953">
                  <c:v>1068.8088189790435</c:v>
                </c:pt>
                <c:pt idx="1954">
                  <c:v>1068.5729037539936</c:v>
                </c:pt>
                <c:pt idx="1955">
                  <c:v>1069.0937826534662</c:v>
                </c:pt>
                <c:pt idx="1956">
                  <c:v>1069.1504178400237</c:v>
                </c:pt>
                <c:pt idx="1957">
                  <c:v>1068.8977302272813</c:v>
                </c:pt>
                <c:pt idx="1958">
                  <c:v>1068.7709568236392</c:v>
                </c:pt>
                <c:pt idx="1959">
                  <c:v>1068.8035919098982</c:v>
                </c:pt>
                <c:pt idx="1960">
                  <c:v>1069.2231929154711</c:v>
                </c:pt>
                <c:pt idx="1961">
                  <c:v>1069.1443203838878</c:v>
                </c:pt>
                <c:pt idx="1962">
                  <c:v>1069.4362929911306</c:v>
                </c:pt>
                <c:pt idx="1963">
                  <c:v>1069.0527851745499</c:v>
                </c:pt>
                <c:pt idx="1964">
                  <c:v>1068.7991312594563</c:v>
                </c:pt>
                <c:pt idx="1965">
                  <c:v>1068.5916719373076</c:v>
                </c:pt>
                <c:pt idx="1966">
                  <c:v>1068.9408367692815</c:v>
                </c:pt>
                <c:pt idx="1967">
                  <c:v>1068.868466706052</c:v>
                </c:pt>
                <c:pt idx="1968">
                  <c:v>1069.1605836074375</c:v>
                </c:pt>
                <c:pt idx="1969">
                  <c:v>1068.8999326019202</c:v>
                </c:pt>
                <c:pt idx="1970">
                  <c:v>1069.0104937412054</c:v>
                </c:pt>
                <c:pt idx="1971">
                  <c:v>1069.3105720191597</c:v>
                </c:pt>
                <c:pt idx="1972">
                  <c:v>1069.0333985937846</c:v>
                </c:pt>
                <c:pt idx="1973">
                  <c:v>1069.1121915438744</c:v>
                </c:pt>
                <c:pt idx="1974">
                  <c:v>1069.1643544078695</c:v>
                </c:pt>
                <c:pt idx="1975">
                  <c:v>1069.4165982916759</c:v>
                </c:pt>
                <c:pt idx="1976">
                  <c:v>1069.2633011754936</c:v>
                </c:pt>
                <c:pt idx="1977">
                  <c:v>1068.8754335185629</c:v>
                </c:pt>
                <c:pt idx="1978">
                  <c:v>1068.3994425523686</c:v>
                </c:pt>
                <c:pt idx="1979">
                  <c:v>1068.511056099796</c:v>
                </c:pt>
                <c:pt idx="1980">
                  <c:v>1068.794282302837</c:v>
                </c:pt>
                <c:pt idx="1981">
                  <c:v>1069.1390949429112</c:v>
                </c:pt>
                <c:pt idx="1982">
                  <c:v>1069.1458757833607</c:v>
                </c:pt>
                <c:pt idx="1983">
                  <c:v>1068.9205197755743</c:v>
                </c:pt>
                <c:pt idx="1984">
                  <c:v>1068.8747569389227</c:v>
                </c:pt>
                <c:pt idx="1985">
                  <c:v>1068.5637891404667</c:v>
                </c:pt>
                <c:pt idx="1986">
                  <c:v>1068.6520197310585</c:v>
                </c:pt>
                <c:pt idx="1987">
                  <c:v>1069.1094296546153</c:v>
                </c:pt>
                <c:pt idx="1988">
                  <c:v>1068.8747125278012</c:v>
                </c:pt>
                <c:pt idx="1989">
                  <c:v>1068.7568335307892</c:v>
                </c:pt>
                <c:pt idx="1990">
                  <c:v>1068.916297136936</c:v>
                </c:pt>
                <c:pt idx="1991">
                  <c:v>1068.504408872059</c:v>
                </c:pt>
                <c:pt idx="1992">
                  <c:v>1068.6996665808069</c:v>
                </c:pt>
                <c:pt idx="1993">
                  <c:v>1068.7734829577032</c:v>
                </c:pt>
                <c:pt idx="1994">
                  <c:v>1069.1019432286066</c:v>
                </c:pt>
                <c:pt idx="1995">
                  <c:v>1069.1737914486112</c:v>
                </c:pt>
                <c:pt idx="1996">
                  <c:v>1068.8363354190285</c:v>
                </c:pt>
                <c:pt idx="1997">
                  <c:v>1068.6034916122146</c:v>
                </c:pt>
                <c:pt idx="1998">
                  <c:v>1068.5483735632079</c:v>
                </c:pt>
                <c:pt idx="1999">
                  <c:v>1067.800991012115</c:v>
                </c:pt>
                <c:pt idx="2000">
                  <c:v>1068.4488106017682</c:v>
                </c:pt>
                <c:pt idx="2001">
                  <c:v>1068.9529874364132</c:v>
                </c:pt>
                <c:pt idx="2002">
                  <c:v>1068.8193377101586</c:v>
                </c:pt>
                <c:pt idx="2003">
                  <c:v>1068.7197719147739</c:v>
                </c:pt>
                <c:pt idx="2004">
                  <c:v>1068.1904614405705</c:v>
                </c:pt>
                <c:pt idx="2005">
                  <c:v>1068.1879432635426</c:v>
                </c:pt>
                <c:pt idx="2006">
                  <c:v>1068.1585713642962</c:v>
                </c:pt>
                <c:pt idx="2007">
                  <c:v>1067.921215310449</c:v>
                </c:pt>
                <c:pt idx="2008">
                  <c:v>1068.1539117522391</c:v>
                </c:pt>
                <c:pt idx="2009">
                  <c:v>1068.1188105857516</c:v>
                </c:pt>
                <c:pt idx="2010">
                  <c:v>1067.8131938458505</c:v>
                </c:pt>
                <c:pt idx="2011">
                  <c:v>1068.0692843545962</c:v>
                </c:pt>
                <c:pt idx="2012">
                  <c:v>1068.1144644669325</c:v>
                </c:pt>
                <c:pt idx="2013">
                  <c:v>1068.3618046453748</c:v>
                </c:pt>
                <c:pt idx="2014">
                  <c:v>1068.6126528653051</c:v>
                </c:pt>
                <c:pt idx="2015">
                  <c:v>1068.0388565266182</c:v>
                </c:pt>
                <c:pt idx="2016">
                  <c:v>1067.5885676247406</c:v>
                </c:pt>
                <c:pt idx="2017">
                  <c:v>1067.8738343713419</c:v>
                </c:pt>
                <c:pt idx="2018">
                  <c:v>1068.2152141999256</c:v>
                </c:pt>
                <c:pt idx="2019">
                  <c:v>1068.4605878575846</c:v>
                </c:pt>
                <c:pt idx="2020">
                  <c:v>1068.554795065354</c:v>
                </c:pt>
                <c:pt idx="2021">
                  <c:v>1068.4860078082002</c:v>
                </c:pt>
                <c:pt idx="2022">
                  <c:v>1068.2334676455491</c:v>
                </c:pt>
                <c:pt idx="2023">
                  <c:v>1068.0511915058719</c:v>
                </c:pt>
                <c:pt idx="2024">
                  <c:v>1068.2503475162566</c:v>
                </c:pt>
                <c:pt idx="2025">
                  <c:v>1068.2158439077393</c:v>
                </c:pt>
                <c:pt idx="2026">
                  <c:v>1068.0882324516542</c:v>
                </c:pt>
                <c:pt idx="2027">
                  <c:v>1068.3178637660942</c:v>
                </c:pt>
                <c:pt idx="2028">
                  <c:v>1068.2245911487205</c:v>
                </c:pt>
                <c:pt idx="2029">
                  <c:v>1068.1058891069085</c:v>
                </c:pt>
                <c:pt idx="2030">
                  <c:v>1068.2373386713116</c:v>
                </c:pt>
                <c:pt idx="2031">
                  <c:v>1068.0540891988089</c:v>
                </c:pt>
                <c:pt idx="2032">
                  <c:v>1068.108014933156</c:v>
                </c:pt>
                <c:pt idx="2033">
                  <c:v>1067.9433797276824</c:v>
                </c:pt>
                <c:pt idx="2034">
                  <c:v>1067.8454010837083</c:v>
                </c:pt>
                <c:pt idx="2035">
                  <c:v>1067.5993462016199</c:v>
                </c:pt>
                <c:pt idx="2036">
                  <c:v>1067.4315920248305</c:v>
                </c:pt>
                <c:pt idx="2037">
                  <c:v>1067.4165642368444</c:v>
                </c:pt>
                <c:pt idx="2038">
                  <c:v>1067.7025268155512</c:v>
                </c:pt>
                <c:pt idx="2039">
                  <c:v>1067.2210046660525</c:v>
                </c:pt>
                <c:pt idx="2040">
                  <c:v>1067.3718646177347</c:v>
                </c:pt>
                <c:pt idx="2041">
                  <c:v>1067.5726454268422</c:v>
                </c:pt>
                <c:pt idx="2042">
                  <c:v>1067.3790448800155</c:v>
                </c:pt>
                <c:pt idx="2043">
                  <c:v>1067.8386422713068</c:v>
                </c:pt>
                <c:pt idx="2044">
                  <c:v>1067.4250762443751</c:v>
                </c:pt>
                <c:pt idx="2045">
                  <c:v>1067.7255225847682</c:v>
                </c:pt>
                <c:pt idx="2046">
                  <c:v>1067.9182388829429</c:v>
                </c:pt>
                <c:pt idx="2047">
                  <c:v>1067.4499990041365</c:v>
                </c:pt>
                <c:pt idx="2048">
                  <c:v>1066.9574786117851</c:v>
                </c:pt>
                <c:pt idx="2049">
                  <c:v>1066.931847091588</c:v>
                </c:pt>
                <c:pt idx="2050">
                  <c:v>1066.9843185802047</c:v>
                </c:pt>
                <c:pt idx="2051">
                  <c:v>1067.2354779661864</c:v>
                </c:pt>
                <c:pt idx="2052">
                  <c:v>1067.1494680935432</c:v>
                </c:pt>
                <c:pt idx="2053">
                  <c:v>1067.0779957764953</c:v>
                </c:pt>
                <c:pt idx="2054">
                  <c:v>1067.0061485681424</c:v>
                </c:pt>
                <c:pt idx="2055">
                  <c:v>1066.8699350537349</c:v>
                </c:pt>
                <c:pt idx="2056">
                  <c:v>1067.3124488320286</c:v>
                </c:pt>
                <c:pt idx="2057">
                  <c:v>1067.5032699104611</c:v>
                </c:pt>
                <c:pt idx="2058">
                  <c:v>1067.0758302489842</c:v>
                </c:pt>
                <c:pt idx="2059">
                  <c:v>1067.0819245240991</c:v>
                </c:pt>
                <c:pt idx="2060">
                  <c:v>1066.2317462842846</c:v>
                </c:pt>
                <c:pt idx="2061">
                  <c:v>1066.4692147046876</c:v>
                </c:pt>
                <c:pt idx="2062">
                  <c:v>1066.1057304100771</c:v>
                </c:pt>
                <c:pt idx="2063">
                  <c:v>1066.4844682436617</c:v>
                </c:pt>
                <c:pt idx="2064">
                  <c:v>1066.3202559854269</c:v>
                </c:pt>
                <c:pt idx="2065">
                  <c:v>1066.4476882423846</c:v>
                </c:pt>
                <c:pt idx="2066">
                  <c:v>1066.1556105648458</c:v>
                </c:pt>
                <c:pt idx="2067">
                  <c:v>1065.8173033066605</c:v>
                </c:pt>
                <c:pt idx="2068">
                  <c:v>1065.4414973514579</c:v>
                </c:pt>
                <c:pt idx="2069">
                  <c:v>1065.8432283723234</c:v>
                </c:pt>
                <c:pt idx="2070">
                  <c:v>1066.1961547207477</c:v>
                </c:pt>
                <c:pt idx="2071">
                  <c:v>1066.2996039041864</c:v>
                </c:pt>
                <c:pt idx="2072">
                  <c:v>1066.193143802521</c:v>
                </c:pt>
                <c:pt idx="2073">
                  <c:v>1065.9711525975442</c:v>
                </c:pt>
                <c:pt idx="2074">
                  <c:v>1065.7321618482863</c:v>
                </c:pt>
                <c:pt idx="2075">
                  <c:v>1065.8689382514638</c:v>
                </c:pt>
                <c:pt idx="2076">
                  <c:v>1065.7285537224984</c:v>
                </c:pt>
                <c:pt idx="2077">
                  <c:v>1065.5437748616077</c:v>
                </c:pt>
                <c:pt idx="2078">
                  <c:v>1065.5282258128539</c:v>
                </c:pt>
                <c:pt idx="2079">
                  <c:v>1065.1541908235897</c:v>
                </c:pt>
                <c:pt idx="2080">
                  <c:v>1065.1790796966516</c:v>
                </c:pt>
                <c:pt idx="2081">
                  <c:v>1065.1177206006287</c:v>
                </c:pt>
                <c:pt idx="2082">
                  <c:v>1065.6609124327565</c:v>
                </c:pt>
                <c:pt idx="2083">
                  <c:v>1065.4826018687581</c:v>
                </c:pt>
                <c:pt idx="2084">
                  <c:v>1065.0618872872626</c:v>
                </c:pt>
                <c:pt idx="2085">
                  <c:v>1065.0338624167505</c:v>
                </c:pt>
                <c:pt idx="2086">
                  <c:v>1064.9783042186141</c:v>
                </c:pt>
                <c:pt idx="2087">
                  <c:v>1064.427304085845</c:v>
                </c:pt>
                <c:pt idx="2088">
                  <c:v>1064.8340877873143</c:v>
                </c:pt>
                <c:pt idx="2089">
                  <c:v>1065.4816389638922</c:v>
                </c:pt>
                <c:pt idx="2090">
                  <c:v>1065.3120116400382</c:v>
                </c:pt>
                <c:pt idx="2091">
                  <c:v>1065.4386432747835</c:v>
                </c:pt>
                <c:pt idx="2092">
                  <c:v>1065.0315615927195</c:v>
                </c:pt>
                <c:pt idx="2093">
                  <c:v>1065.3883667168952</c:v>
                </c:pt>
                <c:pt idx="2094">
                  <c:v>1065.4984223853539</c:v>
                </c:pt>
                <c:pt idx="2095">
                  <c:v>1064.9703641705973</c:v>
                </c:pt>
                <c:pt idx="2096">
                  <c:v>1064.9461519446879</c:v>
                </c:pt>
                <c:pt idx="2097">
                  <c:v>1064.7891693551267</c:v>
                </c:pt>
                <c:pt idx="2098">
                  <c:v>1064.6357388540177</c:v>
                </c:pt>
                <c:pt idx="2099">
                  <c:v>1064.5413398240723</c:v>
                </c:pt>
                <c:pt idx="2100">
                  <c:v>1064.3165447697272</c:v>
                </c:pt>
                <c:pt idx="2101">
                  <c:v>1063.9427429163629</c:v>
                </c:pt>
                <c:pt idx="2102">
                  <c:v>1064.4553726351428</c:v>
                </c:pt>
                <c:pt idx="2103">
                  <c:v>1064.7638142029109</c:v>
                </c:pt>
                <c:pt idx="2104">
                  <c:v>1064.0625868695768</c:v>
                </c:pt>
                <c:pt idx="2105">
                  <c:v>1064.1835282729637</c:v>
                </c:pt>
                <c:pt idx="2106">
                  <c:v>1064.1604160524189</c:v>
                </c:pt>
                <c:pt idx="2107">
                  <c:v>1064.0842970023971</c:v>
                </c:pt>
                <c:pt idx="2108">
                  <c:v>1064.1392034651203</c:v>
                </c:pt>
                <c:pt idx="2109">
                  <c:v>1063.897286024815</c:v>
                </c:pt>
                <c:pt idx="2110">
                  <c:v>1064.3455936206251</c:v>
                </c:pt>
                <c:pt idx="2111">
                  <c:v>1063.7003023057619</c:v>
                </c:pt>
                <c:pt idx="2112">
                  <c:v>1064.0016255668199</c:v>
                </c:pt>
                <c:pt idx="2113">
                  <c:v>1063.900037491175</c:v>
                </c:pt>
                <c:pt idx="2114">
                  <c:v>1063.9507874700985</c:v>
                </c:pt>
                <c:pt idx="2115">
                  <c:v>1063.8363395514559</c:v>
                </c:pt>
                <c:pt idx="2116">
                  <c:v>1063.8736618569346</c:v>
                </c:pt>
                <c:pt idx="2117">
                  <c:v>1063.4587891263679</c:v>
                </c:pt>
                <c:pt idx="2118">
                  <c:v>1063.8631486256704</c:v>
                </c:pt>
                <c:pt idx="2119">
                  <c:v>1063.6705733674326</c:v>
                </c:pt>
                <c:pt idx="2120">
                  <c:v>1063.4243868061808</c:v>
                </c:pt>
                <c:pt idx="2121">
                  <c:v>1064.1694366188044</c:v>
                </c:pt>
                <c:pt idx="2122">
                  <c:v>1063.7082625811609</c:v>
                </c:pt>
                <c:pt idx="2123">
                  <c:v>1063.1115953044825</c:v>
                </c:pt>
                <c:pt idx="2124">
                  <c:v>1062.744726424527</c:v>
                </c:pt>
                <c:pt idx="2125">
                  <c:v>1062.3603185120671</c:v>
                </c:pt>
                <c:pt idx="2126">
                  <c:v>1062.9342207010959</c:v>
                </c:pt>
                <c:pt idx="2127">
                  <c:v>1063.2524754406036</c:v>
                </c:pt>
                <c:pt idx="2128">
                  <c:v>1063.2615188093982</c:v>
                </c:pt>
                <c:pt idx="2129">
                  <c:v>1063.2635671836888</c:v>
                </c:pt>
                <c:pt idx="2130">
                  <c:v>1062.9973062705649</c:v>
                </c:pt>
                <c:pt idx="2131">
                  <c:v>1062.9323424400482</c:v>
                </c:pt>
                <c:pt idx="2132">
                  <c:v>1063.0016884943623</c:v>
                </c:pt>
                <c:pt idx="2133">
                  <c:v>1063.1079640983189</c:v>
                </c:pt>
                <c:pt idx="2134">
                  <c:v>1063.2848587072895</c:v>
                </c:pt>
                <c:pt idx="2135">
                  <c:v>1062.9218078697857</c:v>
                </c:pt>
                <c:pt idx="2136">
                  <c:v>1062.6097057811555</c:v>
                </c:pt>
                <c:pt idx="2137">
                  <c:v>1062.546406103118</c:v>
                </c:pt>
                <c:pt idx="2138">
                  <c:v>1062.209473486766</c:v>
                </c:pt>
                <c:pt idx="2139">
                  <c:v>1062.2622291111256</c:v>
                </c:pt>
                <c:pt idx="2140">
                  <c:v>1062.4655387717162</c:v>
                </c:pt>
                <c:pt idx="2141">
                  <c:v>1062.5221471690184</c:v>
                </c:pt>
                <c:pt idx="2142">
                  <c:v>1062.3534444518582</c:v>
                </c:pt>
                <c:pt idx="2143">
                  <c:v>1062.0702287558627</c:v>
                </c:pt>
                <c:pt idx="2144">
                  <c:v>1061.7376084774394</c:v>
                </c:pt>
                <c:pt idx="2145">
                  <c:v>1061.4130507734292</c:v>
                </c:pt>
                <c:pt idx="2146">
                  <c:v>1061.3626208593309</c:v>
                </c:pt>
                <c:pt idx="2147">
                  <c:v>1062.0118147290079</c:v>
                </c:pt>
                <c:pt idx="2148">
                  <c:v>1062.3710225802849</c:v>
                </c:pt>
                <c:pt idx="2149">
                  <c:v>1061.9957455332815</c:v>
                </c:pt>
                <c:pt idx="2150">
                  <c:v>1062.0727790923388</c:v>
                </c:pt>
                <c:pt idx="2151">
                  <c:v>1061.8266714685064</c:v>
                </c:pt>
                <c:pt idx="2152">
                  <c:v>1062.0259387934591</c:v>
                </c:pt>
                <c:pt idx="2153">
                  <c:v>1062.312194688019</c:v>
                </c:pt>
                <c:pt idx="2154">
                  <c:v>1062.4498124135698</c:v>
                </c:pt>
                <c:pt idx="2155">
                  <c:v>1062.3393617911906</c:v>
                </c:pt>
                <c:pt idx="2156">
                  <c:v>1062.3559913746703</c:v>
                </c:pt>
                <c:pt idx="2157">
                  <c:v>1061.9889285923732</c:v>
                </c:pt>
                <c:pt idx="2158">
                  <c:v>1062.0640951887594</c:v>
                </c:pt>
                <c:pt idx="2159">
                  <c:v>1061.514593547447</c:v>
                </c:pt>
                <c:pt idx="2160">
                  <c:v>1061.2192997735242</c:v>
                </c:pt>
                <c:pt idx="2161">
                  <c:v>1061.1883679646849</c:v>
                </c:pt>
                <c:pt idx="2162">
                  <c:v>1060.5571910579599</c:v>
                </c:pt>
                <c:pt idx="2163">
                  <c:v>1061.2851900235742</c:v>
                </c:pt>
                <c:pt idx="2164">
                  <c:v>1060.9651579155081</c:v>
                </c:pt>
                <c:pt idx="2165">
                  <c:v>1060.7904848791054</c:v>
                </c:pt>
                <c:pt idx="2166">
                  <c:v>1061.0907062977976</c:v>
                </c:pt>
                <c:pt idx="2167">
                  <c:v>1060.400836107618</c:v>
                </c:pt>
                <c:pt idx="2168">
                  <c:v>1060.6271919293467</c:v>
                </c:pt>
                <c:pt idx="2169">
                  <c:v>1060.5833015597623</c:v>
                </c:pt>
                <c:pt idx="2170">
                  <c:v>1060.3310365253021</c:v>
                </c:pt>
                <c:pt idx="2171">
                  <c:v>1060.388374718518</c:v>
                </c:pt>
                <c:pt idx="2172">
                  <c:v>1060.7171365287118</c:v>
                </c:pt>
                <c:pt idx="2173">
                  <c:v>1060.9202682426844</c:v>
                </c:pt>
                <c:pt idx="2174">
                  <c:v>1060.8133678907113</c:v>
                </c:pt>
                <c:pt idx="2175">
                  <c:v>1060.9771474309459</c:v>
                </c:pt>
                <c:pt idx="2176">
                  <c:v>1061.1036833888702</c:v>
                </c:pt>
                <c:pt idx="2177">
                  <c:v>1060.9715069239696</c:v>
                </c:pt>
                <c:pt idx="2178">
                  <c:v>1060.5175961777754</c:v>
                </c:pt>
                <c:pt idx="2179">
                  <c:v>1060.2330248879273</c:v>
                </c:pt>
                <c:pt idx="2180">
                  <c:v>1059.9354675834213</c:v>
                </c:pt>
                <c:pt idx="2181">
                  <c:v>1059.6091870006346</c:v>
                </c:pt>
                <c:pt idx="2182">
                  <c:v>1059.7643882139669</c:v>
                </c:pt>
                <c:pt idx="2183">
                  <c:v>1059.8643821174185</c:v>
                </c:pt>
                <c:pt idx="2184">
                  <c:v>1059.8105956818763</c:v>
                </c:pt>
                <c:pt idx="2185">
                  <c:v>1059.5463308305232</c:v>
                </c:pt>
                <c:pt idx="2186">
                  <c:v>1059.1392556374471</c:v>
                </c:pt>
                <c:pt idx="2187">
                  <c:v>1058.9892528890693</c:v>
                </c:pt>
                <c:pt idx="2188">
                  <c:v>1059.3965940182634</c:v>
                </c:pt>
                <c:pt idx="2189">
                  <c:v>1059.0779560776161</c:v>
                </c:pt>
                <c:pt idx="2190">
                  <c:v>1059.4399862328123</c:v>
                </c:pt>
                <c:pt idx="2191">
                  <c:v>1059.5422331757441</c:v>
                </c:pt>
                <c:pt idx="2192">
                  <c:v>1059.4817047690549</c:v>
                </c:pt>
                <c:pt idx="2193">
                  <c:v>1059.4320373828423</c:v>
                </c:pt>
                <c:pt idx="2194">
                  <c:v>1059.0764243324368</c:v>
                </c:pt>
                <c:pt idx="2195">
                  <c:v>1058.5941720114913</c:v>
                </c:pt>
                <c:pt idx="2196">
                  <c:v>1058.0792884760638</c:v>
                </c:pt>
                <c:pt idx="2197">
                  <c:v>1058.2295222430664</c:v>
                </c:pt>
                <c:pt idx="2198">
                  <c:v>1058.992099607791</c:v>
                </c:pt>
                <c:pt idx="2199">
                  <c:v>1059.2193572078004</c:v>
                </c:pt>
                <c:pt idx="2200">
                  <c:v>1059.1849757901857</c:v>
                </c:pt>
                <c:pt idx="2201">
                  <c:v>1059.5056230201167</c:v>
                </c:pt>
                <c:pt idx="2202">
                  <c:v>1059.250250731895</c:v>
                </c:pt>
                <c:pt idx="2203">
                  <c:v>1059.2726958163212</c:v>
                </c:pt>
                <c:pt idx="2204">
                  <c:v>1058.8714580697272</c:v>
                </c:pt>
                <c:pt idx="2205">
                  <c:v>1058.7397625841836</c:v>
                </c:pt>
                <c:pt idx="2206">
                  <c:v>1058.7948451202333</c:v>
                </c:pt>
                <c:pt idx="2207">
                  <c:v>1058.4297853675528</c:v>
                </c:pt>
                <c:pt idx="2208">
                  <c:v>1058.3677114790717</c:v>
                </c:pt>
                <c:pt idx="2209">
                  <c:v>1058.5618456576233</c:v>
                </c:pt>
                <c:pt idx="2210">
                  <c:v>1058.3748055890785</c:v>
                </c:pt>
                <c:pt idx="2211">
                  <c:v>1058.3881394843229</c:v>
                </c:pt>
                <c:pt idx="2212">
                  <c:v>1058.0746840306608</c:v>
                </c:pt>
                <c:pt idx="2213">
                  <c:v>1058.2511261058692</c:v>
                </c:pt>
                <c:pt idx="2214">
                  <c:v>1057.9472518289201</c:v>
                </c:pt>
                <c:pt idx="2215">
                  <c:v>1057.7239909705711</c:v>
                </c:pt>
                <c:pt idx="2216">
                  <c:v>1057.7096111251633</c:v>
                </c:pt>
                <c:pt idx="2217">
                  <c:v>1058.6024833210806</c:v>
                </c:pt>
                <c:pt idx="2218">
                  <c:v>1058.2478893109467</c:v>
                </c:pt>
                <c:pt idx="2219">
                  <c:v>1058.1680670674546</c:v>
                </c:pt>
                <c:pt idx="2220">
                  <c:v>1057.6050104885624</c:v>
                </c:pt>
                <c:pt idx="2221">
                  <c:v>1056.9089656577776</c:v>
                </c:pt>
                <c:pt idx="2222">
                  <c:v>1056.9309649594275</c:v>
                </c:pt>
                <c:pt idx="2223">
                  <c:v>1056.8744525174304</c:v>
                </c:pt>
                <c:pt idx="2224">
                  <c:v>1057.3316361045213</c:v>
                </c:pt>
                <c:pt idx="2225">
                  <c:v>1057.3825631684117</c:v>
                </c:pt>
                <c:pt idx="2226">
                  <c:v>1057.0796285716767</c:v>
                </c:pt>
                <c:pt idx="2227">
                  <c:v>1056.7623324893627</c:v>
                </c:pt>
                <c:pt idx="2228">
                  <c:v>1057.086371341456</c:v>
                </c:pt>
                <c:pt idx="2229">
                  <c:v>1056.5314960905198</c:v>
                </c:pt>
                <c:pt idx="2230">
                  <c:v>1056.8505486234403</c:v>
                </c:pt>
                <c:pt idx="2231">
                  <c:v>1056.3942830424321</c:v>
                </c:pt>
                <c:pt idx="2232">
                  <c:v>1056.5050812789079</c:v>
                </c:pt>
                <c:pt idx="2233">
                  <c:v>1056.6197499913831</c:v>
                </c:pt>
                <c:pt idx="2234">
                  <c:v>1056.0350976651475</c:v>
                </c:pt>
                <c:pt idx="2235">
                  <c:v>1055.7795351877564</c:v>
                </c:pt>
                <c:pt idx="2236">
                  <c:v>1055.8866792765157</c:v>
                </c:pt>
                <c:pt idx="2237">
                  <c:v>1056.0524807975901</c:v>
                </c:pt>
                <c:pt idx="2238">
                  <c:v>1055.6319418335534</c:v>
                </c:pt>
                <c:pt idx="2239">
                  <c:v>1055.6323627262866</c:v>
                </c:pt>
                <c:pt idx="2240">
                  <c:v>1055.3309778823652</c:v>
                </c:pt>
                <c:pt idx="2241">
                  <c:v>1055.5388676172636</c:v>
                </c:pt>
                <c:pt idx="2242">
                  <c:v>1055.1720226787381</c:v>
                </c:pt>
                <c:pt idx="2243">
                  <c:v>1055.5296741044722</c:v>
                </c:pt>
                <c:pt idx="2244">
                  <c:v>1055.8106710724583</c:v>
                </c:pt>
                <c:pt idx="2245">
                  <c:v>1055.5975603607299</c:v>
                </c:pt>
                <c:pt idx="2246">
                  <c:v>1055.5042885878481</c:v>
                </c:pt>
                <c:pt idx="2247">
                  <c:v>1055.3021484547135</c:v>
                </c:pt>
                <c:pt idx="2248">
                  <c:v>1055.2975561453788</c:v>
                </c:pt>
                <c:pt idx="2249">
                  <c:v>1055.9666277880924</c:v>
                </c:pt>
                <c:pt idx="2250">
                  <c:v>1055.8901688839537</c:v>
                </c:pt>
                <c:pt idx="2251">
                  <c:v>1055.2319666824499</c:v>
                </c:pt>
                <c:pt idx="2252">
                  <c:v>1054.8700925191074</c:v>
                </c:pt>
                <c:pt idx="2253">
                  <c:v>1054.9950836301477</c:v>
                </c:pt>
                <c:pt idx="2254">
                  <c:v>1055.1675325550932</c:v>
                </c:pt>
                <c:pt idx="2255">
                  <c:v>1055.2535799869597</c:v>
                </c:pt>
                <c:pt idx="2256">
                  <c:v>1055.6204303706663</c:v>
                </c:pt>
                <c:pt idx="2257">
                  <c:v>1055.038772327795</c:v>
                </c:pt>
                <c:pt idx="2258">
                  <c:v>1054.9022511447226</c:v>
                </c:pt>
                <c:pt idx="2259">
                  <c:v>1054.2302904970634</c:v>
                </c:pt>
                <c:pt idx="2260">
                  <c:v>1054.4603462256382</c:v>
                </c:pt>
                <c:pt idx="2261">
                  <c:v>1054.0024319063889</c:v>
                </c:pt>
                <c:pt idx="2262">
                  <c:v>1054.2531207631102</c:v>
                </c:pt>
                <c:pt idx="2263">
                  <c:v>1054.1761983762299</c:v>
                </c:pt>
                <c:pt idx="2264">
                  <c:v>1053.8615144393541</c:v>
                </c:pt>
                <c:pt idx="2265">
                  <c:v>1053.3861174899048</c:v>
                </c:pt>
                <c:pt idx="2266">
                  <c:v>1053.3117086632453</c:v>
                </c:pt>
                <c:pt idx="2267">
                  <c:v>1053.203845897938</c:v>
                </c:pt>
                <c:pt idx="2268">
                  <c:v>1053.6631476049622</c:v>
                </c:pt>
                <c:pt idx="2269">
                  <c:v>1053.2730511726163</c:v>
                </c:pt>
                <c:pt idx="2270">
                  <c:v>1053.4517176847528</c:v>
                </c:pt>
                <c:pt idx="2271">
                  <c:v>1053.4946519625662</c:v>
                </c:pt>
                <c:pt idx="2272">
                  <c:v>1053.5500530955364</c:v>
                </c:pt>
                <c:pt idx="2273">
                  <c:v>1053.9487206452611</c:v>
                </c:pt>
                <c:pt idx="2274">
                  <c:v>1054.0834502245384</c:v>
                </c:pt>
                <c:pt idx="2275">
                  <c:v>1053.8817474667771</c:v>
                </c:pt>
                <c:pt idx="2276">
                  <c:v>1053.8418584233102</c:v>
                </c:pt>
                <c:pt idx="2277">
                  <c:v>1052.8154548429216</c:v>
                </c:pt>
                <c:pt idx="2278">
                  <c:v>1052.6287717770185</c:v>
                </c:pt>
                <c:pt idx="2279">
                  <c:v>1052.3657271359134</c:v>
                </c:pt>
                <c:pt idx="2280">
                  <c:v>1052.4429513831756</c:v>
                </c:pt>
                <c:pt idx="2281">
                  <c:v>1052.2202876140202</c:v>
                </c:pt>
                <c:pt idx="2282">
                  <c:v>1052.0394662206784</c:v>
                </c:pt>
                <c:pt idx="2283">
                  <c:v>1051.9525010876889</c:v>
                </c:pt>
                <c:pt idx="2284">
                  <c:v>1052.0231597479292</c:v>
                </c:pt>
                <c:pt idx="2285">
                  <c:v>1052.1183601590592</c:v>
                </c:pt>
                <c:pt idx="2286">
                  <c:v>1052.0747340858447</c:v>
                </c:pt>
                <c:pt idx="2287">
                  <c:v>1052.1578395234812</c:v>
                </c:pt>
                <c:pt idx="2288">
                  <c:v>1051.83156359075</c:v>
                </c:pt>
                <c:pt idx="2289">
                  <c:v>1051.9320315501532</c:v>
                </c:pt>
                <c:pt idx="2290">
                  <c:v>1051.3888211518918</c:v>
                </c:pt>
                <c:pt idx="2291">
                  <c:v>1051.2787809584338</c:v>
                </c:pt>
                <c:pt idx="2292">
                  <c:v>1051.4058183305317</c:v>
                </c:pt>
                <c:pt idx="2293">
                  <c:v>1050.9005785721824</c:v>
                </c:pt>
                <c:pt idx="2294">
                  <c:v>1051.6586283680538</c:v>
                </c:pt>
                <c:pt idx="2295">
                  <c:v>1051.4210184315941</c:v>
                </c:pt>
                <c:pt idx="2296">
                  <c:v>1051.5568922120053</c:v>
                </c:pt>
                <c:pt idx="2297">
                  <c:v>1051.4255520745401</c:v>
                </c:pt>
                <c:pt idx="2298">
                  <c:v>1051.3153666046505</c:v>
                </c:pt>
                <c:pt idx="2299">
                  <c:v>1051.1474078838012</c:v>
                </c:pt>
                <c:pt idx="2300">
                  <c:v>1051.3743195156665</c:v>
                </c:pt>
                <c:pt idx="2301">
                  <c:v>1050.6532534394914</c:v>
                </c:pt>
                <c:pt idx="2302">
                  <c:v>1050.8648698861691</c:v>
                </c:pt>
                <c:pt idx="2303">
                  <c:v>1050.7338296982357</c:v>
                </c:pt>
                <c:pt idx="2304">
                  <c:v>1050.2826617239946</c:v>
                </c:pt>
                <c:pt idx="2305">
                  <c:v>1049.8420858253241</c:v>
                </c:pt>
                <c:pt idx="2306">
                  <c:v>1049.8536335058373</c:v>
                </c:pt>
                <c:pt idx="2307">
                  <c:v>1050.1765733895381</c:v>
                </c:pt>
                <c:pt idx="2308">
                  <c:v>1050.3758748684786</c:v>
                </c:pt>
                <c:pt idx="2309">
                  <c:v>1049.9989000592068</c:v>
                </c:pt>
                <c:pt idx="2310">
                  <c:v>1049.9283823326102</c:v>
                </c:pt>
                <c:pt idx="2311">
                  <c:v>1050.2552007938075</c:v>
                </c:pt>
                <c:pt idx="2312">
                  <c:v>1050.094496286508</c:v>
                </c:pt>
                <c:pt idx="2313">
                  <c:v>1050.1975261282125</c:v>
                </c:pt>
                <c:pt idx="2314">
                  <c:v>1049.5813821615845</c:v>
                </c:pt>
                <c:pt idx="2315">
                  <c:v>1049.5609366298836</c:v>
                </c:pt>
                <c:pt idx="2316">
                  <c:v>1049.5040344263568</c:v>
                </c:pt>
                <c:pt idx="2317">
                  <c:v>1049.5550781707686</c:v>
                </c:pt>
                <c:pt idx="2318">
                  <c:v>1050.0506913538466</c:v>
                </c:pt>
                <c:pt idx="2319">
                  <c:v>1050.1088429309291</c:v>
                </c:pt>
                <c:pt idx="2320">
                  <c:v>1049.7362645821772</c:v>
                </c:pt>
                <c:pt idx="2321">
                  <c:v>1049.7891442770861</c:v>
                </c:pt>
                <c:pt idx="2322">
                  <c:v>1049.0537482824595</c:v>
                </c:pt>
                <c:pt idx="2323">
                  <c:v>1048.2507600732026</c:v>
                </c:pt>
                <c:pt idx="2324">
                  <c:v>1048.9855383510785</c:v>
                </c:pt>
                <c:pt idx="2325">
                  <c:v>1049.3620794968851</c:v>
                </c:pt>
                <c:pt idx="2326">
                  <c:v>1049.4134555118439</c:v>
                </c:pt>
                <c:pt idx="2327">
                  <c:v>1049.2455381862235</c:v>
                </c:pt>
                <c:pt idx="2328">
                  <c:v>1048.8411429871971</c:v>
                </c:pt>
                <c:pt idx="2329">
                  <c:v>1048.9244394994903</c:v>
                </c:pt>
                <c:pt idx="2330">
                  <c:v>1048.5834452252259</c:v>
                </c:pt>
                <c:pt idx="2331">
                  <c:v>1048.3042817626049</c:v>
                </c:pt>
                <c:pt idx="2332">
                  <c:v>1048.5185367279607</c:v>
                </c:pt>
                <c:pt idx="2333">
                  <c:v>1047.8558059966401</c:v>
                </c:pt>
                <c:pt idx="2334">
                  <c:v>1047.2901253569985</c:v>
                </c:pt>
                <c:pt idx="2335">
                  <c:v>1047.5879033085223</c:v>
                </c:pt>
                <c:pt idx="2336">
                  <c:v>1047.2479264899985</c:v>
                </c:pt>
                <c:pt idx="2337">
                  <c:v>1047.6048487447783</c:v>
                </c:pt>
                <c:pt idx="2338">
                  <c:v>1047.4164062741952</c:v>
                </c:pt>
                <c:pt idx="2339">
                  <c:v>1047.4390712129627</c:v>
                </c:pt>
                <c:pt idx="2340">
                  <c:v>1047.4221434449637</c:v>
                </c:pt>
                <c:pt idx="2341">
                  <c:v>1046.8456469306661</c:v>
                </c:pt>
                <c:pt idx="2342">
                  <c:v>1047.1001714073807</c:v>
                </c:pt>
                <c:pt idx="2343">
                  <c:v>1046.7683676037159</c:v>
                </c:pt>
                <c:pt idx="2344">
                  <c:v>1046.7893777800498</c:v>
                </c:pt>
                <c:pt idx="2345">
                  <c:v>1047.0179760620001</c:v>
                </c:pt>
                <c:pt idx="2346">
                  <c:v>1047.1051456921975</c:v>
                </c:pt>
                <c:pt idx="2347">
                  <c:v>1046.6756164651681</c:v>
                </c:pt>
                <c:pt idx="2348">
                  <c:v>1046.6378048797744</c:v>
                </c:pt>
                <c:pt idx="2349">
                  <c:v>1046.1834642759743</c:v>
                </c:pt>
                <c:pt idx="2350">
                  <c:v>1046.4475771767425</c:v>
                </c:pt>
                <c:pt idx="2351">
                  <c:v>1046.818695933151</c:v>
                </c:pt>
                <c:pt idx="2352">
                  <c:v>1046.4973341831837</c:v>
                </c:pt>
                <c:pt idx="2353">
                  <c:v>1046.2062387671094</c:v>
                </c:pt>
                <c:pt idx="2354">
                  <c:v>1045.9465876468603</c:v>
                </c:pt>
                <c:pt idx="2355">
                  <c:v>1045.9790070784084</c:v>
                </c:pt>
                <c:pt idx="2356">
                  <c:v>1046.0062259540989</c:v>
                </c:pt>
                <c:pt idx="2357">
                  <c:v>1045.6233350414154</c:v>
                </c:pt>
                <c:pt idx="2358">
                  <c:v>1045.9226743958181</c:v>
                </c:pt>
                <c:pt idx="2359">
                  <c:v>1045.817017417256</c:v>
                </c:pt>
                <c:pt idx="2360">
                  <c:v>1045.2229464709217</c:v>
                </c:pt>
                <c:pt idx="2361">
                  <c:v>1044.8939988195364</c:v>
                </c:pt>
                <c:pt idx="2362">
                  <c:v>1044.8614552281433</c:v>
                </c:pt>
                <c:pt idx="2363">
                  <c:v>1044.8362139733867</c:v>
                </c:pt>
                <c:pt idx="2364">
                  <c:v>1045.0762804690103</c:v>
                </c:pt>
                <c:pt idx="2365">
                  <c:v>1044.9349759511272</c:v>
                </c:pt>
                <c:pt idx="2366">
                  <c:v>1044.9474705952546</c:v>
                </c:pt>
                <c:pt idx="2367">
                  <c:v>1044.9090517187381</c:v>
                </c:pt>
                <c:pt idx="2368">
                  <c:v>1044.5874120326439</c:v>
                </c:pt>
                <c:pt idx="2369">
                  <c:v>1044.365423592955</c:v>
                </c:pt>
                <c:pt idx="2370">
                  <c:v>1043.9790233760521</c:v>
                </c:pt>
                <c:pt idx="2371">
                  <c:v>1043.9810179719273</c:v>
                </c:pt>
                <c:pt idx="2372">
                  <c:v>1044.3902439500607</c:v>
                </c:pt>
                <c:pt idx="2373">
                  <c:v>1044.0067392443618</c:v>
                </c:pt>
                <c:pt idx="2374">
                  <c:v>1043.4647634609116</c:v>
                </c:pt>
                <c:pt idx="2375">
                  <c:v>1043.8819705192566</c:v>
                </c:pt>
                <c:pt idx="2376">
                  <c:v>1043.6063792377067</c:v>
                </c:pt>
                <c:pt idx="2377">
                  <c:v>1044.0108957578002</c:v>
                </c:pt>
                <c:pt idx="2378">
                  <c:v>1043.6724518878866</c:v>
                </c:pt>
                <c:pt idx="2379">
                  <c:v>1043.3292942691935</c:v>
                </c:pt>
                <c:pt idx="2380">
                  <c:v>1043.1275518825714</c:v>
                </c:pt>
                <c:pt idx="2381">
                  <c:v>1042.5836796693802</c:v>
                </c:pt>
                <c:pt idx="2382">
                  <c:v>1042.9783519649955</c:v>
                </c:pt>
                <c:pt idx="2383">
                  <c:v>1043.3891640974796</c:v>
                </c:pt>
                <c:pt idx="2384">
                  <c:v>1043.5235201161731</c:v>
                </c:pt>
                <c:pt idx="2385">
                  <c:v>1043.3770384396346</c:v>
                </c:pt>
                <c:pt idx="2386">
                  <c:v>1043.5143139777495</c:v>
                </c:pt>
                <c:pt idx="2387">
                  <c:v>1043.5300255334555</c:v>
                </c:pt>
                <c:pt idx="2388">
                  <c:v>1043.2701708870461</c:v>
                </c:pt>
                <c:pt idx="2389">
                  <c:v>1043.0935948018262</c:v>
                </c:pt>
                <c:pt idx="2390">
                  <c:v>1042.7832167206013</c:v>
                </c:pt>
                <c:pt idx="2391">
                  <c:v>1042.8848417198581</c:v>
                </c:pt>
                <c:pt idx="2392">
                  <c:v>1042.6526845699564</c:v>
                </c:pt>
                <c:pt idx="2393">
                  <c:v>1042.5900392524677</c:v>
                </c:pt>
                <c:pt idx="2394">
                  <c:v>1042.3387933172696</c:v>
                </c:pt>
                <c:pt idx="2395">
                  <c:v>1042.1120726534475</c:v>
                </c:pt>
                <c:pt idx="2396">
                  <c:v>1041.6348913449365</c:v>
                </c:pt>
                <c:pt idx="2397">
                  <c:v>1041.3484186251665</c:v>
                </c:pt>
                <c:pt idx="2398">
                  <c:v>1041.2131022270794</c:v>
                </c:pt>
                <c:pt idx="2399">
                  <c:v>1041.4315254672042</c:v>
                </c:pt>
                <c:pt idx="2400">
                  <c:v>1040.8681624498247</c:v>
                </c:pt>
                <c:pt idx="2401">
                  <c:v>1041.1097191599454</c:v>
                </c:pt>
                <c:pt idx="2402">
                  <c:v>1041.0533510388193</c:v>
                </c:pt>
                <c:pt idx="2403">
                  <c:v>1041.2745642081316</c:v>
                </c:pt>
                <c:pt idx="2404">
                  <c:v>1041.2179079507562</c:v>
                </c:pt>
                <c:pt idx="2405">
                  <c:v>1041.0570310393225</c:v>
                </c:pt>
                <c:pt idx="2406">
                  <c:v>1040.2045729630895</c:v>
                </c:pt>
                <c:pt idx="2407">
                  <c:v>1039.8788677048449</c:v>
                </c:pt>
                <c:pt idx="2408">
                  <c:v>1039.9441113919306</c:v>
                </c:pt>
                <c:pt idx="2409">
                  <c:v>1040.2683711736765</c:v>
                </c:pt>
                <c:pt idx="2410">
                  <c:v>1040.8493447461337</c:v>
                </c:pt>
                <c:pt idx="2411">
                  <c:v>1040.1965426528918</c:v>
                </c:pt>
                <c:pt idx="2412">
                  <c:v>1040.14890427352</c:v>
                </c:pt>
                <c:pt idx="2413">
                  <c:v>1039.7901754422273</c:v>
                </c:pt>
                <c:pt idx="2414">
                  <c:v>1039.5457085746716</c:v>
                </c:pt>
                <c:pt idx="2415">
                  <c:v>1039.2150741460202</c:v>
                </c:pt>
                <c:pt idx="2416">
                  <c:v>1039.0461186987034</c:v>
                </c:pt>
                <c:pt idx="2417">
                  <c:v>1038.8809896163896</c:v>
                </c:pt>
                <c:pt idx="2418">
                  <c:v>1039.3646603931918</c:v>
                </c:pt>
                <c:pt idx="2419">
                  <c:v>1039.0615002896941</c:v>
                </c:pt>
                <c:pt idx="2420">
                  <c:v>1039.166679141227</c:v>
                </c:pt>
                <c:pt idx="2421">
                  <c:v>1039.1054500456432</c:v>
                </c:pt>
                <c:pt idx="2422">
                  <c:v>1038.8547763866818</c:v>
                </c:pt>
                <c:pt idx="2423">
                  <c:v>1038.955183647068</c:v>
                </c:pt>
                <c:pt idx="2424">
                  <c:v>1038.493009648224</c:v>
                </c:pt>
                <c:pt idx="2425">
                  <c:v>1038.085670135416</c:v>
                </c:pt>
                <c:pt idx="2426">
                  <c:v>1038.283987336968</c:v>
                </c:pt>
                <c:pt idx="2427">
                  <c:v>1038.022253324729</c:v>
                </c:pt>
                <c:pt idx="2428">
                  <c:v>1037.8982302766874</c:v>
                </c:pt>
                <c:pt idx="2429">
                  <c:v>1038.0440397702323</c:v>
                </c:pt>
                <c:pt idx="2430">
                  <c:v>1037.6328657846304</c:v>
                </c:pt>
                <c:pt idx="2431">
                  <c:v>1037.5389706392716</c:v>
                </c:pt>
                <c:pt idx="2432">
                  <c:v>1037.5432556918236</c:v>
                </c:pt>
                <c:pt idx="2433">
                  <c:v>1037.6445180294934</c:v>
                </c:pt>
                <c:pt idx="2434">
                  <c:v>1037.4879679107373</c:v>
                </c:pt>
                <c:pt idx="2435">
                  <c:v>1037.6384471756235</c:v>
                </c:pt>
                <c:pt idx="2436">
                  <c:v>1037.9504564030772</c:v>
                </c:pt>
                <c:pt idx="2437">
                  <c:v>1037.5359325270349</c:v>
                </c:pt>
                <c:pt idx="2438">
                  <c:v>1037.1337364815661</c:v>
                </c:pt>
                <c:pt idx="2439">
                  <c:v>1036.8446151417902</c:v>
                </c:pt>
                <c:pt idx="2440">
                  <c:v>1036.762121641495</c:v>
                </c:pt>
                <c:pt idx="2441">
                  <c:v>1036.3968995892526</c:v>
                </c:pt>
                <c:pt idx="2442">
                  <c:v>1036.2739315011529</c:v>
                </c:pt>
                <c:pt idx="2443">
                  <c:v>1035.6691655643331</c:v>
                </c:pt>
                <c:pt idx="2444">
                  <c:v>1035.5990210390532</c:v>
                </c:pt>
                <c:pt idx="2445">
                  <c:v>1034.9992053193835</c:v>
                </c:pt>
                <c:pt idx="2446">
                  <c:v>1035.2154769485294</c:v>
                </c:pt>
                <c:pt idx="2447">
                  <c:v>1035.8901075894285</c:v>
                </c:pt>
                <c:pt idx="2448">
                  <c:v>1035.9642053452978</c:v>
                </c:pt>
                <c:pt idx="2449">
                  <c:v>1035.7001142687004</c:v>
                </c:pt>
                <c:pt idx="2450">
                  <c:v>1035.6459944720298</c:v>
                </c:pt>
                <c:pt idx="2451">
                  <c:v>1034.9905009727763</c:v>
                </c:pt>
                <c:pt idx="2452">
                  <c:v>1034.7776182577024</c:v>
                </c:pt>
                <c:pt idx="2453">
                  <c:v>1034.6581094385247</c:v>
                </c:pt>
                <c:pt idx="2454">
                  <c:v>1034.4261115701704</c:v>
                </c:pt>
                <c:pt idx="2455">
                  <c:v>1034.7331108678334</c:v>
                </c:pt>
                <c:pt idx="2456">
                  <c:v>1034.8516702766715</c:v>
                </c:pt>
                <c:pt idx="2457">
                  <c:v>1034.6216310971665</c:v>
                </c:pt>
                <c:pt idx="2458">
                  <c:v>1034.5898633632385</c:v>
                </c:pt>
                <c:pt idx="2459">
                  <c:v>1034.1639985226254</c:v>
                </c:pt>
                <c:pt idx="2460">
                  <c:v>1034.1916134264204</c:v>
                </c:pt>
                <c:pt idx="2461">
                  <c:v>1034.526696666539</c:v>
                </c:pt>
                <c:pt idx="2462">
                  <c:v>1034.2933996485581</c:v>
                </c:pt>
                <c:pt idx="2463">
                  <c:v>1034.0124106547235</c:v>
                </c:pt>
                <c:pt idx="2464">
                  <c:v>1034.2671306284251</c:v>
                </c:pt>
                <c:pt idx="2465">
                  <c:v>1033.9275463976919</c:v>
                </c:pt>
                <c:pt idx="2466">
                  <c:v>1033.8728653572755</c:v>
                </c:pt>
                <c:pt idx="2467">
                  <c:v>1033.5041367030401</c:v>
                </c:pt>
                <c:pt idx="2468">
                  <c:v>1033.1771992726678</c:v>
                </c:pt>
                <c:pt idx="2469">
                  <c:v>1033.0979966578102</c:v>
                </c:pt>
                <c:pt idx="2470">
                  <c:v>1032.7453077611378</c:v>
                </c:pt>
                <c:pt idx="2471">
                  <c:v>1032.8644393153811</c:v>
                </c:pt>
                <c:pt idx="2472">
                  <c:v>1032.3995999419012</c:v>
                </c:pt>
                <c:pt idx="2473">
                  <c:v>1032.5774333402665</c:v>
                </c:pt>
                <c:pt idx="2474">
                  <c:v>1032.5874493863284</c:v>
                </c:pt>
                <c:pt idx="2475">
                  <c:v>1032.3468420041454</c:v>
                </c:pt>
                <c:pt idx="2476">
                  <c:v>1031.9843565658309</c:v>
                </c:pt>
                <c:pt idx="2477">
                  <c:v>1031.9136359548634</c:v>
                </c:pt>
                <c:pt idx="2478">
                  <c:v>1031.9930298892823</c:v>
                </c:pt>
                <c:pt idx="2479">
                  <c:v>1032.3173734973354</c:v>
                </c:pt>
                <c:pt idx="2480">
                  <c:v>1032.5539032828005</c:v>
                </c:pt>
                <c:pt idx="2481">
                  <c:v>1032.5261490229707</c:v>
                </c:pt>
                <c:pt idx="2482">
                  <c:v>1032.2945560929218</c:v>
                </c:pt>
                <c:pt idx="2483">
                  <c:v>1031.6693054024474</c:v>
                </c:pt>
                <c:pt idx="2484">
                  <c:v>1031.0988873326514</c:v>
                </c:pt>
                <c:pt idx="2485">
                  <c:v>1031.1835861257521</c:v>
                </c:pt>
                <c:pt idx="2486">
                  <c:v>1030.869848429734</c:v>
                </c:pt>
                <c:pt idx="2487">
                  <c:v>1030.5407324507889</c:v>
                </c:pt>
                <c:pt idx="2488">
                  <c:v>1030.2776076696064</c:v>
                </c:pt>
                <c:pt idx="2489">
                  <c:v>1030.0085353113705</c:v>
                </c:pt>
                <c:pt idx="2490">
                  <c:v>1029.7701284015022</c:v>
                </c:pt>
                <c:pt idx="2491">
                  <c:v>1029.6306872233847</c:v>
                </c:pt>
                <c:pt idx="2492">
                  <c:v>1029.7559576016081</c:v>
                </c:pt>
                <c:pt idx="2493">
                  <c:v>1030.2220528480173</c:v>
                </c:pt>
                <c:pt idx="2494">
                  <c:v>1029.6926826101085</c:v>
                </c:pt>
                <c:pt idx="2495">
                  <c:v>1029.4624181558609</c:v>
                </c:pt>
                <c:pt idx="2496">
                  <c:v>1029.1649982545923</c:v>
                </c:pt>
                <c:pt idx="2497">
                  <c:v>1028.5338746462044</c:v>
                </c:pt>
                <c:pt idx="2498">
                  <c:v>1028.771063777119</c:v>
                </c:pt>
                <c:pt idx="2499">
                  <c:v>1028.4696963970134</c:v>
                </c:pt>
                <c:pt idx="2500">
                  <c:v>1028.0859306073128</c:v>
                </c:pt>
                <c:pt idx="2501">
                  <c:v>1028.2906644331929</c:v>
                </c:pt>
                <c:pt idx="2502">
                  <c:v>1028.1972848343494</c:v>
                </c:pt>
                <c:pt idx="2503">
                  <c:v>1028.4941278896983</c:v>
                </c:pt>
                <c:pt idx="2504">
                  <c:v>1028.3417974274078</c:v>
                </c:pt>
                <c:pt idx="2505">
                  <c:v>1028.1175674711496</c:v>
                </c:pt>
                <c:pt idx="2506">
                  <c:v>1028.0477495584591</c:v>
                </c:pt>
                <c:pt idx="2507">
                  <c:v>1027.8375073969003</c:v>
                </c:pt>
                <c:pt idx="2508">
                  <c:v>1027.5136638695119</c:v>
                </c:pt>
                <c:pt idx="2509">
                  <c:v>1027.6933343902133</c:v>
                </c:pt>
                <c:pt idx="2510">
                  <c:v>1027.2471409675345</c:v>
                </c:pt>
                <c:pt idx="2511">
                  <c:v>1027.3912514172578</c:v>
                </c:pt>
                <c:pt idx="2512">
                  <c:v>1027.3697681264143</c:v>
                </c:pt>
                <c:pt idx="2513">
                  <c:v>1026.6934365522047</c:v>
                </c:pt>
                <c:pt idx="2514">
                  <c:v>1026.5691310779423</c:v>
                </c:pt>
                <c:pt idx="2515">
                  <c:v>1026.5540999130633</c:v>
                </c:pt>
                <c:pt idx="2516">
                  <c:v>1026.0015153367565</c:v>
                </c:pt>
                <c:pt idx="2517">
                  <c:v>1026.2034028936719</c:v>
                </c:pt>
                <c:pt idx="2518">
                  <c:v>1026.017372408709</c:v>
                </c:pt>
                <c:pt idx="2519">
                  <c:v>1026.0701235763204</c:v>
                </c:pt>
                <c:pt idx="2520">
                  <c:v>1025.8956708433336</c:v>
                </c:pt>
                <c:pt idx="2521">
                  <c:v>1025.4756094728655</c:v>
                </c:pt>
                <c:pt idx="2522">
                  <c:v>1025.474540172728</c:v>
                </c:pt>
                <c:pt idx="2523">
                  <c:v>1025.383015106587</c:v>
                </c:pt>
                <c:pt idx="2524">
                  <c:v>1024.9200067861573</c:v>
                </c:pt>
                <c:pt idx="2525">
                  <c:v>1025.4148670511483</c:v>
                </c:pt>
                <c:pt idx="2526">
                  <c:v>1024.7375909637817</c:v>
                </c:pt>
                <c:pt idx="2527">
                  <c:v>1024.6574093972588</c:v>
                </c:pt>
                <c:pt idx="2528">
                  <c:v>1024.1575033078923</c:v>
                </c:pt>
                <c:pt idx="2529">
                  <c:v>1023.8900505618024</c:v>
                </c:pt>
                <c:pt idx="2530">
                  <c:v>1023.6910128548408</c:v>
                </c:pt>
                <c:pt idx="2531">
                  <c:v>1023.6611343088207</c:v>
                </c:pt>
                <c:pt idx="2532">
                  <c:v>1023.7310705402265</c:v>
                </c:pt>
                <c:pt idx="2533">
                  <c:v>1023.8560611801082</c:v>
                </c:pt>
                <c:pt idx="2534">
                  <c:v>1023.3409400699686</c:v>
                </c:pt>
                <c:pt idx="2535">
                  <c:v>1023.2335724227922</c:v>
                </c:pt>
                <c:pt idx="2536">
                  <c:v>1023.189229610181</c:v>
                </c:pt>
                <c:pt idx="2537">
                  <c:v>1023.1090752906896</c:v>
                </c:pt>
                <c:pt idx="2538">
                  <c:v>1023.2765792638625</c:v>
                </c:pt>
                <c:pt idx="2539">
                  <c:v>1023.4581426197385</c:v>
                </c:pt>
                <c:pt idx="2540">
                  <c:v>1022.7020674593215</c:v>
                </c:pt>
                <c:pt idx="2541">
                  <c:v>1022.5448372180094</c:v>
                </c:pt>
                <c:pt idx="2542">
                  <c:v>1021.9654817968701</c:v>
                </c:pt>
                <c:pt idx="2543">
                  <c:v>1021.5829867135053</c:v>
                </c:pt>
                <c:pt idx="2544">
                  <c:v>1021.723936123436</c:v>
                </c:pt>
                <c:pt idx="2545">
                  <c:v>1021.8713946483318</c:v>
                </c:pt>
                <c:pt idx="2546">
                  <c:v>1021.4445199989464</c:v>
                </c:pt>
                <c:pt idx="2547">
                  <c:v>1021.124009808487</c:v>
                </c:pt>
                <c:pt idx="2548">
                  <c:v>1021.0400752956706</c:v>
                </c:pt>
                <c:pt idx="2549">
                  <c:v>1021.427307463784</c:v>
                </c:pt>
                <c:pt idx="2550">
                  <c:v>1021.4713107634896</c:v>
                </c:pt>
                <c:pt idx="2551">
                  <c:v>1021.3295373209176</c:v>
                </c:pt>
                <c:pt idx="2552">
                  <c:v>1021.0441005665408</c:v>
                </c:pt>
                <c:pt idx="2553">
                  <c:v>1020.4580305299188</c:v>
                </c:pt>
                <c:pt idx="2554">
                  <c:v>1020.1511924801175</c:v>
                </c:pt>
                <c:pt idx="2555">
                  <c:v>1020.2284173761095</c:v>
                </c:pt>
                <c:pt idx="2556">
                  <c:v>1020.1189914564121</c:v>
                </c:pt>
                <c:pt idx="2557">
                  <c:v>1020.3102409915642</c:v>
                </c:pt>
                <c:pt idx="2558">
                  <c:v>1019.7222041063139</c:v>
                </c:pt>
                <c:pt idx="2559">
                  <c:v>1019.1170496979221</c:v>
                </c:pt>
                <c:pt idx="2560">
                  <c:v>1018.6279741264017</c:v>
                </c:pt>
                <c:pt idx="2561">
                  <c:v>1017.7940578489379</c:v>
                </c:pt>
                <c:pt idx="2562">
                  <c:v>1018.0888020968233</c:v>
                </c:pt>
                <c:pt idx="2563">
                  <c:v>1018.0830033505538</c:v>
                </c:pt>
                <c:pt idx="2564">
                  <c:v>1017.8442063268461</c:v>
                </c:pt>
                <c:pt idx="2565">
                  <c:v>1017.8324962591399</c:v>
                </c:pt>
                <c:pt idx="2566">
                  <c:v>1017.5280116031735</c:v>
                </c:pt>
                <c:pt idx="2567">
                  <c:v>1017.7024302248793</c:v>
                </c:pt>
                <c:pt idx="2568">
                  <c:v>1017.6496734798621</c:v>
                </c:pt>
                <c:pt idx="2569">
                  <c:v>1017.1456118602978</c:v>
                </c:pt>
                <c:pt idx="2570">
                  <c:v>1017.0332941131039</c:v>
                </c:pt>
                <c:pt idx="2571">
                  <c:v>1017.0693127001603</c:v>
                </c:pt>
                <c:pt idx="2572">
                  <c:v>1016.390882290258</c:v>
                </c:pt>
                <c:pt idx="2573">
                  <c:v>1015.5966439355867</c:v>
                </c:pt>
                <c:pt idx="2574">
                  <c:v>1015.4381418537546</c:v>
                </c:pt>
                <c:pt idx="2575">
                  <c:v>1015.5166125346432</c:v>
                </c:pt>
                <c:pt idx="2576">
                  <c:v>1015.5181740507711</c:v>
                </c:pt>
                <c:pt idx="2577">
                  <c:v>1014.8379068979972</c:v>
                </c:pt>
                <c:pt idx="2578">
                  <c:v>1015.1774233748954</c:v>
                </c:pt>
                <c:pt idx="2579">
                  <c:v>1014.7826621186009</c:v>
                </c:pt>
                <c:pt idx="2580">
                  <c:v>1013.9511618935646</c:v>
                </c:pt>
                <c:pt idx="2581">
                  <c:v>1013.7634829855336</c:v>
                </c:pt>
                <c:pt idx="2582">
                  <c:v>1013.7259876460088</c:v>
                </c:pt>
                <c:pt idx="2583">
                  <c:v>1013.3958517610458</c:v>
                </c:pt>
                <c:pt idx="2584">
                  <c:v>1013.3425960398616</c:v>
                </c:pt>
                <c:pt idx="2585">
                  <c:v>1012.7376934451672</c:v>
                </c:pt>
                <c:pt idx="2586">
                  <c:v>1012.1200323095142</c:v>
                </c:pt>
                <c:pt idx="2587">
                  <c:v>1012.1959537197649</c:v>
                </c:pt>
                <c:pt idx="2588">
                  <c:v>1011.8238979986363</c:v>
                </c:pt>
                <c:pt idx="2589">
                  <c:v>1011.6550297418831</c:v>
                </c:pt>
                <c:pt idx="2590">
                  <c:v>1010.7820214561093</c:v>
                </c:pt>
                <c:pt idx="2591">
                  <c:v>1010.2226259280089</c:v>
                </c:pt>
                <c:pt idx="2592">
                  <c:v>1009.8564570872154</c:v>
                </c:pt>
                <c:pt idx="2593">
                  <c:v>1009.1861501448127</c:v>
                </c:pt>
                <c:pt idx="2594">
                  <c:v>1008.391029788003</c:v>
                </c:pt>
                <c:pt idx="2595">
                  <c:v>1007.5460809346893</c:v>
                </c:pt>
                <c:pt idx="2596">
                  <c:v>1007.0842012489431</c:v>
                </c:pt>
                <c:pt idx="2597">
                  <c:v>1006.5851659062921</c:v>
                </c:pt>
                <c:pt idx="2598">
                  <c:v>1005.6361930700383</c:v>
                </c:pt>
                <c:pt idx="2599">
                  <c:v>1005.4212637164802</c:v>
                </c:pt>
                <c:pt idx="2600">
                  <c:v>1005.3131710412982</c:v>
                </c:pt>
                <c:pt idx="2601">
                  <c:v>1004.5509663191602</c:v>
                </c:pt>
                <c:pt idx="2602">
                  <c:v>1003.9653594756519</c:v>
                </c:pt>
                <c:pt idx="2603">
                  <c:v>1003.1881118802384</c:v>
                </c:pt>
                <c:pt idx="2604">
                  <c:v>1002.0278937267988</c:v>
                </c:pt>
                <c:pt idx="2605">
                  <c:v>1000.1847850806386</c:v>
                </c:pt>
                <c:pt idx="2606">
                  <c:v>997.38314644690172</c:v>
                </c:pt>
                <c:pt idx="2607">
                  <c:v>994.11065698355469</c:v>
                </c:pt>
                <c:pt idx="2608">
                  <c:v>989.84907245215834</c:v>
                </c:pt>
                <c:pt idx="2609">
                  <c:v>983.15008388882131</c:v>
                </c:pt>
                <c:pt idx="2610">
                  <c:v>-257.98695969747007</c:v>
                </c:pt>
                <c:pt idx="2611">
                  <c:v>72.313196069834817</c:v>
                </c:pt>
                <c:pt idx="2612">
                  <c:v>54.456459650478138</c:v>
                </c:pt>
                <c:pt idx="2613">
                  <c:v>-66.11466104856342</c:v>
                </c:pt>
                <c:pt idx="2614">
                  <c:v>9.1760804119802266</c:v>
                </c:pt>
                <c:pt idx="2615">
                  <c:v>42.200634307138372</c:v>
                </c:pt>
                <c:pt idx="2616">
                  <c:v>-39.587428441071054</c:v>
                </c:pt>
                <c:pt idx="2617">
                  <c:v>20.922594573395394</c:v>
                </c:pt>
                <c:pt idx="2618">
                  <c:v>10.527223355533593</c:v>
                </c:pt>
                <c:pt idx="2619">
                  <c:v>-14.506951872491628</c:v>
                </c:pt>
                <c:pt idx="2620">
                  <c:v>16.382565130938151</c:v>
                </c:pt>
                <c:pt idx="2621">
                  <c:v>-2.5417896716457751</c:v>
                </c:pt>
                <c:pt idx="2622">
                  <c:v>4.0567284532726715</c:v>
                </c:pt>
                <c:pt idx="2623">
                  <c:v>4.0076661038564954</c:v>
                </c:pt>
                <c:pt idx="2624">
                  <c:v>0.83048528237690056</c:v>
                </c:pt>
                <c:pt idx="2625">
                  <c:v>3.6951454236934373</c:v>
                </c:pt>
                <c:pt idx="2626">
                  <c:v>4.2037776188162148</c:v>
                </c:pt>
                <c:pt idx="2627">
                  <c:v>-4.5909942306965108E-2</c:v>
                </c:pt>
                <c:pt idx="2628">
                  <c:v>7.2035634977555318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4D-4334-8FF9-8F9610553F91}"/>
            </c:ext>
          </c:extLst>
        </c:ser>
        <c:ser>
          <c:idx val="1"/>
          <c:order val="1"/>
          <c:tx>
            <c:v>0.2 Percent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05"/>
              <c:layout>
                <c:manualLayout>
                  <c:x val="3.2732493056158135E-2"/>
                  <c:y val="-8.87551878423817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EE-49C4-9106-F211A02D2A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'Monotonic-0-degree (version 2).'!$I$9:$I$600</c:f>
              <c:numCache>
                <c:formatCode>General</c:formatCode>
                <c:ptCount val="592"/>
                <c:pt idx="0">
                  <c:v>2.1182485221936348E-3</c:v>
                </c:pt>
                <c:pt idx="1">
                  <c:v>2.1208455239432032E-3</c:v>
                </c:pt>
                <c:pt idx="2">
                  <c:v>2.141297810904658E-3</c:v>
                </c:pt>
                <c:pt idx="3">
                  <c:v>2.1472223596238809E-3</c:v>
                </c:pt>
                <c:pt idx="4">
                  <c:v>2.1743187395611378E-3</c:v>
                </c:pt>
                <c:pt idx="5">
                  <c:v>2.1882960595693678E-3</c:v>
                </c:pt>
                <c:pt idx="6">
                  <c:v>2.2072666176540167E-3</c:v>
                </c:pt>
                <c:pt idx="7">
                  <c:v>2.2236458845333331E-3</c:v>
                </c:pt>
                <c:pt idx="8">
                  <c:v>2.2366823774062749E-3</c:v>
                </c:pt>
                <c:pt idx="9">
                  <c:v>2.2612338036595262E-3</c:v>
                </c:pt>
                <c:pt idx="10">
                  <c:v>2.27759984366337E-3</c:v>
                </c:pt>
                <c:pt idx="11">
                  <c:v>2.3031368821671882E-3</c:v>
                </c:pt>
                <c:pt idx="12">
                  <c:v>2.3152594716384831E-3</c:v>
                </c:pt>
                <c:pt idx="13">
                  <c:v>2.3358011565671839E-3</c:v>
                </c:pt>
                <c:pt idx="14">
                  <c:v>2.361481016227207E-3</c:v>
                </c:pt>
                <c:pt idx="15">
                  <c:v>2.3782662389121452E-3</c:v>
                </c:pt>
                <c:pt idx="16">
                  <c:v>2.4013664467708836E-3</c:v>
                </c:pt>
                <c:pt idx="17">
                  <c:v>2.4175997810028881E-3</c:v>
                </c:pt>
                <c:pt idx="18">
                  <c:v>2.4362801465120584E-3</c:v>
                </c:pt>
                <c:pt idx="19">
                  <c:v>2.4642608367462537E-3</c:v>
                </c:pt>
                <c:pt idx="20">
                  <c:v>2.4851083349317496E-3</c:v>
                </c:pt>
                <c:pt idx="21">
                  <c:v>2.4937631695913245E-3</c:v>
                </c:pt>
                <c:pt idx="22">
                  <c:v>2.5178677721842393E-3</c:v>
                </c:pt>
                <c:pt idx="23">
                  <c:v>2.5394781256971016E-3</c:v>
                </c:pt>
                <c:pt idx="24">
                  <c:v>2.5541349835097949E-3</c:v>
                </c:pt>
                <c:pt idx="25">
                  <c:v>2.5784241968521975E-3</c:v>
                </c:pt>
                <c:pt idx="26">
                  <c:v>2.5933966185115323E-3</c:v>
                </c:pt>
                <c:pt idx="27">
                  <c:v>2.6154472188087024E-3</c:v>
                </c:pt>
                <c:pt idx="28">
                  <c:v>2.6413780292093114E-3</c:v>
                </c:pt>
                <c:pt idx="29">
                  <c:v>2.6559587275835597E-3</c:v>
                </c:pt>
                <c:pt idx="30">
                  <c:v>2.6834558862259359E-3</c:v>
                </c:pt>
                <c:pt idx="31">
                  <c:v>2.691349192592988E-3</c:v>
                </c:pt>
                <c:pt idx="32">
                  <c:v>2.7174980202152219E-3</c:v>
                </c:pt>
                <c:pt idx="33">
                  <c:v>2.7393386726875606E-3</c:v>
                </c:pt>
                <c:pt idx="34">
                  <c:v>2.7491180096572772E-3</c:v>
                </c:pt>
                <c:pt idx="35">
                  <c:v>2.7748036159533098E-3</c:v>
                </c:pt>
                <c:pt idx="36">
                  <c:v>2.7910870061243851E-3</c:v>
                </c:pt>
                <c:pt idx="37">
                  <c:v>2.8139371779050308E-3</c:v>
                </c:pt>
                <c:pt idx="38">
                  <c:v>2.8296164364941005E-3</c:v>
                </c:pt>
                <c:pt idx="39">
                  <c:v>2.8511371787858465E-3</c:v>
                </c:pt>
                <c:pt idx="40">
                  <c:v>2.874054221846549E-3</c:v>
                </c:pt>
                <c:pt idx="41">
                  <c:v>2.8973897316554552E-3</c:v>
                </c:pt>
                <c:pt idx="42">
                  <c:v>2.9178622393699681E-3</c:v>
                </c:pt>
                <c:pt idx="43">
                  <c:v>2.9360419132173133E-3</c:v>
                </c:pt>
                <c:pt idx="44">
                  <c:v>2.956238952220424E-3</c:v>
                </c:pt>
                <c:pt idx="45">
                  <c:v>2.9717260800450158E-3</c:v>
                </c:pt>
                <c:pt idx="46">
                  <c:v>3.0063237662955582E-3</c:v>
                </c:pt>
                <c:pt idx="47">
                  <c:v>3.0259774287560689E-3</c:v>
                </c:pt>
                <c:pt idx="48">
                  <c:v>3.0521333163869039E-3</c:v>
                </c:pt>
                <c:pt idx="49">
                  <c:v>3.0691305606308844E-3</c:v>
                </c:pt>
                <c:pt idx="50">
                  <c:v>3.087660711904602E-3</c:v>
                </c:pt>
                <c:pt idx="51">
                  <c:v>3.1089145300761808E-3</c:v>
                </c:pt>
                <c:pt idx="52">
                  <c:v>3.1233625440777232E-3</c:v>
                </c:pt>
                <c:pt idx="53">
                  <c:v>3.1521075069709326E-3</c:v>
                </c:pt>
                <c:pt idx="54">
                  <c:v>3.1662131438787849E-3</c:v>
                </c:pt>
                <c:pt idx="55">
                  <c:v>3.1825180503644024E-3</c:v>
                </c:pt>
                <c:pt idx="56">
                  <c:v>3.2054740105299101E-3</c:v>
                </c:pt>
                <c:pt idx="57">
                  <c:v>3.2234269019768488E-3</c:v>
                </c:pt>
                <c:pt idx="58">
                  <c:v>3.2489387766811558E-3</c:v>
                </c:pt>
                <c:pt idx="59">
                  <c:v>3.2573598697108914E-3</c:v>
                </c:pt>
                <c:pt idx="60">
                  <c:v>3.2763089091271949E-3</c:v>
                </c:pt>
                <c:pt idx="61">
                  <c:v>3.2994440157765132E-3</c:v>
                </c:pt>
                <c:pt idx="62">
                  <c:v>3.3143495130505633E-3</c:v>
                </c:pt>
                <c:pt idx="63">
                  <c:v>3.3357030569306058E-3</c:v>
                </c:pt>
                <c:pt idx="64">
                  <c:v>3.3546769515317943E-3</c:v>
                </c:pt>
                <c:pt idx="65">
                  <c:v>3.3774187018217336E-3</c:v>
                </c:pt>
                <c:pt idx="66">
                  <c:v>3.3942570184409947E-3</c:v>
                </c:pt>
                <c:pt idx="67">
                  <c:v>3.4080471774909785E-3</c:v>
                </c:pt>
                <c:pt idx="68">
                  <c:v>3.4282877244144099E-3</c:v>
                </c:pt>
                <c:pt idx="69">
                  <c:v>3.4384050742766676E-3</c:v>
                </c:pt>
                <c:pt idx="70">
                  <c:v>3.4627614560854164E-3</c:v>
                </c:pt>
                <c:pt idx="71">
                  <c:v>3.4755471611642897E-3</c:v>
                </c:pt>
                <c:pt idx="72">
                  <c:v>3.5014659856311223E-3</c:v>
                </c:pt>
                <c:pt idx="73">
                  <c:v>3.5220183035710693E-3</c:v>
                </c:pt>
                <c:pt idx="74">
                  <c:v>3.5380032990731019E-3</c:v>
                </c:pt>
                <c:pt idx="75">
                  <c:v>3.5603131765907852E-3</c:v>
                </c:pt>
                <c:pt idx="76">
                  <c:v>3.5763932697170223E-3</c:v>
                </c:pt>
                <c:pt idx="77">
                  <c:v>3.5927983668426816E-3</c:v>
                </c:pt>
                <c:pt idx="78">
                  <c:v>3.6194177798162816E-3</c:v>
                </c:pt>
                <c:pt idx="79">
                  <c:v>3.6339520358146674E-3</c:v>
                </c:pt>
                <c:pt idx="80">
                  <c:v>3.6523098287430137E-3</c:v>
                </c:pt>
                <c:pt idx="81">
                  <c:v>3.670032790484406E-3</c:v>
                </c:pt>
                <c:pt idx="82">
                  <c:v>3.6898858755297021E-3</c:v>
                </c:pt>
                <c:pt idx="83">
                  <c:v>3.7097322108505925E-3</c:v>
                </c:pt>
                <c:pt idx="84">
                  <c:v>3.7290087028225118E-3</c:v>
                </c:pt>
                <c:pt idx="85">
                  <c:v>3.7550448871254243E-3</c:v>
                </c:pt>
                <c:pt idx="86">
                  <c:v>3.773978052357148E-3</c:v>
                </c:pt>
                <c:pt idx="87">
                  <c:v>3.7960914701347312E-3</c:v>
                </c:pt>
                <c:pt idx="88">
                  <c:v>3.8039671474559148E-3</c:v>
                </c:pt>
                <c:pt idx="89">
                  <c:v>3.8303507138592761E-3</c:v>
                </c:pt>
                <c:pt idx="90">
                  <c:v>3.8523230821195433E-3</c:v>
                </c:pt>
                <c:pt idx="91">
                  <c:v>3.8639366482639713E-3</c:v>
                </c:pt>
                <c:pt idx="92">
                  <c:v>3.8855894658109931E-3</c:v>
                </c:pt>
                <c:pt idx="93">
                  <c:v>3.8987683675449215E-3</c:v>
                </c:pt>
                <c:pt idx="94">
                  <c:v>3.9211978275054743E-3</c:v>
                </c:pt>
                <c:pt idx="95">
                  <c:v>3.9456737105208351E-3</c:v>
                </c:pt>
                <c:pt idx="96">
                  <c:v>3.9570438323066346E-3</c:v>
                </c:pt>
                <c:pt idx="97">
                  <c:v>3.9800240458867722E-3</c:v>
                </c:pt>
                <c:pt idx="98">
                  <c:v>3.9934111965198183E-3</c:v>
                </c:pt>
                <c:pt idx="99">
                  <c:v>4.019962402087714E-3</c:v>
                </c:pt>
                <c:pt idx="100">
                  <c:v>4.0386100908155042E-3</c:v>
                </c:pt>
                <c:pt idx="101">
                  <c:v>4.0555875809133498E-3</c:v>
                </c:pt>
                <c:pt idx="102">
                  <c:v>4.0693324093655486E-3</c:v>
                </c:pt>
                <c:pt idx="103">
                  <c:v>4.0936894027289675E-3</c:v>
                </c:pt>
                <c:pt idx="104">
                  <c:v>4.1080619341844005E-3</c:v>
                </c:pt>
                <c:pt idx="105">
                  <c:v>4.1241620825044328E-3</c:v>
                </c:pt>
                <c:pt idx="106">
                  <c:v>4.1469620294701023E-3</c:v>
                </c:pt>
                <c:pt idx="107">
                  <c:v>4.1630332365881623E-3</c:v>
                </c:pt>
                <c:pt idx="108">
                  <c:v>4.1792947635534462E-3</c:v>
                </c:pt>
                <c:pt idx="109">
                  <c:v>4.2070806657570998E-3</c:v>
                </c:pt>
                <c:pt idx="110">
                  <c:v>4.2231645188578731E-3</c:v>
                </c:pt>
                <c:pt idx="111">
                  <c:v>4.2405559443399595E-3</c:v>
                </c:pt>
                <c:pt idx="112">
                  <c:v>4.2561060444450613E-3</c:v>
                </c:pt>
                <c:pt idx="113">
                  <c:v>4.2756966847724643E-3</c:v>
                </c:pt>
                <c:pt idx="114">
                  <c:v>4.2974465736978461E-3</c:v>
                </c:pt>
                <c:pt idx="115">
                  <c:v>4.3115501288501007E-3</c:v>
                </c:pt>
                <c:pt idx="116">
                  <c:v>4.3352090791759076E-3</c:v>
                </c:pt>
                <c:pt idx="117">
                  <c:v>4.3557204056512977E-3</c:v>
                </c:pt>
                <c:pt idx="118">
                  <c:v>4.3723909132794767E-3</c:v>
                </c:pt>
                <c:pt idx="119">
                  <c:v>4.3875030842355119E-3</c:v>
                </c:pt>
                <c:pt idx="120">
                  <c:v>4.4051890680997813E-3</c:v>
                </c:pt>
                <c:pt idx="121">
                  <c:v>4.4296371397508968E-3</c:v>
                </c:pt>
                <c:pt idx="122">
                  <c:v>4.4473984078121226E-3</c:v>
                </c:pt>
                <c:pt idx="123">
                  <c:v>4.4672474972961597E-3</c:v>
                </c:pt>
                <c:pt idx="124">
                  <c:v>4.4839965271489812E-3</c:v>
                </c:pt>
                <c:pt idx="125">
                  <c:v>4.4969253154747962E-3</c:v>
                </c:pt>
                <c:pt idx="126">
                  <c:v>4.5237873898059423E-3</c:v>
                </c:pt>
                <c:pt idx="127">
                  <c:v>4.5452129180967712E-3</c:v>
                </c:pt>
                <c:pt idx="128">
                  <c:v>4.5558907653705134E-3</c:v>
                </c:pt>
                <c:pt idx="129">
                  <c:v>4.5767533518483519E-3</c:v>
                </c:pt>
                <c:pt idx="130">
                  <c:v>4.5918985389731678E-3</c:v>
                </c:pt>
                <c:pt idx="131">
                  <c:v>4.6099776844361253E-3</c:v>
                </c:pt>
                <c:pt idx="132">
                  <c:v>4.6244050253034814E-3</c:v>
                </c:pt>
                <c:pt idx="133">
                  <c:v>4.6406601399658666E-3</c:v>
                </c:pt>
                <c:pt idx="134">
                  <c:v>4.6663719955611742E-3</c:v>
                </c:pt>
                <c:pt idx="135">
                  <c:v>4.6793865925638355E-3</c:v>
                </c:pt>
                <c:pt idx="136">
                  <c:v>4.6971309081306869E-3</c:v>
                </c:pt>
                <c:pt idx="137">
                  <c:v>4.7197062772361834E-3</c:v>
                </c:pt>
                <c:pt idx="138">
                  <c:v>4.7350080263553005E-3</c:v>
                </c:pt>
                <c:pt idx="139">
                  <c:v>4.7490210609263525E-3</c:v>
                </c:pt>
                <c:pt idx="140">
                  <c:v>4.766923225530185E-3</c:v>
                </c:pt>
                <c:pt idx="141">
                  <c:v>4.7870396954151125E-3</c:v>
                </c:pt>
                <c:pt idx="142">
                  <c:v>4.8129776062434786E-3</c:v>
                </c:pt>
                <c:pt idx="143">
                  <c:v>4.827841152553124E-3</c:v>
                </c:pt>
                <c:pt idx="144">
                  <c:v>4.8451551351074307E-3</c:v>
                </c:pt>
                <c:pt idx="145">
                  <c:v>4.8631277676003202E-3</c:v>
                </c:pt>
                <c:pt idx="146">
                  <c:v>4.8838794733065422E-3</c:v>
                </c:pt>
                <c:pt idx="147">
                  <c:v>4.9042282852647147E-3</c:v>
                </c:pt>
                <c:pt idx="148">
                  <c:v>4.9173915929526055E-3</c:v>
                </c:pt>
                <c:pt idx="149">
                  <c:v>4.9393772694266702E-3</c:v>
                </c:pt>
                <c:pt idx="150">
                  <c:v>4.9551967112883939E-3</c:v>
                </c:pt>
                <c:pt idx="151">
                  <c:v>4.969322549516055E-3</c:v>
                </c:pt>
                <c:pt idx="152">
                  <c:v>4.9853333931003637E-3</c:v>
                </c:pt>
                <c:pt idx="153">
                  <c:v>5.0120755349103499E-3</c:v>
                </c:pt>
                <c:pt idx="154">
                  <c:v>5.0246795918879698E-3</c:v>
                </c:pt>
                <c:pt idx="155">
                  <c:v>5.0462066440842088E-3</c:v>
                </c:pt>
                <c:pt idx="156">
                  <c:v>5.0618992695195229E-3</c:v>
                </c:pt>
                <c:pt idx="157">
                  <c:v>5.0818921173218668E-3</c:v>
                </c:pt>
                <c:pt idx="158">
                  <c:v>5.0967386109460741E-3</c:v>
                </c:pt>
                <c:pt idx="159">
                  <c:v>5.1184603138666532E-3</c:v>
                </c:pt>
                <c:pt idx="160">
                  <c:v>5.1304829542654622E-3</c:v>
                </c:pt>
                <c:pt idx="161">
                  <c:v>5.1447535548562826E-3</c:v>
                </c:pt>
                <c:pt idx="162">
                  <c:v>5.1687610689182869E-3</c:v>
                </c:pt>
                <c:pt idx="163">
                  <c:v>5.1820081103950994E-3</c:v>
                </c:pt>
                <c:pt idx="164">
                  <c:v>5.2105915158515087E-3</c:v>
                </c:pt>
                <c:pt idx="165">
                  <c:v>5.2210530244079E-3</c:v>
                </c:pt>
                <c:pt idx="166">
                  <c:v>5.2349956093997027E-3</c:v>
                </c:pt>
                <c:pt idx="167">
                  <c:v>5.2534467800804657E-3</c:v>
                </c:pt>
                <c:pt idx="168">
                  <c:v>5.2655899978901162E-3</c:v>
                </c:pt>
                <c:pt idx="169">
                  <c:v>5.2996063952393769E-3</c:v>
                </c:pt>
                <c:pt idx="170">
                  <c:v>5.3079254802558505E-3</c:v>
                </c:pt>
                <c:pt idx="171">
                  <c:v>5.3291324341125292E-3</c:v>
                </c:pt>
                <c:pt idx="172">
                  <c:v>5.3517957879379765E-3</c:v>
                </c:pt>
                <c:pt idx="173">
                  <c:v>5.3639476010960002E-3</c:v>
                </c:pt>
                <c:pt idx="174">
                  <c:v>5.3850232048575824E-3</c:v>
                </c:pt>
                <c:pt idx="175">
                  <c:v>5.3968225644554562E-3</c:v>
                </c:pt>
                <c:pt idx="176">
                  <c:v>5.4199303280503628E-3</c:v>
                </c:pt>
                <c:pt idx="177">
                  <c:v>5.4374456099570041E-3</c:v>
                </c:pt>
                <c:pt idx="178">
                  <c:v>5.4487277239597563E-3</c:v>
                </c:pt>
                <c:pt idx="179">
                  <c:v>5.4728852824699791E-3</c:v>
                </c:pt>
                <c:pt idx="180">
                  <c:v>5.4893686002001306E-3</c:v>
                </c:pt>
                <c:pt idx="181">
                  <c:v>5.500369532809482E-3</c:v>
                </c:pt>
                <c:pt idx="182">
                  <c:v>5.5225863710601491E-3</c:v>
                </c:pt>
                <c:pt idx="183">
                  <c:v>5.5414991514347589E-3</c:v>
                </c:pt>
                <c:pt idx="184">
                  <c:v>5.560053781709106E-3</c:v>
                </c:pt>
                <c:pt idx="185">
                  <c:v>5.580632981266276E-3</c:v>
                </c:pt>
                <c:pt idx="186">
                  <c:v>5.5991520863248809E-3</c:v>
                </c:pt>
                <c:pt idx="187">
                  <c:v>5.6153400725838382E-3</c:v>
                </c:pt>
                <c:pt idx="188">
                  <c:v>5.6225172498740456E-3</c:v>
                </c:pt>
                <c:pt idx="189">
                  <c:v>5.634872023699786E-3</c:v>
                </c:pt>
                <c:pt idx="190">
                  <c:v>5.6574392820257207E-3</c:v>
                </c:pt>
                <c:pt idx="191">
                  <c:v>5.6695025647582791E-3</c:v>
                </c:pt>
                <c:pt idx="192">
                  <c:v>5.6933079194992353E-3</c:v>
                </c:pt>
                <c:pt idx="193">
                  <c:v>5.7096230517010883E-3</c:v>
                </c:pt>
                <c:pt idx="194">
                  <c:v>5.721105428002385E-3</c:v>
                </c:pt>
                <c:pt idx="195">
                  <c:v>5.7379981995279196E-3</c:v>
                </c:pt>
                <c:pt idx="196">
                  <c:v>5.7546786615338651E-3</c:v>
                </c:pt>
                <c:pt idx="197">
                  <c:v>5.7690244409207845E-3</c:v>
                </c:pt>
                <c:pt idx="198">
                  <c:v>5.7907119749569178E-3</c:v>
                </c:pt>
                <c:pt idx="199">
                  <c:v>5.8044411296344078E-3</c:v>
                </c:pt>
                <c:pt idx="200">
                  <c:v>5.8250946681310065E-3</c:v>
                </c:pt>
                <c:pt idx="201">
                  <c:v>5.8341425297290545E-3</c:v>
                </c:pt>
                <c:pt idx="202">
                  <c:v>5.853622008697509E-3</c:v>
                </c:pt>
                <c:pt idx="203">
                  <c:v>5.869373903878327E-3</c:v>
                </c:pt>
                <c:pt idx="204">
                  <c:v>5.8883196268174386E-3</c:v>
                </c:pt>
                <c:pt idx="205">
                  <c:v>5.9033338935413826E-3</c:v>
                </c:pt>
                <c:pt idx="206">
                  <c:v>5.9079165484111429E-3</c:v>
                </c:pt>
                <c:pt idx="207">
                  <c:v>5.9413856717396409E-3</c:v>
                </c:pt>
                <c:pt idx="208">
                  <c:v>5.9590030673344471E-3</c:v>
                </c:pt>
                <c:pt idx="209">
                  <c:v>5.973747767744707E-3</c:v>
                </c:pt>
                <c:pt idx="210">
                  <c:v>5.9976741516559453E-3</c:v>
                </c:pt>
                <c:pt idx="211">
                  <c:v>6.0055265304936878E-3</c:v>
                </c:pt>
                <c:pt idx="212">
                  <c:v>6.0274531503015571E-3</c:v>
                </c:pt>
                <c:pt idx="213">
                  <c:v>6.0446624961716291E-3</c:v>
                </c:pt>
                <c:pt idx="214">
                  <c:v>6.0555428269174474E-3</c:v>
                </c:pt>
                <c:pt idx="215">
                  <c:v>6.0742016899223159E-3</c:v>
                </c:pt>
                <c:pt idx="216">
                  <c:v>6.0903501044422149E-3</c:v>
                </c:pt>
                <c:pt idx="217">
                  <c:v>6.1046646207435348E-3</c:v>
                </c:pt>
                <c:pt idx="218">
                  <c:v>6.1251804445789544E-3</c:v>
                </c:pt>
                <c:pt idx="219">
                  <c:v>6.1330992095700145E-3</c:v>
                </c:pt>
                <c:pt idx="220">
                  <c:v>6.1562385126420222E-3</c:v>
                </c:pt>
                <c:pt idx="221">
                  <c:v>6.1692746723181428E-3</c:v>
                </c:pt>
                <c:pt idx="222">
                  <c:v>6.1911535043037216E-3</c:v>
                </c:pt>
                <c:pt idx="223">
                  <c:v>6.2068703774704002E-3</c:v>
                </c:pt>
                <c:pt idx="224">
                  <c:v>6.2156775003351459E-3</c:v>
                </c:pt>
                <c:pt idx="225">
                  <c:v>6.2389387852991741E-3</c:v>
                </c:pt>
                <c:pt idx="226">
                  <c:v>6.2515170641492769E-3</c:v>
                </c:pt>
                <c:pt idx="227">
                  <c:v>6.2693318558423522E-3</c:v>
                </c:pt>
                <c:pt idx="228">
                  <c:v>6.29526594187665E-3</c:v>
                </c:pt>
                <c:pt idx="229">
                  <c:v>6.3047337279508843E-3</c:v>
                </c:pt>
                <c:pt idx="230">
                  <c:v>6.32882714936859E-3</c:v>
                </c:pt>
                <c:pt idx="231">
                  <c:v>6.3419309681548314E-3</c:v>
                </c:pt>
                <c:pt idx="232">
                  <c:v>6.3608079749047737E-3</c:v>
                </c:pt>
                <c:pt idx="233">
                  <c:v>6.3770136996311117E-3</c:v>
                </c:pt>
                <c:pt idx="234">
                  <c:v>6.3814579943347622E-3</c:v>
                </c:pt>
                <c:pt idx="235">
                  <c:v>6.4071990187074832E-3</c:v>
                </c:pt>
                <c:pt idx="236">
                  <c:v>6.4122549289105241E-3</c:v>
                </c:pt>
                <c:pt idx="237">
                  <c:v>6.4280726383404048E-3</c:v>
                </c:pt>
                <c:pt idx="238">
                  <c:v>6.4462978991579037E-3</c:v>
                </c:pt>
                <c:pt idx="239">
                  <c:v>6.4598228417339617E-3</c:v>
                </c:pt>
                <c:pt idx="240">
                  <c:v>6.4812806318651902E-3</c:v>
                </c:pt>
                <c:pt idx="241">
                  <c:v>6.4918183109677237E-3</c:v>
                </c:pt>
                <c:pt idx="242">
                  <c:v>6.517218239014297E-3</c:v>
                </c:pt>
                <c:pt idx="243">
                  <c:v>6.5312524963556055E-3</c:v>
                </c:pt>
                <c:pt idx="244">
                  <c:v>6.5436760829868925E-3</c:v>
                </c:pt>
                <c:pt idx="245">
                  <c:v>6.5557388196346485E-3</c:v>
                </c:pt>
                <c:pt idx="246">
                  <c:v>6.5740338192687015E-3</c:v>
                </c:pt>
                <c:pt idx="247">
                  <c:v>6.5957799491079992E-3</c:v>
                </c:pt>
                <c:pt idx="248">
                  <c:v>6.6083624313448327E-3</c:v>
                </c:pt>
                <c:pt idx="249">
                  <c:v>6.6282287859918349E-3</c:v>
                </c:pt>
                <c:pt idx="250">
                  <c:v>6.6453847047946461E-3</c:v>
                </c:pt>
                <c:pt idx="251">
                  <c:v>6.6556363999488366E-3</c:v>
                </c:pt>
                <c:pt idx="252">
                  <c:v>6.6719568412419456E-3</c:v>
                </c:pt>
                <c:pt idx="253">
                  <c:v>6.688122401055944E-3</c:v>
                </c:pt>
                <c:pt idx="254">
                  <c:v>6.6989754558602413E-3</c:v>
                </c:pt>
                <c:pt idx="255">
                  <c:v>6.71685722982152E-3</c:v>
                </c:pt>
                <c:pt idx="256">
                  <c:v>6.7397147297259142E-3</c:v>
                </c:pt>
                <c:pt idx="257">
                  <c:v>6.7501512018075657E-3</c:v>
                </c:pt>
                <c:pt idx="258">
                  <c:v>6.7640565526286894E-3</c:v>
                </c:pt>
                <c:pt idx="259">
                  <c:v>6.7828057501330636E-3</c:v>
                </c:pt>
                <c:pt idx="260">
                  <c:v>6.7993739348290042E-3</c:v>
                </c:pt>
                <c:pt idx="261">
                  <c:v>6.81312545361597E-3</c:v>
                </c:pt>
                <c:pt idx="262">
                  <c:v>6.8240452167101055E-3</c:v>
                </c:pt>
                <c:pt idx="263">
                  <c:v>6.8315670795839299E-3</c:v>
                </c:pt>
                <c:pt idx="264">
                  <c:v>6.8512570328149777E-3</c:v>
                </c:pt>
                <c:pt idx="265">
                  <c:v>6.8634163428992218E-3</c:v>
                </c:pt>
                <c:pt idx="266">
                  <c:v>6.8871078556657075E-3</c:v>
                </c:pt>
                <c:pt idx="267">
                  <c:v>6.9018113644563122E-3</c:v>
                </c:pt>
                <c:pt idx="268">
                  <c:v>6.9212019988475412E-3</c:v>
                </c:pt>
                <c:pt idx="269">
                  <c:v>6.9327425113978386E-3</c:v>
                </c:pt>
                <c:pt idx="270">
                  <c:v>6.9583889855732318E-3</c:v>
                </c:pt>
                <c:pt idx="271">
                  <c:v>6.9664264058358237E-3</c:v>
                </c:pt>
                <c:pt idx="272">
                  <c:v>6.9874070878217136E-3</c:v>
                </c:pt>
                <c:pt idx="273">
                  <c:v>6.9891630900177993E-3</c:v>
                </c:pt>
                <c:pt idx="274">
                  <c:v>7.0025290217528968E-3</c:v>
                </c:pt>
                <c:pt idx="275">
                  <c:v>7.0148783410069531E-3</c:v>
                </c:pt>
                <c:pt idx="276">
                  <c:v>7.0264496262410422E-3</c:v>
                </c:pt>
                <c:pt idx="277">
                  <c:v>7.0481859201195233E-3</c:v>
                </c:pt>
                <c:pt idx="278">
                  <c:v>7.0580259171209581E-3</c:v>
                </c:pt>
                <c:pt idx="279">
                  <c:v>7.077054462847788E-3</c:v>
                </c:pt>
                <c:pt idx="280">
                  <c:v>7.0927845649352171E-3</c:v>
                </c:pt>
                <c:pt idx="281">
                  <c:v>7.1083291041669607E-3</c:v>
                </c:pt>
                <c:pt idx="282">
                  <c:v>7.1211823847035722E-3</c:v>
                </c:pt>
                <c:pt idx="283">
                  <c:v>7.1285416748570612E-3</c:v>
                </c:pt>
                <c:pt idx="284">
                  <c:v>7.1423371667409651E-3</c:v>
                </c:pt>
                <c:pt idx="285">
                  <c:v>7.1519398981020246E-3</c:v>
                </c:pt>
                <c:pt idx="286">
                  <c:v>7.1673604640627346E-3</c:v>
                </c:pt>
                <c:pt idx="287">
                  <c:v>7.180036731699607E-3</c:v>
                </c:pt>
                <c:pt idx="288">
                  <c:v>7.1877115410131321E-3</c:v>
                </c:pt>
                <c:pt idx="289">
                  <c:v>7.2106987010132116E-3</c:v>
                </c:pt>
                <c:pt idx="290">
                  <c:v>7.2241271763864509E-3</c:v>
                </c:pt>
                <c:pt idx="291">
                  <c:v>7.233351299920766E-3</c:v>
                </c:pt>
                <c:pt idx="292">
                  <c:v>7.2548453345520902E-3</c:v>
                </c:pt>
                <c:pt idx="293">
                  <c:v>7.2660201102680887E-3</c:v>
                </c:pt>
                <c:pt idx="294">
                  <c:v>7.2788073109265015E-3</c:v>
                </c:pt>
                <c:pt idx="295">
                  <c:v>7.2945783887384394E-3</c:v>
                </c:pt>
                <c:pt idx="296">
                  <c:v>7.3070829638781217E-3</c:v>
                </c:pt>
                <c:pt idx="297">
                  <c:v>7.3280297219611382E-3</c:v>
                </c:pt>
                <c:pt idx="298">
                  <c:v>7.3410473582858011E-3</c:v>
                </c:pt>
                <c:pt idx="299">
                  <c:v>7.3595432992117505E-3</c:v>
                </c:pt>
                <c:pt idx="300">
                  <c:v>7.3754194869801891E-3</c:v>
                </c:pt>
                <c:pt idx="301">
                  <c:v>7.3781145239835057E-3</c:v>
                </c:pt>
                <c:pt idx="302">
                  <c:v>7.3943290998868729E-3</c:v>
                </c:pt>
                <c:pt idx="303">
                  <c:v>7.4170564190047155E-3</c:v>
                </c:pt>
                <c:pt idx="304">
                  <c:v>7.4229546331140237E-3</c:v>
                </c:pt>
                <c:pt idx="305">
                  <c:v>7.4516336199425852E-3</c:v>
                </c:pt>
                <c:pt idx="306">
                  <c:v>7.4531970428723133E-3</c:v>
                </c:pt>
                <c:pt idx="307">
                  <c:v>7.4766687167310327E-3</c:v>
                </c:pt>
                <c:pt idx="308">
                  <c:v>7.4895082186405247E-3</c:v>
                </c:pt>
                <c:pt idx="309">
                  <c:v>7.5053758308022567E-3</c:v>
                </c:pt>
                <c:pt idx="310">
                  <c:v>7.5193528115754483E-3</c:v>
                </c:pt>
                <c:pt idx="311">
                  <c:v>7.5213951449908927E-3</c:v>
                </c:pt>
                <c:pt idx="312">
                  <c:v>7.5525415694469768E-3</c:v>
                </c:pt>
                <c:pt idx="313">
                  <c:v>7.5635353852701792E-3</c:v>
                </c:pt>
                <c:pt idx="314">
                  <c:v>7.5826027919388798E-3</c:v>
                </c:pt>
                <c:pt idx="315">
                  <c:v>7.59522640536769E-3</c:v>
                </c:pt>
                <c:pt idx="316">
                  <c:v>7.6129669905838767E-3</c:v>
                </c:pt>
                <c:pt idx="317">
                  <c:v>7.6269923900528711E-3</c:v>
                </c:pt>
                <c:pt idx="318">
                  <c:v>7.637178317114854E-3</c:v>
                </c:pt>
                <c:pt idx="319">
                  <c:v>7.6541006108147751E-3</c:v>
                </c:pt>
                <c:pt idx="320">
                  <c:v>7.6630570581186861E-3</c:v>
                </c:pt>
                <c:pt idx="321">
                  <c:v>7.6776022965304655E-3</c:v>
                </c:pt>
                <c:pt idx="322">
                  <c:v>7.6966867001444271E-3</c:v>
                </c:pt>
                <c:pt idx="323">
                  <c:v>7.7140073314155904E-3</c:v>
                </c:pt>
                <c:pt idx="324">
                  <c:v>7.7309503899086456E-3</c:v>
                </c:pt>
                <c:pt idx="325">
                  <c:v>7.7417791110635939E-3</c:v>
                </c:pt>
                <c:pt idx="326">
                  <c:v>7.7575707406757587E-3</c:v>
                </c:pt>
                <c:pt idx="327">
                  <c:v>7.7669802023189521E-3</c:v>
                </c:pt>
                <c:pt idx="328">
                  <c:v>7.7810576969958257E-3</c:v>
                </c:pt>
                <c:pt idx="329">
                  <c:v>7.795491987111468E-3</c:v>
                </c:pt>
                <c:pt idx="330">
                  <c:v>7.8098436034736056E-3</c:v>
                </c:pt>
                <c:pt idx="331">
                  <c:v>7.8282494968453312E-3</c:v>
                </c:pt>
                <c:pt idx="332">
                  <c:v>7.834353614741392E-3</c:v>
                </c:pt>
                <c:pt idx="333">
                  <c:v>7.8500732557423188E-3</c:v>
                </c:pt>
                <c:pt idx="334">
                  <c:v>7.8733678025386302E-3</c:v>
                </c:pt>
                <c:pt idx="335">
                  <c:v>7.8814792466386022E-3</c:v>
                </c:pt>
                <c:pt idx="336">
                  <c:v>7.9038656663841418E-3</c:v>
                </c:pt>
                <c:pt idx="337">
                  <c:v>7.9059752059089661E-3</c:v>
                </c:pt>
                <c:pt idx="338">
                  <c:v>7.9208434817063592E-3</c:v>
                </c:pt>
                <c:pt idx="339">
                  <c:v>7.9404852374310234E-3</c:v>
                </c:pt>
                <c:pt idx="340">
                  <c:v>7.9517583141980978E-3</c:v>
                </c:pt>
                <c:pt idx="341">
                  <c:v>7.9651479112854973E-3</c:v>
                </c:pt>
                <c:pt idx="342">
                  <c:v>7.9713777647980009E-3</c:v>
                </c:pt>
                <c:pt idx="343">
                  <c:v>7.9836229102762044E-3</c:v>
                </c:pt>
                <c:pt idx="344">
                  <c:v>7.9970091877374777E-3</c:v>
                </c:pt>
                <c:pt idx="345">
                  <c:v>8.012804381353919E-3</c:v>
                </c:pt>
                <c:pt idx="346">
                  <c:v>8.0252612861271763E-3</c:v>
                </c:pt>
                <c:pt idx="347">
                  <c:v>8.0402543509484545E-3</c:v>
                </c:pt>
                <c:pt idx="348">
                  <c:v>8.0522422767491907E-3</c:v>
                </c:pt>
                <c:pt idx="349">
                  <c:v>8.0675249380565348E-3</c:v>
                </c:pt>
                <c:pt idx="350">
                  <c:v>8.0807086854656554E-3</c:v>
                </c:pt>
                <c:pt idx="351">
                  <c:v>8.0925081004810141E-3</c:v>
                </c:pt>
                <c:pt idx="352">
                  <c:v>8.109879368814802E-3</c:v>
                </c:pt>
                <c:pt idx="353">
                  <c:v>8.129674335379037E-3</c:v>
                </c:pt>
                <c:pt idx="354">
                  <c:v>8.1418123256916802E-3</c:v>
                </c:pt>
                <c:pt idx="355">
                  <c:v>8.1562866051876522E-3</c:v>
                </c:pt>
                <c:pt idx="356">
                  <c:v>8.1697410757913917E-3</c:v>
                </c:pt>
                <c:pt idx="357">
                  <c:v>8.1757935760913558E-3</c:v>
                </c:pt>
                <c:pt idx="358">
                  <c:v>8.1891610114719106E-3</c:v>
                </c:pt>
                <c:pt idx="359">
                  <c:v>8.203377183443581E-3</c:v>
                </c:pt>
                <c:pt idx="360">
                  <c:v>8.2214616554103226E-3</c:v>
                </c:pt>
                <c:pt idx="361">
                  <c:v>8.2333700401533167E-3</c:v>
                </c:pt>
                <c:pt idx="362">
                  <c:v>8.2485038747915872E-3</c:v>
                </c:pt>
                <c:pt idx="363">
                  <c:v>8.2507359694823906E-3</c:v>
                </c:pt>
                <c:pt idx="364">
                  <c:v>8.2688101853832727E-3</c:v>
                </c:pt>
                <c:pt idx="365">
                  <c:v>8.281896561225334E-3</c:v>
                </c:pt>
                <c:pt idx="366">
                  <c:v>8.2962364989543902E-3</c:v>
                </c:pt>
                <c:pt idx="367">
                  <c:v>8.3094461522326274E-3</c:v>
                </c:pt>
                <c:pt idx="368">
                  <c:v>8.3212811881842978E-3</c:v>
                </c:pt>
                <c:pt idx="369">
                  <c:v>8.3429510369940618E-3</c:v>
                </c:pt>
                <c:pt idx="370">
                  <c:v>8.3364042934584263E-3</c:v>
                </c:pt>
                <c:pt idx="371">
                  <c:v>8.3645618548826434E-3</c:v>
                </c:pt>
                <c:pt idx="372">
                  <c:v>8.3787921618573482E-3</c:v>
                </c:pt>
                <c:pt idx="373">
                  <c:v>8.3941500818349168E-3</c:v>
                </c:pt>
                <c:pt idx="374">
                  <c:v>8.4208745992978996E-3</c:v>
                </c:pt>
                <c:pt idx="375">
                  <c:v>8.4469036765961684E-3</c:v>
                </c:pt>
                <c:pt idx="376">
                  <c:v>8.4498821030120474E-3</c:v>
                </c:pt>
                <c:pt idx="377">
                  <c:v>8.4640605923756787E-3</c:v>
                </c:pt>
                <c:pt idx="378">
                  <c:v>8.4843712010381905E-3</c:v>
                </c:pt>
                <c:pt idx="379">
                  <c:v>8.5020667428067024E-3</c:v>
                </c:pt>
                <c:pt idx="380">
                  <c:v>8.5213746874084513E-3</c:v>
                </c:pt>
                <c:pt idx="381">
                  <c:v>8.5358333541134812E-3</c:v>
                </c:pt>
                <c:pt idx="382">
                  <c:v>8.5500583326860551E-3</c:v>
                </c:pt>
                <c:pt idx="383">
                  <c:v>8.5716668438181494E-3</c:v>
                </c:pt>
                <c:pt idx="384">
                  <c:v>8.5864695682173406E-3</c:v>
                </c:pt>
                <c:pt idx="385">
                  <c:v>8.5964270762381272E-3</c:v>
                </c:pt>
                <c:pt idx="386">
                  <c:v>8.6120895673324205E-3</c:v>
                </c:pt>
                <c:pt idx="387">
                  <c:v>8.6281103165864476E-3</c:v>
                </c:pt>
                <c:pt idx="388">
                  <c:v>8.6391725429350551E-3</c:v>
                </c:pt>
                <c:pt idx="389">
                  <c:v>8.6510398158575735E-3</c:v>
                </c:pt>
                <c:pt idx="390">
                  <c:v>8.6638899064702037E-3</c:v>
                </c:pt>
                <c:pt idx="391">
                  <c:v>8.6757344806748758E-3</c:v>
                </c:pt>
                <c:pt idx="392">
                  <c:v>8.6928845799371605E-3</c:v>
                </c:pt>
                <c:pt idx="393">
                  <c:v>8.6994167035724587E-3</c:v>
                </c:pt>
                <c:pt idx="394">
                  <c:v>8.719739155246908E-3</c:v>
                </c:pt>
                <c:pt idx="395">
                  <c:v>8.7292291845928599E-3</c:v>
                </c:pt>
                <c:pt idx="396">
                  <c:v>8.7415694848269245E-3</c:v>
                </c:pt>
                <c:pt idx="397">
                  <c:v>8.7586909926591766E-3</c:v>
                </c:pt>
                <c:pt idx="398">
                  <c:v>8.7705012004800093E-3</c:v>
                </c:pt>
                <c:pt idx="399">
                  <c:v>8.7815979856995727E-3</c:v>
                </c:pt>
                <c:pt idx="400">
                  <c:v>8.8028791866748297E-3</c:v>
                </c:pt>
                <c:pt idx="401">
                  <c:v>8.8167831225465093E-3</c:v>
                </c:pt>
                <c:pt idx="402">
                  <c:v>8.8200386679567755E-3</c:v>
                </c:pt>
                <c:pt idx="403">
                  <c:v>8.8458947654654636E-3</c:v>
                </c:pt>
                <c:pt idx="404">
                  <c:v>8.8508592331166831E-3</c:v>
                </c:pt>
                <c:pt idx="405">
                  <c:v>8.8643289309470533E-3</c:v>
                </c:pt>
                <c:pt idx="406">
                  <c:v>8.880692490899407E-3</c:v>
                </c:pt>
                <c:pt idx="407">
                  <c:v>8.8861185290095204E-3</c:v>
                </c:pt>
                <c:pt idx="408">
                  <c:v>8.9102379923888773E-3</c:v>
                </c:pt>
                <c:pt idx="409">
                  <c:v>8.927772814513197E-3</c:v>
                </c:pt>
                <c:pt idx="410">
                  <c:v>8.9419322462156725E-3</c:v>
                </c:pt>
                <c:pt idx="411">
                  <c:v>8.9608111766184689E-3</c:v>
                </c:pt>
                <c:pt idx="412">
                  <c:v>8.9608234599461399E-3</c:v>
                </c:pt>
                <c:pt idx="413">
                  <c:v>8.980278616506663E-3</c:v>
                </c:pt>
                <c:pt idx="414">
                  <c:v>8.9949661924987566E-3</c:v>
                </c:pt>
                <c:pt idx="415">
                  <c:v>9.0021711759974525E-3</c:v>
                </c:pt>
                <c:pt idx="416">
                  <c:v>9.0189031265488391E-3</c:v>
                </c:pt>
                <c:pt idx="417">
                  <c:v>9.0281388872739607E-3</c:v>
                </c:pt>
                <c:pt idx="418">
                  <c:v>9.0491077862319587E-3</c:v>
                </c:pt>
                <c:pt idx="419">
                  <c:v>9.0543652949932989E-3</c:v>
                </c:pt>
                <c:pt idx="420">
                  <c:v>9.0715370782636882E-3</c:v>
                </c:pt>
                <c:pt idx="421">
                  <c:v>9.082626188709992E-3</c:v>
                </c:pt>
                <c:pt idx="422">
                  <c:v>9.0967292441766733E-3</c:v>
                </c:pt>
                <c:pt idx="423">
                  <c:v>9.1198221074534798E-3</c:v>
                </c:pt>
                <c:pt idx="424">
                  <c:v>9.1311339120237738E-3</c:v>
                </c:pt>
                <c:pt idx="425">
                  <c:v>9.1474952739563457E-3</c:v>
                </c:pt>
                <c:pt idx="426">
                  <c:v>9.1644834129348957E-3</c:v>
                </c:pt>
                <c:pt idx="427">
                  <c:v>9.1745731443819353E-3</c:v>
                </c:pt>
                <c:pt idx="428">
                  <c:v>9.1881771804382881E-3</c:v>
                </c:pt>
                <c:pt idx="429">
                  <c:v>9.2019377867031613E-3</c:v>
                </c:pt>
                <c:pt idx="430">
                  <c:v>9.2184222366096004E-3</c:v>
                </c:pt>
                <c:pt idx="431">
                  <c:v>9.2352719241561194E-3</c:v>
                </c:pt>
                <c:pt idx="432">
                  <c:v>9.2514683338170631E-3</c:v>
                </c:pt>
                <c:pt idx="433">
                  <c:v>9.2655697306399248E-3</c:v>
                </c:pt>
                <c:pt idx="434">
                  <c:v>9.2798060021359059E-3</c:v>
                </c:pt>
                <c:pt idx="435">
                  <c:v>9.3009025283917607E-3</c:v>
                </c:pt>
                <c:pt idx="436">
                  <c:v>9.3052767857936588E-3</c:v>
                </c:pt>
                <c:pt idx="437">
                  <c:v>9.3249635964633114E-3</c:v>
                </c:pt>
                <c:pt idx="438">
                  <c:v>9.3348552491201928E-3</c:v>
                </c:pt>
                <c:pt idx="439">
                  <c:v>9.3463249655483822E-3</c:v>
                </c:pt>
                <c:pt idx="440">
                  <c:v>9.3657784016842657E-3</c:v>
                </c:pt>
                <c:pt idx="441">
                  <c:v>9.3727272038800352E-3</c:v>
                </c:pt>
                <c:pt idx="442">
                  <c:v>9.3962997581926305E-3</c:v>
                </c:pt>
                <c:pt idx="443">
                  <c:v>9.4088809970311882E-3</c:v>
                </c:pt>
                <c:pt idx="444">
                  <c:v>9.4289398733116547E-3</c:v>
                </c:pt>
                <c:pt idx="445">
                  <c:v>9.4408230546735895E-3</c:v>
                </c:pt>
                <c:pt idx="446">
                  <c:v>9.4547823985825785E-3</c:v>
                </c:pt>
                <c:pt idx="447">
                  <c:v>9.4771556521476962E-3</c:v>
                </c:pt>
                <c:pt idx="448">
                  <c:v>9.4913549700136116E-3</c:v>
                </c:pt>
                <c:pt idx="449">
                  <c:v>9.5084029844473388E-3</c:v>
                </c:pt>
                <c:pt idx="450">
                  <c:v>9.5299272492152566E-3</c:v>
                </c:pt>
                <c:pt idx="451">
                  <c:v>9.5446926875872914E-3</c:v>
                </c:pt>
                <c:pt idx="452">
                  <c:v>9.5619658146017285E-3</c:v>
                </c:pt>
                <c:pt idx="453">
                  <c:v>9.571676762681211E-3</c:v>
                </c:pt>
                <c:pt idx="454">
                  <c:v>9.5908723606708234E-3</c:v>
                </c:pt>
                <c:pt idx="455">
                  <c:v>9.6020120363516405E-3</c:v>
                </c:pt>
                <c:pt idx="456">
                  <c:v>9.6186538033309101E-3</c:v>
                </c:pt>
                <c:pt idx="457">
                  <c:v>9.639928751326441E-3</c:v>
                </c:pt>
                <c:pt idx="458">
                  <c:v>9.6491443371845183E-3</c:v>
                </c:pt>
                <c:pt idx="459">
                  <c:v>9.6731342107735374E-3</c:v>
                </c:pt>
                <c:pt idx="460">
                  <c:v>9.6883206404960835E-3</c:v>
                </c:pt>
                <c:pt idx="461">
                  <c:v>9.7014000056109655E-3</c:v>
                </c:pt>
                <c:pt idx="462">
                  <c:v>9.7206053876693239E-3</c:v>
                </c:pt>
                <c:pt idx="463">
                  <c:v>9.7364740978075105E-3</c:v>
                </c:pt>
                <c:pt idx="464">
                  <c:v>9.7535879656784931E-3</c:v>
                </c:pt>
                <c:pt idx="465">
                  <c:v>9.7653691022495798E-3</c:v>
                </c:pt>
                <c:pt idx="466">
                  <c:v>9.7825048562387544E-3</c:v>
                </c:pt>
                <c:pt idx="467">
                  <c:v>9.7972376879071933E-3</c:v>
                </c:pt>
                <c:pt idx="468">
                  <c:v>9.8173458082563732E-3</c:v>
                </c:pt>
                <c:pt idx="469">
                  <c:v>9.8290179054756066E-3</c:v>
                </c:pt>
                <c:pt idx="470">
                  <c:v>9.8405389865851862E-3</c:v>
                </c:pt>
                <c:pt idx="471">
                  <c:v>9.8628234806911897E-3</c:v>
                </c:pt>
                <c:pt idx="472">
                  <c:v>9.8784069549230323E-3</c:v>
                </c:pt>
                <c:pt idx="473">
                  <c:v>9.896903668513082E-3</c:v>
                </c:pt>
                <c:pt idx="474">
                  <c:v>9.9150997464741847E-3</c:v>
                </c:pt>
                <c:pt idx="475">
                  <c:v>9.9334896699974536E-3</c:v>
                </c:pt>
                <c:pt idx="476">
                  <c:v>9.9490655465372304E-3</c:v>
                </c:pt>
                <c:pt idx="477">
                  <c:v>9.9662111458723741E-3</c:v>
                </c:pt>
                <c:pt idx="478">
                  <c:v>9.982984718903536E-3</c:v>
                </c:pt>
                <c:pt idx="479">
                  <c:v>1.0005316564547697E-2</c:v>
                </c:pt>
                <c:pt idx="480">
                  <c:v>1.0023246497972991E-2</c:v>
                </c:pt>
                <c:pt idx="481">
                  <c:v>1.0046051644227906E-2</c:v>
                </c:pt>
                <c:pt idx="482">
                  <c:v>1.0056752474525752E-2</c:v>
                </c:pt>
                <c:pt idx="483">
                  <c:v>1.008527519266029E-2</c:v>
                </c:pt>
                <c:pt idx="484">
                  <c:v>1.0104065430262842E-2</c:v>
                </c:pt>
                <c:pt idx="485">
                  <c:v>1.0119852998584325E-2</c:v>
                </c:pt>
                <c:pt idx="486">
                  <c:v>1.014950336298088E-2</c:v>
                </c:pt>
                <c:pt idx="487">
                  <c:v>1.016460389708132E-2</c:v>
                </c:pt>
                <c:pt idx="488">
                  <c:v>1.0182958922878231E-2</c:v>
                </c:pt>
                <c:pt idx="489">
                  <c:v>1.02041331057707E-2</c:v>
                </c:pt>
                <c:pt idx="490">
                  <c:v>1.0223807280407485E-2</c:v>
                </c:pt>
                <c:pt idx="491">
                  <c:v>1.0249360109152663E-2</c:v>
                </c:pt>
                <c:pt idx="492">
                  <c:v>1.0270857607400818E-2</c:v>
                </c:pt>
                <c:pt idx="493">
                  <c:v>1.0292544420938965E-2</c:v>
                </c:pt>
                <c:pt idx="494">
                  <c:v>1.0323427149896224E-2</c:v>
                </c:pt>
                <c:pt idx="495">
                  <c:v>1.0333067930783819E-2</c:v>
                </c:pt>
                <c:pt idx="496">
                  <c:v>1.0355308261033869E-2</c:v>
                </c:pt>
                <c:pt idx="497">
                  <c:v>1.0380325245434729E-2</c:v>
                </c:pt>
                <c:pt idx="498">
                  <c:v>1.038889113871377E-2</c:v>
                </c:pt>
                <c:pt idx="499">
                  <c:v>1.0414081885865688E-2</c:v>
                </c:pt>
                <c:pt idx="500">
                  <c:v>1.0436945940300296E-2</c:v>
                </c:pt>
                <c:pt idx="501">
                  <c:v>1.0461954389297834E-2</c:v>
                </c:pt>
                <c:pt idx="502">
                  <c:v>1.0489295369161662E-2</c:v>
                </c:pt>
                <c:pt idx="503">
                  <c:v>1.0505288236923364E-2</c:v>
                </c:pt>
                <c:pt idx="504">
                  <c:v>1.0539081779684279E-2</c:v>
                </c:pt>
                <c:pt idx="505">
                  <c:v>1.0555466291503585E-2</c:v>
                </c:pt>
                <c:pt idx="506">
                  <c:v>1.0585257395890418E-2</c:v>
                </c:pt>
                <c:pt idx="507">
                  <c:v>1.0614943016398487E-2</c:v>
                </c:pt>
                <c:pt idx="508">
                  <c:v>1.0636682961646599E-2</c:v>
                </c:pt>
                <c:pt idx="509">
                  <c:v>1.0657794882964356E-2</c:v>
                </c:pt>
                <c:pt idx="510">
                  <c:v>1.0694042899731063E-2</c:v>
                </c:pt>
                <c:pt idx="511">
                  <c:v>1.0713511970473214E-2</c:v>
                </c:pt>
                <c:pt idx="512">
                  <c:v>1.0743440455531952E-2</c:v>
                </c:pt>
                <c:pt idx="513">
                  <c:v>1.0766639572286969E-2</c:v>
                </c:pt>
                <c:pt idx="514">
                  <c:v>1.0801374131577992E-2</c:v>
                </c:pt>
                <c:pt idx="515">
                  <c:v>1.0825841221357326E-2</c:v>
                </c:pt>
                <c:pt idx="516">
                  <c:v>1.0857192839396099E-2</c:v>
                </c:pt>
                <c:pt idx="517">
                  <c:v>1.0892939638878286E-2</c:v>
                </c:pt>
                <c:pt idx="518">
                  <c:v>1.0920317153878131E-2</c:v>
                </c:pt>
                <c:pt idx="519">
                  <c:v>1.0951375202099772E-2</c:v>
                </c:pt>
                <c:pt idx="520">
                  <c:v>1.0984441238929768E-2</c:v>
                </c:pt>
                <c:pt idx="521">
                  <c:v>1.1009922721952229E-2</c:v>
                </c:pt>
                <c:pt idx="522">
                  <c:v>1.1046805474111399E-2</c:v>
                </c:pt>
                <c:pt idx="523">
                  <c:v>1.1074160751446271E-2</c:v>
                </c:pt>
                <c:pt idx="524">
                  <c:v>1.1103195938428668E-2</c:v>
                </c:pt>
                <c:pt idx="525">
                  <c:v>1.1140102647718081E-2</c:v>
                </c:pt>
                <c:pt idx="526">
                  <c:v>1.1176979877935174E-2</c:v>
                </c:pt>
                <c:pt idx="527">
                  <c:v>1.1217722769563107E-2</c:v>
                </c:pt>
                <c:pt idx="528">
                  <c:v>1.1244927750043876E-2</c:v>
                </c:pt>
                <c:pt idx="529">
                  <c:v>1.1286584099821867E-2</c:v>
                </c:pt>
                <c:pt idx="530">
                  <c:v>1.1324860851854723E-2</c:v>
                </c:pt>
                <c:pt idx="531">
                  <c:v>1.1362266114777612E-2</c:v>
                </c:pt>
                <c:pt idx="532">
                  <c:v>1.1409251376139861E-2</c:v>
                </c:pt>
                <c:pt idx="533">
                  <c:v>1.143873235620701E-2</c:v>
                </c:pt>
                <c:pt idx="534">
                  <c:v>1.1489800536629562E-2</c:v>
                </c:pt>
                <c:pt idx="535">
                  <c:v>1.1518598078125148E-2</c:v>
                </c:pt>
                <c:pt idx="536">
                  <c:v>1.155864097242249E-2</c:v>
                </c:pt>
                <c:pt idx="537">
                  <c:v>1.1601910748690235E-2</c:v>
                </c:pt>
                <c:pt idx="538">
                  <c:v>1.1642014441759661E-2</c:v>
                </c:pt>
                <c:pt idx="539">
                  <c:v>1.167980200460521E-2</c:v>
                </c:pt>
                <c:pt idx="540">
                  <c:v>1.1724294364649352E-2</c:v>
                </c:pt>
                <c:pt idx="541">
                  <c:v>1.1761255975813388E-2</c:v>
                </c:pt>
                <c:pt idx="542">
                  <c:v>1.1805326103737362E-2</c:v>
                </c:pt>
                <c:pt idx="543">
                  <c:v>1.1848742989395929E-2</c:v>
                </c:pt>
                <c:pt idx="544">
                  <c:v>1.1892178162255209E-2</c:v>
                </c:pt>
                <c:pt idx="545">
                  <c:v>1.1947057137154894E-2</c:v>
                </c:pt>
                <c:pt idx="546">
                  <c:v>1.1974809938649368E-2</c:v>
                </c:pt>
                <c:pt idx="547">
                  <c:v>1.2031438392520235E-2</c:v>
                </c:pt>
                <c:pt idx="548">
                  <c:v>1.207183891671957E-2</c:v>
                </c:pt>
                <c:pt idx="549">
                  <c:v>1.211434173047512E-2</c:v>
                </c:pt>
                <c:pt idx="550">
                  <c:v>1.216020194594262E-2</c:v>
                </c:pt>
                <c:pt idx="551">
                  <c:v>1.2197006287103048E-2</c:v>
                </c:pt>
                <c:pt idx="552">
                  <c:v>1.224416407826619E-2</c:v>
                </c:pt>
                <c:pt idx="553">
                  <c:v>1.2292597184289432E-2</c:v>
                </c:pt>
                <c:pt idx="554">
                  <c:v>1.2335967715774868E-2</c:v>
                </c:pt>
                <c:pt idx="555">
                  <c:v>1.2383453791639737E-2</c:v>
                </c:pt>
                <c:pt idx="556">
                  <c:v>1.2432101925904958E-2</c:v>
                </c:pt>
                <c:pt idx="557">
                  <c:v>1.2480753453723009E-2</c:v>
                </c:pt>
                <c:pt idx="558">
                  <c:v>1.2534240113700301E-2</c:v>
                </c:pt>
                <c:pt idx="559">
                  <c:v>1.2577633283741049E-2</c:v>
                </c:pt>
                <c:pt idx="560">
                  <c:v>1.2630761290591748E-2</c:v>
                </c:pt>
                <c:pt idx="561">
                  <c:v>1.2678021009280038E-2</c:v>
                </c:pt>
                <c:pt idx="562">
                  <c:v>1.2723699178003277E-2</c:v>
                </c:pt>
                <c:pt idx="563">
                  <c:v>1.2777817782952261E-2</c:v>
                </c:pt>
                <c:pt idx="564">
                  <c:v>1.2828204391144448E-2</c:v>
                </c:pt>
                <c:pt idx="565">
                  <c:v>1.2878230038314894E-2</c:v>
                </c:pt>
                <c:pt idx="566">
                  <c:v>1.2934692927850209E-2</c:v>
                </c:pt>
                <c:pt idx="567">
                  <c:v>1.2986576412801886E-2</c:v>
                </c:pt>
                <c:pt idx="568">
                  <c:v>1.3040022353024887E-2</c:v>
                </c:pt>
                <c:pt idx="569">
                  <c:v>1.309826998632563E-2</c:v>
                </c:pt>
                <c:pt idx="570">
                  <c:v>1.3140225522693458E-2</c:v>
                </c:pt>
                <c:pt idx="571">
                  <c:v>1.3204145544518668E-2</c:v>
                </c:pt>
                <c:pt idx="572">
                  <c:v>1.3241369782423643E-2</c:v>
                </c:pt>
                <c:pt idx="573">
                  <c:v>1.3294577646777037E-2</c:v>
                </c:pt>
                <c:pt idx="574">
                  <c:v>1.3352616941318141E-2</c:v>
                </c:pt>
                <c:pt idx="575">
                  <c:v>1.3402433647945414E-2</c:v>
                </c:pt>
                <c:pt idx="576">
                  <c:v>1.3458638928017219E-2</c:v>
                </c:pt>
                <c:pt idx="577">
                  <c:v>1.3507193787455371E-2</c:v>
                </c:pt>
                <c:pt idx="578">
                  <c:v>1.3563063052962622E-2</c:v>
                </c:pt>
                <c:pt idx="579">
                  <c:v>1.3615724477926579E-2</c:v>
                </c:pt>
                <c:pt idx="580">
                  <c:v>1.3666281036850391E-2</c:v>
                </c:pt>
                <c:pt idx="581">
                  <c:v>1.3720533469270125E-2</c:v>
                </c:pt>
                <c:pt idx="582">
                  <c:v>1.3784320773190731E-2</c:v>
                </c:pt>
                <c:pt idx="583">
                  <c:v>1.3834988169288374E-2</c:v>
                </c:pt>
                <c:pt idx="584">
                  <c:v>1.3893569864991882E-2</c:v>
                </c:pt>
                <c:pt idx="585">
                  <c:v>1.3951043819439776E-2</c:v>
                </c:pt>
                <c:pt idx="586">
                  <c:v>1.4009231943412434E-2</c:v>
                </c:pt>
                <c:pt idx="587">
                  <c:v>1.4070740723334051E-2</c:v>
                </c:pt>
                <c:pt idx="588">
                  <c:v>1.4124621867904072E-2</c:v>
                </c:pt>
                <c:pt idx="589">
                  <c:v>1.4185884914976996E-2</c:v>
                </c:pt>
                <c:pt idx="590">
                  <c:v>1.4240023635146449E-2</c:v>
                </c:pt>
                <c:pt idx="591">
                  <c:v>1.4298795063205545E-2</c:v>
                </c:pt>
              </c:numCache>
            </c:numRef>
          </c:xVal>
          <c:yVal>
            <c:numRef>
              <c:f>'Monotonic-0-degree (version 2).'!$J$9:$J$600</c:f>
              <c:numCache>
                <c:formatCode>General</c:formatCode>
                <c:ptCount val="592"/>
                <c:pt idx="0">
                  <c:v>12.941709511482337</c:v>
                </c:pt>
                <c:pt idx="1">
                  <c:v>13.225938367963867</c:v>
                </c:pt>
                <c:pt idx="2">
                  <c:v>15.464338914460278</c:v>
                </c:pt>
                <c:pt idx="3">
                  <c:v>16.112751149035628</c:v>
                </c:pt>
                <c:pt idx="4">
                  <c:v>19.078314451268696</c:v>
                </c:pt>
                <c:pt idx="5">
                  <c:v>20.608062239569467</c:v>
                </c:pt>
                <c:pt idx="6">
                  <c:v>22.684294969143874</c:v>
                </c:pt>
                <c:pt idx="7">
                  <c:v>24.476923832750639</c:v>
                </c:pt>
                <c:pt idx="8">
                  <c:v>25.903702795229751</c:v>
                </c:pt>
                <c:pt idx="9">
                  <c:v>28.590733641516834</c:v>
                </c:pt>
                <c:pt idx="10">
                  <c:v>30.381914889737551</c:v>
                </c:pt>
                <c:pt idx="11">
                  <c:v>33.176816068787929</c:v>
                </c:pt>
                <c:pt idx="12">
                  <c:v>34.503572873473765</c:v>
                </c:pt>
                <c:pt idx="13">
                  <c:v>36.751757580495457</c:v>
                </c:pt>
                <c:pt idx="14">
                  <c:v>39.562289820986649</c:v>
                </c:pt>
                <c:pt idx="15">
                  <c:v>41.399348517739732</c:v>
                </c:pt>
                <c:pt idx="16">
                  <c:v>43.927550766839339</c:v>
                </c:pt>
                <c:pt idx="17">
                  <c:v>45.704208031861079</c:v>
                </c:pt>
                <c:pt idx="18">
                  <c:v>47.748680635012228</c:v>
                </c:pt>
                <c:pt idx="19">
                  <c:v>50.811027277693739</c:v>
                </c:pt>
                <c:pt idx="20">
                  <c:v>53.092681716605355</c:v>
                </c:pt>
                <c:pt idx="21">
                  <c:v>54.039910095922515</c:v>
                </c:pt>
                <c:pt idx="22">
                  <c:v>56.678038326704041</c:v>
                </c:pt>
                <c:pt idx="23">
                  <c:v>59.043183466919274</c:v>
                </c:pt>
                <c:pt idx="24">
                  <c:v>60.647303270229486</c:v>
                </c:pt>
                <c:pt idx="25">
                  <c:v>63.305636224488758</c:v>
                </c:pt>
                <c:pt idx="26">
                  <c:v>64.944292912994626</c:v>
                </c:pt>
                <c:pt idx="27">
                  <c:v>67.357620862518445</c:v>
                </c:pt>
                <c:pt idx="28">
                  <c:v>70.195618406813097</c:v>
                </c:pt>
                <c:pt idx="29">
                  <c:v>71.791402940382696</c:v>
                </c:pt>
                <c:pt idx="30">
                  <c:v>74.800829467997545</c:v>
                </c:pt>
                <c:pt idx="31">
                  <c:v>75.664712383339548</c:v>
                </c:pt>
                <c:pt idx="32">
                  <c:v>78.526570822454971</c:v>
                </c:pt>
                <c:pt idx="33">
                  <c:v>80.916921032290062</c:v>
                </c:pt>
                <c:pt idx="34">
                  <c:v>81.987220566940707</c:v>
                </c:pt>
                <c:pt idx="35">
                  <c:v>84.798381748009973</c:v>
                </c:pt>
                <c:pt idx="36">
                  <c:v>86.580517385283329</c:v>
                </c:pt>
                <c:pt idx="37">
                  <c:v>89.081354435816081</c:v>
                </c:pt>
                <c:pt idx="38">
                  <c:v>90.797370892096836</c:v>
                </c:pt>
                <c:pt idx="39">
                  <c:v>93.152708532216934</c:v>
                </c:pt>
                <c:pt idx="40">
                  <c:v>95.660864309995517</c:v>
                </c:pt>
                <c:pt idx="41">
                  <c:v>98.214819181031288</c:v>
                </c:pt>
                <c:pt idx="42">
                  <c:v>100.45543278784615</c:v>
                </c:pt>
                <c:pt idx="43">
                  <c:v>102.44510719206883</c:v>
                </c:pt>
                <c:pt idx="44">
                  <c:v>104.65557212576432</c:v>
                </c:pt>
                <c:pt idx="45">
                  <c:v>106.35056083052673</c:v>
                </c:pt>
                <c:pt idx="46">
                  <c:v>110.13710460221735</c:v>
                </c:pt>
                <c:pt idx="47">
                  <c:v>112.28809969020796</c:v>
                </c:pt>
                <c:pt idx="48">
                  <c:v>115.15073081196469</c:v>
                </c:pt>
                <c:pt idx="49">
                  <c:v>117.01099420824714</c:v>
                </c:pt>
                <c:pt idx="50">
                  <c:v>119.03902661439916</c:v>
                </c:pt>
                <c:pt idx="51">
                  <c:v>121.36515074418759</c:v>
                </c:pt>
                <c:pt idx="52">
                  <c:v>122.94641363658641</c:v>
                </c:pt>
                <c:pt idx="53">
                  <c:v>126.09240610043371</c:v>
                </c:pt>
                <c:pt idx="54">
                  <c:v>127.63619753181361</c:v>
                </c:pt>
                <c:pt idx="55">
                  <c:v>129.420688022132</c:v>
                </c:pt>
                <c:pt idx="56">
                  <c:v>131.933103082446</c:v>
                </c:pt>
                <c:pt idx="57">
                  <c:v>133.89795728685618</c:v>
                </c:pt>
                <c:pt idx="58">
                  <c:v>136.69010441386908</c:v>
                </c:pt>
                <c:pt idx="59">
                  <c:v>137.61175094050853</c:v>
                </c:pt>
                <c:pt idx="60">
                  <c:v>139.68562855942582</c:v>
                </c:pt>
                <c:pt idx="61">
                  <c:v>142.21765030666049</c:v>
                </c:pt>
                <c:pt idx="62">
                  <c:v>143.84898245581891</c:v>
                </c:pt>
                <c:pt idx="63">
                  <c:v>146.18602106577015</c:v>
                </c:pt>
                <c:pt idx="64">
                  <c:v>148.26261896039722</c:v>
                </c:pt>
                <c:pt idx="65">
                  <c:v>150.75158982087964</c:v>
                </c:pt>
                <c:pt idx="66">
                  <c:v>152.59445938327465</c:v>
                </c:pt>
                <c:pt idx="67">
                  <c:v>154.10372334050012</c:v>
                </c:pt>
                <c:pt idx="68">
                  <c:v>156.31894999853509</c:v>
                </c:pt>
                <c:pt idx="69">
                  <c:v>157.4262433542099</c:v>
                </c:pt>
                <c:pt idx="70">
                  <c:v>160.09192756126839</c:v>
                </c:pt>
                <c:pt idx="71">
                  <c:v>161.49125905362567</c:v>
                </c:pt>
                <c:pt idx="72">
                  <c:v>164.32794479739817</c:v>
                </c:pt>
                <c:pt idx="73">
                  <c:v>166.57729323433571</c:v>
                </c:pt>
                <c:pt idx="74">
                  <c:v>168.32677106705566</c:v>
                </c:pt>
                <c:pt idx="75">
                  <c:v>170.76847561197849</c:v>
                </c:pt>
                <c:pt idx="76">
                  <c:v>172.52836140417952</c:v>
                </c:pt>
                <c:pt idx="77">
                  <c:v>174.3238172590973</c:v>
                </c:pt>
                <c:pt idx="78">
                  <c:v>177.23717891199294</c:v>
                </c:pt>
                <c:pt idx="79">
                  <c:v>178.82788055973626</c:v>
                </c:pt>
                <c:pt idx="80">
                  <c:v>180.83704920677911</c:v>
                </c:pt>
                <c:pt idx="81">
                  <c:v>182.7767387545658</c:v>
                </c:pt>
                <c:pt idx="82">
                  <c:v>184.94955964734825</c:v>
                </c:pt>
                <c:pt idx="83">
                  <c:v>187.12164181654308</c:v>
                </c:pt>
                <c:pt idx="84">
                  <c:v>189.23135748040983</c:v>
                </c:pt>
                <c:pt idx="85">
                  <c:v>192.08088767144204</c:v>
                </c:pt>
                <c:pt idx="86">
                  <c:v>194.15302794022807</c:v>
                </c:pt>
                <c:pt idx="87">
                  <c:v>196.57323094889568</c:v>
                </c:pt>
                <c:pt idx="88">
                  <c:v>197.43518445331259</c:v>
                </c:pt>
                <c:pt idx="89">
                  <c:v>200.32273387832851</c:v>
                </c:pt>
                <c:pt idx="90">
                  <c:v>202.72749972257341</c:v>
                </c:pt>
                <c:pt idx="91">
                  <c:v>203.99854646925033</c:v>
                </c:pt>
                <c:pt idx="92">
                  <c:v>206.36833908568411</c:v>
                </c:pt>
                <c:pt idx="93">
                  <c:v>207.81070398595392</c:v>
                </c:pt>
                <c:pt idx="94">
                  <c:v>210.26549623133661</c:v>
                </c:pt>
                <c:pt idx="95">
                  <c:v>212.94425924795283</c:v>
                </c:pt>
                <c:pt idx="96">
                  <c:v>214.18866222679961</c:v>
                </c:pt>
                <c:pt idx="97">
                  <c:v>216.70373170207773</c:v>
                </c:pt>
                <c:pt idx="98">
                  <c:v>218.16888840311157</c:v>
                </c:pt>
                <c:pt idx="99">
                  <c:v>221.0747850964899</c:v>
                </c:pt>
                <c:pt idx="100">
                  <c:v>223.11568138930281</c:v>
                </c:pt>
                <c:pt idx="101">
                  <c:v>224.97378279306162</c:v>
                </c:pt>
                <c:pt idx="102">
                  <c:v>226.47808554301241</c:v>
                </c:pt>
                <c:pt idx="103">
                  <c:v>229.1438366816719</c:v>
                </c:pt>
                <c:pt idx="104">
                  <c:v>230.7168383868117</c:v>
                </c:pt>
                <c:pt idx="105">
                  <c:v>232.47891911969759</c:v>
                </c:pt>
                <c:pt idx="106">
                  <c:v>234.97425931535534</c:v>
                </c:pt>
                <c:pt idx="107">
                  <c:v>236.73317257839147</c:v>
                </c:pt>
                <c:pt idx="108">
                  <c:v>238.51291539710695</c:v>
                </c:pt>
                <c:pt idx="109">
                  <c:v>241.55394346378577</c:v>
                </c:pt>
                <c:pt idx="110">
                  <c:v>243.31424076639991</c:v>
                </c:pt>
                <c:pt idx="111">
                  <c:v>245.21764532828686</c:v>
                </c:pt>
                <c:pt idx="112">
                  <c:v>246.91952603428973</c:v>
                </c:pt>
                <c:pt idx="113">
                  <c:v>249.06362366492235</c:v>
                </c:pt>
                <c:pt idx="114">
                  <c:v>251.4440402583607</c:v>
                </c:pt>
                <c:pt idx="115">
                  <c:v>252.98760385199927</c:v>
                </c:pt>
                <c:pt idx="116">
                  <c:v>255.57695767040721</c:v>
                </c:pt>
                <c:pt idx="117">
                  <c:v>257.82181979650625</c:v>
                </c:pt>
                <c:pt idx="118">
                  <c:v>259.64632350387228</c:v>
                </c:pt>
                <c:pt idx="119">
                  <c:v>261.30027505415563</c:v>
                </c:pt>
                <c:pt idx="120">
                  <c:v>263.23591755818052</c:v>
                </c:pt>
                <c:pt idx="121">
                  <c:v>265.91163676003691</c:v>
                </c:pt>
                <c:pt idx="122">
                  <c:v>267.85551874299773</c:v>
                </c:pt>
                <c:pt idx="123">
                  <c:v>270.02790234157817</c:v>
                </c:pt>
                <c:pt idx="124">
                  <c:v>271.86099991382025</c:v>
                </c:pt>
                <c:pt idx="125">
                  <c:v>273.275991152139</c:v>
                </c:pt>
                <c:pt idx="126">
                  <c:v>276.21591087731139</c:v>
                </c:pt>
                <c:pt idx="127">
                  <c:v>278.5608278211011</c:v>
                </c:pt>
                <c:pt idx="128">
                  <c:v>279.7294648159758</c:v>
                </c:pt>
                <c:pt idx="129">
                  <c:v>282.01277059304289</c:v>
                </c:pt>
                <c:pt idx="130">
                  <c:v>283.67033559791832</c:v>
                </c:pt>
                <c:pt idx="131">
                  <c:v>285.64900767311178</c:v>
                </c:pt>
                <c:pt idx="132">
                  <c:v>287.22800799433952</c:v>
                </c:pt>
                <c:pt idx="133">
                  <c:v>289.0070490185642</c:v>
                </c:pt>
                <c:pt idx="134">
                  <c:v>291.82108305419268</c:v>
                </c:pt>
                <c:pt idx="135">
                  <c:v>293.24546562314896</c:v>
                </c:pt>
                <c:pt idx="136">
                  <c:v>295.18749224036304</c:v>
                </c:pt>
                <c:pt idx="137">
                  <c:v>297.65825351211407</c:v>
                </c:pt>
                <c:pt idx="138">
                  <c:v>299.33295344445582</c:v>
                </c:pt>
                <c:pt idx="139">
                  <c:v>300.86661001308465</c:v>
                </c:pt>
                <c:pt idx="140">
                  <c:v>302.82591241815106</c:v>
                </c:pt>
                <c:pt idx="141">
                  <c:v>305.02755946470694</c:v>
                </c:pt>
                <c:pt idx="142">
                  <c:v>307.8663341153175</c:v>
                </c:pt>
                <c:pt idx="143">
                  <c:v>309.49307494117659</c:v>
                </c:pt>
                <c:pt idx="144">
                  <c:v>311.38800376183281</c:v>
                </c:pt>
                <c:pt idx="145">
                  <c:v>313.35501852501704</c:v>
                </c:pt>
                <c:pt idx="146">
                  <c:v>315.62618895603447</c:v>
                </c:pt>
                <c:pt idx="147">
                  <c:v>317.85326468079671</c:v>
                </c:pt>
                <c:pt idx="148">
                  <c:v>319.29392289069796</c:v>
                </c:pt>
                <c:pt idx="149">
                  <c:v>321.70014525240197</c:v>
                </c:pt>
                <c:pt idx="150">
                  <c:v>323.43150406695827</c:v>
                </c:pt>
                <c:pt idx="151">
                  <c:v>324.97750643178466</c:v>
                </c:pt>
                <c:pt idx="152">
                  <c:v>326.72981320786931</c:v>
                </c:pt>
                <c:pt idx="153">
                  <c:v>329.65660691826326</c:v>
                </c:pt>
                <c:pt idx="154">
                  <c:v>331.03605793417893</c:v>
                </c:pt>
                <c:pt idx="155">
                  <c:v>333.39208616179627</c:v>
                </c:pt>
                <c:pt idx="156">
                  <c:v>335.10956555256422</c:v>
                </c:pt>
                <c:pt idx="157">
                  <c:v>337.29768278029178</c:v>
                </c:pt>
                <c:pt idx="158">
                  <c:v>338.9225572749931</c:v>
                </c:pt>
                <c:pt idx="159">
                  <c:v>341.29988905113589</c:v>
                </c:pt>
                <c:pt idx="160">
                  <c:v>342.61570692958344</c:v>
                </c:pt>
                <c:pt idx="161">
                  <c:v>344.17755281124585</c:v>
                </c:pt>
                <c:pt idx="162">
                  <c:v>346.80505518776198</c:v>
                </c:pt>
                <c:pt idx="163">
                  <c:v>348.25487764219167</c:v>
                </c:pt>
                <c:pt idx="164">
                  <c:v>351.38318845236836</c:v>
                </c:pt>
                <c:pt idx="165">
                  <c:v>352.52814825632259</c:v>
                </c:pt>
                <c:pt idx="166">
                  <c:v>354.05409447075044</c:v>
                </c:pt>
                <c:pt idx="167">
                  <c:v>356.0734828459066</c:v>
                </c:pt>
                <c:pt idx="168">
                  <c:v>357.40249731908375</c:v>
                </c:pt>
                <c:pt idx="169">
                  <c:v>361.12542192697362</c:v>
                </c:pt>
                <c:pt idx="170">
                  <c:v>362.0359041866015</c:v>
                </c:pt>
                <c:pt idx="171">
                  <c:v>364.35689925144572</c:v>
                </c:pt>
                <c:pt idx="172">
                  <c:v>366.83729001087181</c:v>
                </c:pt>
                <c:pt idx="173">
                  <c:v>368.1672452019518</c:v>
                </c:pt>
                <c:pt idx="174">
                  <c:v>370.47386465563812</c:v>
                </c:pt>
                <c:pt idx="175">
                  <c:v>371.76524556682739</c:v>
                </c:pt>
                <c:pt idx="176">
                  <c:v>374.29427475347194</c:v>
                </c:pt>
                <c:pt idx="177">
                  <c:v>376.21123478174428</c:v>
                </c:pt>
                <c:pt idx="178">
                  <c:v>377.44600574877552</c:v>
                </c:pt>
                <c:pt idx="179">
                  <c:v>380.08992973992684</c:v>
                </c:pt>
                <c:pt idx="180">
                  <c:v>381.89394644890325</c:v>
                </c:pt>
                <c:pt idx="181">
                  <c:v>383.09794351833369</c:v>
                </c:pt>
                <c:pt idx="182">
                  <c:v>385.52946538067795</c:v>
                </c:pt>
                <c:pt idx="183">
                  <c:v>387.59937462877724</c:v>
                </c:pt>
                <c:pt idx="184">
                  <c:v>389.63008613915304</c:v>
                </c:pt>
                <c:pt idx="185">
                  <c:v>391.88237663468755</c:v>
                </c:pt>
                <c:pt idx="186">
                  <c:v>393.90920008782655</c:v>
                </c:pt>
                <c:pt idx="187">
                  <c:v>395.68089424393821</c:v>
                </c:pt>
                <c:pt idx="188">
                  <c:v>396.46640041246496</c:v>
                </c:pt>
                <c:pt idx="189">
                  <c:v>397.81856863382302</c:v>
                </c:pt>
                <c:pt idx="190">
                  <c:v>400.28844222130505</c:v>
                </c:pt>
                <c:pt idx="191">
                  <c:v>401.60870819996984</c:v>
                </c:pt>
                <c:pt idx="192">
                  <c:v>404.21408524959378</c:v>
                </c:pt>
                <c:pt idx="193">
                  <c:v>405.99969489342556</c:v>
                </c:pt>
                <c:pt idx="194">
                  <c:v>407.256383567721</c:v>
                </c:pt>
                <c:pt idx="195">
                  <c:v>409.10521294733314</c:v>
                </c:pt>
                <c:pt idx="196">
                  <c:v>410.93080611157393</c:v>
                </c:pt>
                <c:pt idx="197">
                  <c:v>412.50087993657525</c:v>
                </c:pt>
                <c:pt idx="198">
                  <c:v>414.87447209915979</c:v>
                </c:pt>
                <c:pt idx="199">
                  <c:v>416.37705943283771</c:v>
                </c:pt>
                <c:pt idx="200">
                  <c:v>418.63748595359795</c:v>
                </c:pt>
                <c:pt idx="201">
                  <c:v>419.62772916619639</c:v>
                </c:pt>
                <c:pt idx="202">
                  <c:v>421.75966074189893</c:v>
                </c:pt>
                <c:pt idx="203">
                  <c:v>423.48362690996345</c:v>
                </c:pt>
                <c:pt idx="204">
                  <c:v>425.55714155703458</c:v>
                </c:pt>
                <c:pt idx="205">
                  <c:v>427.2003779786366</c:v>
                </c:pt>
                <c:pt idx="206">
                  <c:v>427.70192664085755</c:v>
                </c:pt>
                <c:pt idx="207">
                  <c:v>431.36495484354498</c:v>
                </c:pt>
                <c:pt idx="208">
                  <c:v>433.29309070441855</c:v>
                </c:pt>
                <c:pt idx="209">
                  <c:v>434.90682444081943</c:v>
                </c:pt>
                <c:pt idx="210">
                  <c:v>437.52544752798491</c:v>
                </c:pt>
                <c:pt idx="211">
                  <c:v>438.38485112988167</c:v>
                </c:pt>
                <c:pt idx="212">
                  <c:v>440.78461003475394</c:v>
                </c:pt>
                <c:pt idx="213">
                  <c:v>442.66808689350393</c:v>
                </c:pt>
                <c:pt idx="214">
                  <c:v>443.85888469198005</c:v>
                </c:pt>
                <c:pt idx="215">
                  <c:v>445.90100395354784</c:v>
                </c:pt>
                <c:pt idx="216">
                  <c:v>447.66836718067822</c:v>
                </c:pt>
                <c:pt idx="217">
                  <c:v>449.23501941727613</c:v>
                </c:pt>
                <c:pt idx="218">
                  <c:v>451.48037375694366</c:v>
                </c:pt>
                <c:pt idx="219">
                  <c:v>452.34704299139025</c:v>
                </c:pt>
                <c:pt idx="220">
                  <c:v>454.87952401610613</c:v>
                </c:pt>
                <c:pt idx="221">
                  <c:v>456.30626651185912</c:v>
                </c:pt>
                <c:pt idx="222">
                  <c:v>458.70079527852079</c:v>
                </c:pt>
                <c:pt idx="223">
                  <c:v>460.42092846224796</c:v>
                </c:pt>
                <c:pt idx="224">
                  <c:v>461.38482402418003</c:v>
                </c:pt>
                <c:pt idx="225">
                  <c:v>463.93065535706808</c:v>
                </c:pt>
                <c:pt idx="226">
                  <c:v>465.30728508581763</c:v>
                </c:pt>
                <c:pt idx="227">
                  <c:v>467.25702496266621</c:v>
                </c:pt>
                <c:pt idx="228">
                  <c:v>470.09538100868997</c:v>
                </c:pt>
                <c:pt idx="229">
                  <c:v>471.13158285558455</c:v>
                </c:pt>
                <c:pt idx="230">
                  <c:v>473.76848736264532</c:v>
                </c:pt>
                <c:pt idx="231">
                  <c:v>475.2026348097055</c:v>
                </c:pt>
                <c:pt idx="232">
                  <c:v>477.26862881345295</c:v>
                </c:pt>
                <c:pt idx="233">
                  <c:v>479.04226435612702</c:v>
                </c:pt>
                <c:pt idx="234">
                  <c:v>479.52867018996807</c:v>
                </c:pt>
                <c:pt idx="235">
                  <c:v>482.34589660244052</c:v>
                </c:pt>
                <c:pt idx="236">
                  <c:v>482.89924069461227</c:v>
                </c:pt>
                <c:pt idx="237">
                  <c:v>484.63040990316557</c:v>
                </c:pt>
                <c:pt idx="238">
                  <c:v>486.62507357333675</c:v>
                </c:pt>
                <c:pt idx="239">
                  <c:v>488.10531091357342</c:v>
                </c:pt>
                <c:pt idx="240">
                  <c:v>490.45375875448576</c:v>
                </c:pt>
                <c:pt idx="241">
                  <c:v>491.60705504386249</c:v>
                </c:pt>
                <c:pt idx="242">
                  <c:v>494.38695016891973</c:v>
                </c:pt>
                <c:pt idx="243">
                  <c:v>495.92292946363926</c:v>
                </c:pt>
                <c:pt idx="244">
                  <c:v>497.28262890250045</c:v>
                </c:pt>
                <c:pt idx="245">
                  <c:v>498.60283511491411</c:v>
                </c:pt>
                <c:pt idx="246">
                  <c:v>500.60513134986303</c:v>
                </c:pt>
                <c:pt idx="247">
                  <c:v>502.98513653012498</c:v>
                </c:pt>
                <c:pt idx="248">
                  <c:v>504.36222629853523</c:v>
                </c:pt>
                <c:pt idx="249">
                  <c:v>506.53649948287637</c:v>
                </c:pt>
                <c:pt idx="250">
                  <c:v>508.41412901625006</c:v>
                </c:pt>
                <c:pt idx="251">
                  <c:v>509.53612579240041</c:v>
                </c:pt>
                <c:pt idx="252">
                  <c:v>511.32231648972476</c:v>
                </c:pt>
                <c:pt idx="253">
                  <c:v>513.09155618356783</c:v>
                </c:pt>
                <c:pt idx="254">
                  <c:v>514.27936876662409</c:v>
                </c:pt>
                <c:pt idx="255">
                  <c:v>516.23643951781628</c:v>
                </c:pt>
                <c:pt idx="256">
                  <c:v>518.73807859485271</c:v>
                </c:pt>
                <c:pt idx="257">
                  <c:v>519.88029828182903</c:v>
                </c:pt>
                <c:pt idx="258">
                  <c:v>521.40216940244693</c:v>
                </c:pt>
                <c:pt idx="259">
                  <c:v>523.45417532331317</c:v>
                </c:pt>
                <c:pt idx="260">
                  <c:v>525.26748029736041</c:v>
                </c:pt>
                <c:pt idx="261">
                  <c:v>526.77251527099986</c:v>
                </c:pt>
                <c:pt idx="262">
                  <c:v>527.96762874283752</c:v>
                </c:pt>
                <c:pt idx="263">
                  <c:v>528.79085902506324</c:v>
                </c:pt>
                <c:pt idx="264">
                  <c:v>530.94582595643521</c:v>
                </c:pt>
                <c:pt idx="265">
                  <c:v>532.27660164860538</c:v>
                </c:pt>
                <c:pt idx="266">
                  <c:v>534.86951926333336</c:v>
                </c:pt>
                <c:pt idx="267">
                  <c:v>536.47874478292113</c:v>
                </c:pt>
                <c:pt idx="268">
                  <c:v>538.60095276386915</c:v>
                </c:pt>
                <c:pt idx="269">
                  <c:v>539.86400415993648</c:v>
                </c:pt>
                <c:pt idx="270">
                  <c:v>542.67088252606231</c:v>
                </c:pt>
                <c:pt idx="271">
                  <c:v>543.55053798670167</c:v>
                </c:pt>
                <c:pt idx="272">
                  <c:v>545.8467687266475</c:v>
                </c:pt>
                <c:pt idx="273">
                  <c:v>546.03895438699806</c:v>
                </c:pt>
                <c:pt idx="274">
                  <c:v>547.50178878574582</c:v>
                </c:pt>
                <c:pt idx="275">
                  <c:v>548.85336003150599</c:v>
                </c:pt>
                <c:pt idx="276">
                  <c:v>550.11977934395088</c:v>
                </c:pt>
                <c:pt idx="277">
                  <c:v>552.49870802748126</c:v>
                </c:pt>
                <c:pt idx="278">
                  <c:v>553.57564649930328</c:v>
                </c:pt>
                <c:pt idx="279">
                  <c:v>555.65822568637611</c:v>
                </c:pt>
                <c:pt idx="280">
                  <c:v>557.37980670933484</c:v>
                </c:pt>
                <c:pt idx="281">
                  <c:v>559.08107880555303</c:v>
                </c:pt>
                <c:pt idx="282">
                  <c:v>560.48780609388245</c:v>
                </c:pt>
                <c:pt idx="283">
                  <c:v>561.29324360473106</c:v>
                </c:pt>
                <c:pt idx="284">
                  <c:v>562.80309121396488</c:v>
                </c:pt>
                <c:pt idx="285">
                  <c:v>563.85406214777606</c:v>
                </c:pt>
                <c:pt idx="286">
                  <c:v>565.541765989346</c:v>
                </c:pt>
                <c:pt idx="287">
                  <c:v>566.92912010086354</c:v>
                </c:pt>
                <c:pt idx="288">
                  <c:v>567.76908960618221</c:v>
                </c:pt>
                <c:pt idx="289">
                  <c:v>570.28491933239093</c:v>
                </c:pt>
                <c:pt idx="290">
                  <c:v>571.75459881961513</c:v>
                </c:pt>
                <c:pt idx="291">
                  <c:v>572.76413301982825</c:v>
                </c:pt>
                <c:pt idx="292">
                  <c:v>575.11654764005357</c:v>
                </c:pt>
                <c:pt idx="293">
                  <c:v>576.33957096829101</c:v>
                </c:pt>
                <c:pt idx="294">
                  <c:v>577.739066144351</c:v>
                </c:pt>
                <c:pt idx="295">
                  <c:v>579.46513175547852</c:v>
                </c:pt>
                <c:pt idx="296">
                  <c:v>580.83369498164097</c:v>
                </c:pt>
                <c:pt idx="297">
                  <c:v>583.12621292003678</c:v>
                </c:pt>
                <c:pt idx="298">
                  <c:v>584.55092812758949</c:v>
                </c:pt>
                <c:pt idx="299">
                  <c:v>586.57521638223</c:v>
                </c:pt>
                <c:pt idx="300">
                  <c:v>588.3127857525468</c:v>
                </c:pt>
                <c:pt idx="301">
                  <c:v>588.60774407737483</c:v>
                </c:pt>
                <c:pt idx="302">
                  <c:v>590.38234833711886</c:v>
                </c:pt>
                <c:pt idx="303">
                  <c:v>592.86973977797106</c:v>
                </c:pt>
                <c:pt idx="304">
                  <c:v>593.51526982116434</c:v>
                </c:pt>
                <c:pt idx="305">
                  <c:v>596.65404153461623</c:v>
                </c:pt>
                <c:pt idx="306">
                  <c:v>596.82515035716028</c:v>
                </c:pt>
                <c:pt idx="307">
                  <c:v>599.39400770262785</c:v>
                </c:pt>
                <c:pt idx="308">
                  <c:v>600.79922698911219</c:v>
                </c:pt>
                <c:pt idx="309">
                  <c:v>602.53585780215303</c:v>
                </c:pt>
                <c:pt idx="310">
                  <c:v>604.06556846287492</c:v>
                </c:pt>
                <c:pt idx="311">
                  <c:v>604.2890916435282</c:v>
                </c:pt>
                <c:pt idx="312">
                  <c:v>607.69791206812442</c:v>
                </c:pt>
                <c:pt idx="313">
                  <c:v>608.90113024089476</c:v>
                </c:pt>
                <c:pt idx="314">
                  <c:v>610.98796256375067</c:v>
                </c:pt>
                <c:pt idx="315">
                  <c:v>612.3695539354668</c:v>
                </c:pt>
                <c:pt idx="316">
                  <c:v>614.31117228445237</c:v>
                </c:pt>
                <c:pt idx="317">
                  <c:v>615.84618212933651</c:v>
                </c:pt>
                <c:pt idx="318">
                  <c:v>616.96098091663521</c:v>
                </c:pt>
                <c:pt idx="319">
                  <c:v>618.81304135062305</c:v>
                </c:pt>
                <c:pt idx="320">
                  <c:v>619.79327972579961</c:v>
                </c:pt>
                <c:pt idx="321">
                  <c:v>621.38518334377682</c:v>
                </c:pt>
                <c:pt idx="322">
                  <c:v>623.47387589730681</c:v>
                </c:pt>
                <c:pt idx="323">
                  <c:v>625.36953238677927</c:v>
                </c:pt>
                <c:pt idx="324">
                  <c:v>627.22386542355173</c:v>
                </c:pt>
                <c:pt idx="325">
                  <c:v>628.40901481035507</c:v>
                </c:pt>
                <c:pt idx="326">
                  <c:v>630.1373297132584</c:v>
                </c:pt>
                <c:pt idx="327">
                  <c:v>631.16714824279768</c:v>
                </c:pt>
                <c:pt idx="328">
                  <c:v>632.70785964770812</c:v>
                </c:pt>
                <c:pt idx="329">
                  <c:v>634.28762052941465</c:v>
                </c:pt>
                <c:pt idx="330">
                  <c:v>635.85833318216874</c:v>
                </c:pt>
                <c:pt idx="331">
                  <c:v>637.87276618223723</c:v>
                </c:pt>
                <c:pt idx="332">
                  <c:v>638.54083136537179</c:v>
                </c:pt>
                <c:pt idx="333">
                  <c:v>640.26126747471812</c:v>
                </c:pt>
                <c:pt idx="334">
                  <c:v>642.81073914884041</c:v>
                </c:pt>
                <c:pt idx="335">
                  <c:v>643.69849614836176</c:v>
                </c:pt>
                <c:pt idx="336">
                  <c:v>646.14857785741231</c:v>
                </c:pt>
                <c:pt idx="337">
                  <c:v>646.37945641070689</c:v>
                </c:pt>
                <c:pt idx="338">
                  <c:v>648.00671485535258</c:v>
                </c:pt>
                <c:pt idx="339">
                  <c:v>650.15640681063849</c:v>
                </c:pt>
                <c:pt idx="340">
                  <c:v>651.39018869741085</c:v>
                </c:pt>
                <c:pt idx="341">
                  <c:v>652.85561315064126</c:v>
                </c:pt>
                <c:pt idx="342">
                  <c:v>653.5374394683173</c:v>
                </c:pt>
                <c:pt idx="343">
                  <c:v>654.87760941517911</c:v>
                </c:pt>
                <c:pt idx="344">
                  <c:v>656.34267055192811</c:v>
                </c:pt>
                <c:pt idx="345">
                  <c:v>658.07137551727976</c:v>
                </c:pt>
                <c:pt idx="346">
                  <c:v>659.43472146018883</c:v>
                </c:pt>
                <c:pt idx="347">
                  <c:v>661.07563743955359</c:v>
                </c:pt>
                <c:pt idx="348">
                  <c:v>662.38765597881513</c:v>
                </c:pt>
                <c:pt idx="349">
                  <c:v>664.06026684559743</c:v>
                </c:pt>
                <c:pt idx="350">
                  <c:v>665.5031620807888</c:v>
                </c:pt>
                <c:pt idx="351">
                  <c:v>666.79454905714454</c:v>
                </c:pt>
                <c:pt idx="352">
                  <c:v>668.69574751993605</c:v>
                </c:pt>
                <c:pt idx="353">
                  <c:v>670.86220763555855</c:v>
                </c:pt>
                <c:pt idx="354">
                  <c:v>672.19064998532599</c:v>
                </c:pt>
                <c:pt idx="355">
                  <c:v>673.77478750476246</c:v>
                </c:pt>
                <c:pt idx="356">
                  <c:v>675.24731203998897</c:v>
                </c:pt>
                <c:pt idx="357">
                  <c:v>675.90972793531853</c:v>
                </c:pt>
                <c:pt idx="358">
                  <c:v>677.37272690054328</c:v>
                </c:pt>
                <c:pt idx="359">
                  <c:v>678.92861584198261</c:v>
                </c:pt>
                <c:pt idx="360">
                  <c:v>680.90787087638273</c:v>
                </c:pt>
                <c:pt idx="361">
                  <c:v>682.2111840445798</c:v>
                </c:pt>
                <c:pt idx="362">
                  <c:v>683.86750657656523</c:v>
                </c:pt>
                <c:pt idx="363">
                  <c:v>684.11179818000028</c:v>
                </c:pt>
                <c:pt idx="364">
                  <c:v>686.0899307392724</c:v>
                </c:pt>
                <c:pt idx="365">
                  <c:v>687.52216914330654</c:v>
                </c:pt>
                <c:pt idx="366">
                  <c:v>689.09160362806324</c:v>
                </c:pt>
                <c:pt idx="367">
                  <c:v>690.5373341310999</c:v>
                </c:pt>
                <c:pt idx="368">
                  <c:v>691.83261964083033</c:v>
                </c:pt>
                <c:pt idx="369">
                  <c:v>694.204276243815</c:v>
                </c:pt>
                <c:pt idx="370">
                  <c:v>693.48776789755755</c:v>
                </c:pt>
                <c:pt idx="371">
                  <c:v>696.56947220763095</c:v>
                </c:pt>
                <c:pt idx="372">
                  <c:v>698.12690815447752</c:v>
                </c:pt>
                <c:pt idx="373">
                  <c:v>699.80775570642243</c:v>
                </c:pt>
                <c:pt idx="374">
                  <c:v>702.73262052015866</c:v>
                </c:pt>
                <c:pt idx="375">
                  <c:v>705.58137288506759</c:v>
                </c:pt>
                <c:pt idx="376">
                  <c:v>705.90734676415354</c:v>
                </c:pt>
                <c:pt idx="377">
                  <c:v>707.45911153255622</c:v>
                </c:pt>
                <c:pt idx="378">
                  <c:v>709.68200609762482</c:v>
                </c:pt>
                <c:pt idx="379">
                  <c:v>711.61869466647954</c:v>
                </c:pt>
                <c:pt idx="380">
                  <c:v>713.73185266341807</c:v>
                </c:pt>
                <c:pt idx="381">
                  <c:v>715.3142814409498</c:v>
                </c:pt>
                <c:pt idx="382">
                  <c:v>716.8711342208253</c:v>
                </c:pt>
                <c:pt idx="383">
                  <c:v>719.23607772167747</c:v>
                </c:pt>
                <c:pt idx="384">
                  <c:v>720.85616189354675</c:v>
                </c:pt>
                <c:pt idx="385">
                  <c:v>721.94596135888196</c:v>
                </c:pt>
                <c:pt idx="386">
                  <c:v>723.66014269669665</c:v>
                </c:pt>
                <c:pt idx="387">
                  <c:v>725.41353359880372</c:v>
                </c:pt>
                <c:pt idx="388">
                  <c:v>726.62423896152711</c:v>
                </c:pt>
                <c:pt idx="389">
                  <c:v>727.92305264653214</c:v>
                </c:pt>
                <c:pt idx="390">
                  <c:v>729.32943081363146</c:v>
                </c:pt>
                <c:pt idx="391">
                  <c:v>730.62576023746169</c:v>
                </c:pt>
                <c:pt idx="392">
                  <c:v>732.50275285122257</c:v>
                </c:pt>
                <c:pt idx="393">
                  <c:v>733.21766112248781</c:v>
                </c:pt>
                <c:pt idx="394">
                  <c:v>735.4418518459978</c:v>
                </c:pt>
                <c:pt idx="395">
                  <c:v>736.4804881077655</c:v>
                </c:pt>
                <c:pt idx="396">
                  <c:v>737.83107226688276</c:v>
                </c:pt>
                <c:pt idx="397">
                  <c:v>739.70493569158373</c:v>
                </c:pt>
                <c:pt idx="398">
                  <c:v>740.99750388653456</c:v>
                </c:pt>
                <c:pt idx="399">
                  <c:v>742.21199154488966</c:v>
                </c:pt>
                <c:pt idx="400">
                  <c:v>744.54111258562671</c:v>
                </c:pt>
                <c:pt idx="401">
                  <c:v>746.06282884710265</c:v>
                </c:pt>
                <c:pt idx="402">
                  <c:v>746.41913201452917</c:v>
                </c:pt>
                <c:pt idx="403">
                  <c:v>749.24895260636765</c:v>
                </c:pt>
                <c:pt idx="404">
                  <c:v>749.79228876845536</c:v>
                </c:pt>
                <c:pt idx="405">
                  <c:v>751.26647984750014</c:v>
                </c:pt>
                <c:pt idx="406">
                  <c:v>753.05738966648562</c:v>
                </c:pt>
                <c:pt idx="407">
                  <c:v>753.65124240744694</c:v>
                </c:pt>
                <c:pt idx="408">
                  <c:v>756.29099707700072</c:v>
                </c:pt>
                <c:pt idx="409">
                  <c:v>758.21009568439683</c:v>
                </c:pt>
                <c:pt idx="410">
                  <c:v>759.75977468707413</c:v>
                </c:pt>
                <c:pt idx="411">
                  <c:v>761.82597922500838</c:v>
                </c:pt>
                <c:pt idx="412">
                  <c:v>761.8273235738053</c:v>
                </c:pt>
                <c:pt idx="413">
                  <c:v>763.95659318357161</c:v>
                </c:pt>
                <c:pt idx="414">
                  <c:v>765.56407493802647</c:v>
                </c:pt>
                <c:pt idx="415">
                  <c:v>766.35262435704124</c:v>
                </c:pt>
                <c:pt idx="416">
                  <c:v>768.18385268513771</c:v>
                </c:pt>
                <c:pt idx="417">
                  <c:v>769.19466051769848</c:v>
                </c:pt>
                <c:pt idx="418">
                  <c:v>771.48960166415657</c:v>
                </c:pt>
                <c:pt idx="419">
                  <c:v>772.06500971054163</c:v>
                </c:pt>
                <c:pt idx="420">
                  <c:v>773.94437553056946</c:v>
                </c:pt>
                <c:pt idx="421">
                  <c:v>775.15802322336515</c:v>
                </c:pt>
                <c:pt idx="422">
                  <c:v>776.70153212891614</c:v>
                </c:pt>
                <c:pt idx="423">
                  <c:v>779.22893055024622</c:v>
                </c:pt>
                <c:pt idx="424">
                  <c:v>780.46695100144188</c:v>
                </c:pt>
                <c:pt idx="425">
                  <c:v>782.25762025815231</c:v>
                </c:pt>
                <c:pt idx="426">
                  <c:v>784.11688712865953</c:v>
                </c:pt>
                <c:pt idx="427">
                  <c:v>785.22115778688101</c:v>
                </c:pt>
                <c:pt idx="428">
                  <c:v>786.71005151306849</c:v>
                </c:pt>
                <c:pt idx="429">
                  <c:v>788.21608106572739</c:v>
                </c:pt>
                <c:pt idx="430">
                  <c:v>790.02022168573762</c:v>
                </c:pt>
                <c:pt idx="431">
                  <c:v>791.86433573926638</c:v>
                </c:pt>
                <c:pt idx="432">
                  <c:v>793.63695179460842</c:v>
                </c:pt>
                <c:pt idx="433">
                  <c:v>795.18027916988672</c:v>
                </c:pt>
                <c:pt idx="434">
                  <c:v>796.73836790376424</c:v>
                </c:pt>
                <c:pt idx="435">
                  <c:v>799.04727721983613</c:v>
                </c:pt>
                <c:pt idx="436">
                  <c:v>799.526017821187</c:v>
                </c:pt>
                <c:pt idx="437">
                  <c:v>801.68064081492707</c:v>
                </c:pt>
                <c:pt idx="438">
                  <c:v>802.76323273995956</c:v>
                </c:pt>
                <c:pt idx="439">
                  <c:v>804.01853585444269</c:v>
                </c:pt>
                <c:pt idx="440">
                  <c:v>806.14761717233444</c:v>
                </c:pt>
                <c:pt idx="441">
                  <c:v>806.90812882865032</c:v>
                </c:pt>
                <c:pt idx="442">
                  <c:v>809.48802703539241</c:v>
                </c:pt>
                <c:pt idx="443">
                  <c:v>810.86498072007839</c:v>
                </c:pt>
                <c:pt idx="444">
                  <c:v>813.06032443459401</c:v>
                </c:pt>
                <c:pt idx="445">
                  <c:v>814.36087921875094</c:v>
                </c:pt>
                <c:pt idx="446">
                  <c:v>815.88865961287024</c:v>
                </c:pt>
                <c:pt idx="447">
                  <c:v>818.33730034930466</c:v>
                </c:pt>
                <c:pt idx="448">
                  <c:v>819.89134469313967</c:v>
                </c:pt>
                <c:pt idx="449">
                  <c:v>821.75716463283891</c:v>
                </c:pt>
                <c:pt idx="450">
                  <c:v>824.11288779036374</c:v>
                </c:pt>
                <c:pt idx="451">
                  <c:v>825.72889119299111</c:v>
                </c:pt>
                <c:pt idx="452">
                  <c:v>827.61934857908614</c:v>
                </c:pt>
                <c:pt idx="453">
                  <c:v>828.682163291645</c:v>
                </c:pt>
                <c:pt idx="454">
                  <c:v>830.78302551361833</c:v>
                </c:pt>
                <c:pt idx="455">
                  <c:v>832.00220731850516</c:v>
                </c:pt>
                <c:pt idx="456">
                  <c:v>833.82356550555141</c:v>
                </c:pt>
                <c:pt idx="457">
                  <c:v>836.15200218892244</c:v>
                </c:pt>
                <c:pt idx="458">
                  <c:v>837.16060198315972</c:v>
                </c:pt>
                <c:pt idx="459">
                  <c:v>839.78617369810968</c:v>
                </c:pt>
                <c:pt idx="460">
                  <c:v>841.448252499094</c:v>
                </c:pt>
                <c:pt idx="461">
                  <c:v>842.87972361409209</c:v>
                </c:pt>
                <c:pt idx="462">
                  <c:v>844.98165665346914</c:v>
                </c:pt>
                <c:pt idx="463">
                  <c:v>846.71840763454304</c:v>
                </c:pt>
                <c:pt idx="464">
                  <c:v>848.59143490368274</c:v>
                </c:pt>
                <c:pt idx="465">
                  <c:v>849.8808213957052</c:v>
                </c:pt>
                <c:pt idx="466">
                  <c:v>851.75624399105038</c:v>
                </c:pt>
                <c:pt idx="467">
                  <c:v>853.36867875300265</c:v>
                </c:pt>
                <c:pt idx="468">
                  <c:v>855.5694119846188</c:v>
                </c:pt>
                <c:pt idx="469">
                  <c:v>856.84686466477774</c:v>
                </c:pt>
                <c:pt idx="470">
                  <c:v>858.10778938681574</c:v>
                </c:pt>
                <c:pt idx="471">
                  <c:v>860.54671584424727</c:v>
                </c:pt>
                <c:pt idx="472">
                  <c:v>862.25224918155129</c:v>
                </c:pt>
                <c:pt idx="473">
                  <c:v>864.27662200041425</c:v>
                </c:pt>
                <c:pt idx="474">
                  <c:v>866.26809175286712</c:v>
                </c:pt>
                <c:pt idx="475">
                  <c:v>868.28077693287128</c:v>
                </c:pt>
                <c:pt idx="476">
                  <c:v>869.98547874076712</c:v>
                </c:pt>
                <c:pt idx="477">
                  <c:v>871.86197886000195</c:v>
                </c:pt>
                <c:pt idx="478">
                  <c:v>873.69776256039745</c:v>
                </c:pt>
                <c:pt idx="479">
                  <c:v>876.14187140692275</c:v>
                </c:pt>
                <c:pt idx="480">
                  <c:v>878.10421297065398</c:v>
                </c:pt>
                <c:pt idx="481">
                  <c:v>880.60012220252315</c:v>
                </c:pt>
                <c:pt idx="482">
                  <c:v>881.77127457447102</c:v>
                </c:pt>
                <c:pt idx="483">
                  <c:v>884.8929434607054</c:v>
                </c:pt>
                <c:pt idx="484">
                  <c:v>886.94944101511669</c:v>
                </c:pt>
                <c:pt idx="485">
                  <c:v>888.67731143006142</c:v>
                </c:pt>
                <c:pt idx="486">
                  <c:v>891.9223955614425</c:v>
                </c:pt>
                <c:pt idx="487">
                  <c:v>893.57507351606512</c:v>
                </c:pt>
                <c:pt idx="488">
                  <c:v>895.58393931440798</c:v>
                </c:pt>
                <c:pt idx="489">
                  <c:v>897.90134776107425</c:v>
                </c:pt>
                <c:pt idx="490">
                  <c:v>900.05458780419724</c:v>
                </c:pt>
                <c:pt idx="491">
                  <c:v>902.85121714621323</c:v>
                </c:pt>
                <c:pt idx="492">
                  <c:v>905.20401084198261</c:v>
                </c:pt>
                <c:pt idx="493">
                  <c:v>907.57752414966501</c:v>
                </c:pt>
                <c:pt idx="494">
                  <c:v>910.95748442039223</c:v>
                </c:pt>
                <c:pt idx="495">
                  <c:v>912.01261968463507</c:v>
                </c:pt>
                <c:pt idx="496">
                  <c:v>914.44671262885174</c:v>
                </c:pt>
                <c:pt idx="497">
                  <c:v>917.18469648660391</c:v>
                </c:pt>
                <c:pt idx="498">
                  <c:v>918.12219067652859</c:v>
                </c:pt>
                <c:pt idx="499">
                  <c:v>920.87919199857026</c:v>
                </c:pt>
                <c:pt idx="500">
                  <c:v>923.38154843616587</c:v>
                </c:pt>
                <c:pt idx="501">
                  <c:v>926.11859813670151</c:v>
                </c:pt>
                <c:pt idx="502">
                  <c:v>929.11093167789807</c:v>
                </c:pt>
                <c:pt idx="503">
                  <c:v>930.86127109007759</c:v>
                </c:pt>
                <c:pt idx="504">
                  <c:v>934.55980537754601</c:v>
                </c:pt>
                <c:pt idx="505">
                  <c:v>936.35300827360982</c:v>
                </c:pt>
                <c:pt idx="506">
                  <c:v>939.61349569322681</c:v>
                </c:pt>
                <c:pt idx="507">
                  <c:v>942.86243842973238</c:v>
                </c:pt>
                <c:pt idx="508">
                  <c:v>945.24176673741204</c:v>
                </c:pt>
                <c:pt idx="509">
                  <c:v>947.55236096603392</c:v>
                </c:pt>
                <c:pt idx="510">
                  <c:v>951.51952516106621</c:v>
                </c:pt>
                <c:pt idx="511">
                  <c:v>953.6503176084409</c:v>
                </c:pt>
                <c:pt idx="512">
                  <c:v>956.92584065569451</c:v>
                </c:pt>
                <c:pt idx="513">
                  <c:v>959.46486798894739</c:v>
                </c:pt>
                <c:pt idx="514">
                  <c:v>963.2663918305534</c:v>
                </c:pt>
                <c:pt idx="515">
                  <c:v>965.94419247145254</c:v>
                </c:pt>
                <c:pt idx="516">
                  <c:v>969.37547030770611</c:v>
                </c:pt>
                <c:pt idx="517">
                  <c:v>973.28777877703408</c:v>
                </c:pt>
                <c:pt idx="518">
                  <c:v>976.28411090619204</c:v>
                </c:pt>
                <c:pt idx="519">
                  <c:v>979.68325899380955</c:v>
                </c:pt>
                <c:pt idx="520">
                  <c:v>983.30217139466845</c:v>
                </c:pt>
                <c:pt idx="521">
                  <c:v>986.09099230406173</c:v>
                </c:pt>
                <c:pt idx="522">
                  <c:v>990.12762511412211</c:v>
                </c:pt>
                <c:pt idx="523">
                  <c:v>993.12152344203719</c:v>
                </c:pt>
                <c:pt idx="524">
                  <c:v>996.29927948132558</c:v>
                </c:pt>
                <c:pt idx="525">
                  <c:v>1000.3385342795054</c:v>
                </c:pt>
                <c:pt idx="526">
                  <c:v>1004.3745627406151</c:v>
                </c:pt>
                <c:pt idx="527">
                  <c:v>1008.8336685148342</c:v>
                </c:pt>
                <c:pt idx="528">
                  <c:v>1011.811117603552</c:v>
                </c:pt>
                <c:pt idx="529">
                  <c:v>1016.3701968050042</c:v>
                </c:pt>
                <c:pt idx="530">
                  <c:v>1020.5593959312401</c:v>
                </c:pt>
                <c:pt idx="531">
                  <c:v>1024.6532149318357</c:v>
                </c:pt>
                <c:pt idx="532">
                  <c:v>1029.795516861627</c:v>
                </c:pt>
                <c:pt idx="533">
                  <c:v>1033.0220627250762</c:v>
                </c:pt>
                <c:pt idx="534">
                  <c:v>1038.6112197314224</c:v>
                </c:pt>
                <c:pt idx="535">
                  <c:v>1041.7629666604068</c:v>
                </c:pt>
                <c:pt idx="536">
                  <c:v>1046.1454612267794</c:v>
                </c:pt>
                <c:pt idx="537">
                  <c:v>1050.8811218904027</c:v>
                </c:pt>
                <c:pt idx="538">
                  <c:v>1055.2702705783861</c:v>
                </c:pt>
                <c:pt idx="539">
                  <c:v>1059.4059303940171</c:v>
                </c:pt>
                <c:pt idx="540">
                  <c:v>1064.2753967390483</c:v>
                </c:pt>
                <c:pt idx="541">
                  <c:v>1068.3206602728962</c:v>
                </c:pt>
                <c:pt idx="542">
                  <c:v>1073.1439154235356</c:v>
                </c:pt>
                <c:pt idx="543">
                  <c:v>1077.8956764744373</c:v>
                </c:pt>
                <c:pt idx="544">
                  <c:v>1082.6494389680213</c:v>
                </c:pt>
                <c:pt idx="545">
                  <c:v>1088.6556683759175</c:v>
                </c:pt>
                <c:pt idx="546">
                  <c:v>1091.6930737354801</c:v>
                </c:pt>
                <c:pt idx="547">
                  <c:v>1097.8907748693771</c:v>
                </c:pt>
                <c:pt idx="548">
                  <c:v>1102.3124102403733</c:v>
                </c:pt>
                <c:pt idx="549">
                  <c:v>1106.9641306918495</c:v>
                </c:pt>
                <c:pt idx="550">
                  <c:v>1111.98330197369</c:v>
                </c:pt>
                <c:pt idx="551">
                  <c:v>1116.011353091993</c:v>
                </c:pt>
                <c:pt idx="552">
                  <c:v>1121.1725375458432</c:v>
                </c:pt>
                <c:pt idx="553">
                  <c:v>1126.4732988345568</c:v>
                </c:pt>
                <c:pt idx="554">
                  <c:v>1131.2199866529804</c:v>
                </c:pt>
                <c:pt idx="555">
                  <c:v>1136.4171002260111</c:v>
                </c:pt>
                <c:pt idx="556">
                  <c:v>1141.741395280668</c:v>
                </c:pt>
                <c:pt idx="557">
                  <c:v>1147.0660617427147</c:v>
                </c:pt>
                <c:pt idx="558">
                  <c:v>1152.9199092439294</c:v>
                </c:pt>
                <c:pt idx="559">
                  <c:v>1157.6690747390392</c:v>
                </c:pt>
                <c:pt idx="560">
                  <c:v>1163.4836694488138</c:v>
                </c:pt>
                <c:pt idx="561">
                  <c:v>1168.6560093606538</c:v>
                </c:pt>
                <c:pt idx="562">
                  <c:v>1173.6552565365687</c:v>
                </c:pt>
                <c:pt idx="563">
                  <c:v>1179.5782672552102</c:v>
                </c:pt>
                <c:pt idx="564">
                  <c:v>1185.0928295888041</c:v>
                </c:pt>
                <c:pt idx="565">
                  <c:v>1190.5678865433736</c:v>
                </c:pt>
                <c:pt idx="566">
                  <c:v>1196.7474674885661</c:v>
                </c:pt>
                <c:pt idx="567">
                  <c:v>1202.4258554991025</c:v>
                </c:pt>
                <c:pt idx="568">
                  <c:v>1208.2752464268087</c:v>
                </c:pt>
                <c:pt idx="569">
                  <c:v>1214.6501586534087</c:v>
                </c:pt>
                <c:pt idx="570">
                  <c:v>1219.2419823311855</c:v>
                </c:pt>
                <c:pt idx="571">
                  <c:v>1226.2377091198457</c:v>
                </c:pt>
                <c:pt idx="572">
                  <c:v>1230.3117158373555</c:v>
                </c:pt>
                <c:pt idx="573">
                  <c:v>1236.1350505515127</c:v>
                </c:pt>
                <c:pt idx="574">
                  <c:v>1242.487161142564</c:v>
                </c:pt>
                <c:pt idx="575">
                  <c:v>1247.9393505993858</c:v>
                </c:pt>
                <c:pt idx="576">
                  <c:v>1254.0907374768444</c:v>
                </c:pt>
                <c:pt idx="577">
                  <c:v>1259.4048240680531</c:v>
                </c:pt>
                <c:pt idx="578">
                  <c:v>1265.5194358314941</c:v>
                </c:pt>
                <c:pt idx="579">
                  <c:v>1271.2829654866746</c:v>
                </c:pt>
                <c:pt idx="580">
                  <c:v>1276.816128078091</c:v>
                </c:pt>
                <c:pt idx="581">
                  <c:v>1282.7537855442688</c:v>
                </c:pt>
                <c:pt idx="582">
                  <c:v>1289.7349870218595</c:v>
                </c:pt>
                <c:pt idx="583">
                  <c:v>1295.280280187766</c:v>
                </c:pt>
                <c:pt idx="584">
                  <c:v>1301.6917538740365</c:v>
                </c:pt>
                <c:pt idx="585">
                  <c:v>1307.9819908185864</c:v>
                </c:pt>
                <c:pt idx="586">
                  <c:v>1314.3503900467738</c:v>
                </c:pt>
                <c:pt idx="587">
                  <c:v>1321.0822184652952</c:v>
                </c:pt>
                <c:pt idx="588">
                  <c:v>1326.979240332761</c:v>
                </c:pt>
                <c:pt idx="589">
                  <c:v>1333.6841745196573</c:v>
                </c:pt>
                <c:pt idx="590">
                  <c:v>1339.6093867486031</c:v>
                </c:pt>
                <c:pt idx="591">
                  <c:v>1346.0416256925307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D-4A68-939D-F7A26F291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407376"/>
        <c:axId val="1017407856"/>
      </c:scatterChart>
      <c:valAx>
        <c:axId val="101740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407856"/>
        <c:crosses val="autoZero"/>
        <c:crossBetween val="midCat"/>
      </c:valAx>
      <c:valAx>
        <c:axId val="10174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40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Young Modulus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505437939118767"/>
                  <c:y val="-5.011496067153974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'Monotonic-0-degree (version 2).'!$L$100:$L$358</c:f>
              <c:numCache>
                <c:formatCode>General</c:formatCode>
                <c:ptCount val="259"/>
                <c:pt idx="0">
                  <c:v>1.8639366482639712E-3</c:v>
                </c:pt>
                <c:pt idx="1">
                  <c:v>1.8855894658109929E-3</c:v>
                </c:pt>
                <c:pt idx="2">
                  <c:v>1.8987683675449215E-3</c:v>
                </c:pt>
                <c:pt idx="3">
                  <c:v>1.921197827505474E-3</c:v>
                </c:pt>
                <c:pt idx="4">
                  <c:v>1.9456737105208355E-3</c:v>
                </c:pt>
                <c:pt idx="5">
                  <c:v>1.9570438323066345E-3</c:v>
                </c:pt>
                <c:pt idx="6">
                  <c:v>1.9800240458867717E-3</c:v>
                </c:pt>
                <c:pt idx="7">
                  <c:v>1.9934111965198187E-3</c:v>
                </c:pt>
                <c:pt idx="8">
                  <c:v>2.0199624020877144E-3</c:v>
                </c:pt>
                <c:pt idx="9">
                  <c:v>2.0386100908155037E-3</c:v>
                </c:pt>
                <c:pt idx="10">
                  <c:v>2.0555875809133502E-3</c:v>
                </c:pt>
                <c:pt idx="11">
                  <c:v>2.0693324093655481E-3</c:v>
                </c:pt>
                <c:pt idx="12">
                  <c:v>2.0936894027289679E-3</c:v>
                </c:pt>
                <c:pt idx="13">
                  <c:v>2.1080619341844005E-3</c:v>
                </c:pt>
                <c:pt idx="14">
                  <c:v>2.1241620825044323E-3</c:v>
                </c:pt>
                <c:pt idx="15">
                  <c:v>2.1469620294701022E-3</c:v>
                </c:pt>
                <c:pt idx="16">
                  <c:v>2.1630332365881627E-3</c:v>
                </c:pt>
                <c:pt idx="17">
                  <c:v>2.1792947635534466E-3</c:v>
                </c:pt>
                <c:pt idx="18">
                  <c:v>2.2070806657570998E-3</c:v>
                </c:pt>
                <c:pt idx="19">
                  <c:v>2.223164518857873E-3</c:v>
                </c:pt>
                <c:pt idx="20">
                  <c:v>2.2405559443399595E-3</c:v>
                </c:pt>
                <c:pt idx="21">
                  <c:v>2.2561060444450613E-3</c:v>
                </c:pt>
                <c:pt idx="22">
                  <c:v>2.2756966847724642E-3</c:v>
                </c:pt>
                <c:pt idx="23">
                  <c:v>2.2974465736978456E-3</c:v>
                </c:pt>
                <c:pt idx="24">
                  <c:v>2.3115501288501006E-3</c:v>
                </c:pt>
                <c:pt idx="25">
                  <c:v>2.3352090791759076E-3</c:v>
                </c:pt>
                <c:pt idx="26">
                  <c:v>2.3557204056512972E-3</c:v>
                </c:pt>
                <c:pt idx="27">
                  <c:v>2.3723909132794762E-3</c:v>
                </c:pt>
                <c:pt idx="28">
                  <c:v>2.3875030842355122E-3</c:v>
                </c:pt>
                <c:pt idx="29">
                  <c:v>2.4051890680997809E-3</c:v>
                </c:pt>
                <c:pt idx="30">
                  <c:v>2.4296371397508972E-3</c:v>
                </c:pt>
                <c:pt idx="31">
                  <c:v>2.4473984078121221E-3</c:v>
                </c:pt>
                <c:pt idx="32">
                  <c:v>2.4672474972961597E-3</c:v>
                </c:pt>
                <c:pt idx="33">
                  <c:v>2.4839965271489812E-3</c:v>
                </c:pt>
                <c:pt idx="34">
                  <c:v>2.4969253154747957E-3</c:v>
                </c:pt>
                <c:pt idx="35">
                  <c:v>2.5237873898059427E-3</c:v>
                </c:pt>
                <c:pt idx="36">
                  <c:v>2.5452129180967712E-3</c:v>
                </c:pt>
                <c:pt idx="37">
                  <c:v>2.555890765370513E-3</c:v>
                </c:pt>
                <c:pt idx="38">
                  <c:v>2.5767533518483519E-3</c:v>
                </c:pt>
                <c:pt idx="39">
                  <c:v>2.5918985389731678E-3</c:v>
                </c:pt>
                <c:pt idx="40">
                  <c:v>2.6099776844361257E-3</c:v>
                </c:pt>
                <c:pt idx="41">
                  <c:v>2.6244050253034813E-3</c:v>
                </c:pt>
                <c:pt idx="42">
                  <c:v>2.6406601399658661E-3</c:v>
                </c:pt>
                <c:pt idx="43">
                  <c:v>2.6663719955611737E-3</c:v>
                </c:pt>
                <c:pt idx="44">
                  <c:v>2.6793865925638354E-3</c:v>
                </c:pt>
                <c:pt idx="45">
                  <c:v>2.6971309081306868E-3</c:v>
                </c:pt>
                <c:pt idx="46">
                  <c:v>2.7197062772361833E-3</c:v>
                </c:pt>
                <c:pt idx="47">
                  <c:v>2.7350080263553E-3</c:v>
                </c:pt>
                <c:pt idx="48">
                  <c:v>2.7490210609263524E-3</c:v>
                </c:pt>
                <c:pt idx="49">
                  <c:v>2.7669232255301849E-3</c:v>
                </c:pt>
                <c:pt idx="50">
                  <c:v>2.787039695415112E-3</c:v>
                </c:pt>
                <c:pt idx="51">
                  <c:v>2.8129776062434785E-3</c:v>
                </c:pt>
                <c:pt idx="52">
                  <c:v>2.8278411525531236E-3</c:v>
                </c:pt>
                <c:pt idx="53">
                  <c:v>2.8451551351074311E-3</c:v>
                </c:pt>
                <c:pt idx="54">
                  <c:v>2.8631277676003201E-3</c:v>
                </c:pt>
                <c:pt idx="55">
                  <c:v>2.8838794733065417E-3</c:v>
                </c:pt>
                <c:pt idx="56">
                  <c:v>2.9042282852647146E-3</c:v>
                </c:pt>
                <c:pt idx="57">
                  <c:v>2.9173915929526059E-3</c:v>
                </c:pt>
                <c:pt idx="58">
                  <c:v>2.9393772694266706E-3</c:v>
                </c:pt>
                <c:pt idx="59">
                  <c:v>2.9551967112883938E-3</c:v>
                </c:pt>
                <c:pt idx="60">
                  <c:v>2.969322549516055E-3</c:v>
                </c:pt>
                <c:pt idx="61">
                  <c:v>2.9853333931003636E-3</c:v>
                </c:pt>
                <c:pt idx="62">
                  <c:v>3.0120755349103499E-3</c:v>
                </c:pt>
                <c:pt idx="63">
                  <c:v>3.0246795918879702E-3</c:v>
                </c:pt>
                <c:pt idx="64">
                  <c:v>3.0462066440842092E-3</c:v>
                </c:pt>
                <c:pt idx="65">
                  <c:v>3.0618992695195233E-3</c:v>
                </c:pt>
                <c:pt idx="66">
                  <c:v>3.0818921173218672E-3</c:v>
                </c:pt>
                <c:pt idx="67">
                  <c:v>3.096738610946074E-3</c:v>
                </c:pt>
                <c:pt idx="68">
                  <c:v>3.1184603138666536E-3</c:v>
                </c:pt>
                <c:pt idx="69">
                  <c:v>3.1304829542654618E-3</c:v>
                </c:pt>
                <c:pt idx="70">
                  <c:v>3.1447535548562826E-3</c:v>
                </c:pt>
                <c:pt idx="71">
                  <c:v>3.1687610689182873E-3</c:v>
                </c:pt>
                <c:pt idx="72">
                  <c:v>3.1820081103950998E-3</c:v>
                </c:pt>
                <c:pt idx="73">
                  <c:v>3.2105915158515087E-3</c:v>
                </c:pt>
                <c:pt idx="74">
                  <c:v>3.2210530244078999E-3</c:v>
                </c:pt>
                <c:pt idx="75">
                  <c:v>3.2349956093997026E-3</c:v>
                </c:pt>
                <c:pt idx="76">
                  <c:v>3.2534467800804661E-3</c:v>
                </c:pt>
                <c:pt idx="77">
                  <c:v>3.2655899978901162E-3</c:v>
                </c:pt>
                <c:pt idx="78">
                  <c:v>3.2996063952393769E-3</c:v>
                </c:pt>
                <c:pt idx="79">
                  <c:v>3.30792548025585E-3</c:v>
                </c:pt>
                <c:pt idx="80">
                  <c:v>3.3291324341125287E-3</c:v>
                </c:pt>
                <c:pt idx="81">
                  <c:v>3.351795787937976E-3</c:v>
                </c:pt>
                <c:pt idx="82">
                  <c:v>3.3639476010960006E-3</c:v>
                </c:pt>
                <c:pt idx="83">
                  <c:v>3.3850232048575823E-3</c:v>
                </c:pt>
                <c:pt idx="84">
                  <c:v>3.3968225644554562E-3</c:v>
                </c:pt>
                <c:pt idx="85">
                  <c:v>3.4199303280503628E-3</c:v>
                </c:pt>
                <c:pt idx="86">
                  <c:v>3.4374456099570037E-3</c:v>
                </c:pt>
                <c:pt idx="87">
                  <c:v>3.4487277239597562E-3</c:v>
                </c:pt>
                <c:pt idx="88">
                  <c:v>3.472885282469979E-3</c:v>
                </c:pt>
                <c:pt idx="89">
                  <c:v>3.4893686002001301E-3</c:v>
                </c:pt>
                <c:pt idx="90">
                  <c:v>3.5003695328094816E-3</c:v>
                </c:pt>
                <c:pt idx="91">
                  <c:v>3.5225863710601486E-3</c:v>
                </c:pt>
                <c:pt idx="92">
                  <c:v>3.5414991514347593E-3</c:v>
                </c:pt>
                <c:pt idx="93">
                  <c:v>3.5600537817091055E-3</c:v>
                </c:pt>
                <c:pt idx="94">
                  <c:v>3.580632981266276E-3</c:v>
                </c:pt>
                <c:pt idx="95">
                  <c:v>3.5991520863248804E-3</c:v>
                </c:pt>
                <c:pt idx="96">
                  <c:v>3.6153400725838386E-3</c:v>
                </c:pt>
                <c:pt idx="97">
                  <c:v>3.6225172498740459E-3</c:v>
                </c:pt>
                <c:pt idx="98">
                  <c:v>3.6348720236997856E-3</c:v>
                </c:pt>
                <c:pt idx="99">
                  <c:v>3.6574392820257211E-3</c:v>
                </c:pt>
                <c:pt idx="100">
                  <c:v>3.669502564758279E-3</c:v>
                </c:pt>
                <c:pt idx="101">
                  <c:v>3.6933079194992348E-3</c:v>
                </c:pt>
                <c:pt idx="102">
                  <c:v>3.7096230517010879E-3</c:v>
                </c:pt>
                <c:pt idx="103">
                  <c:v>3.721105428002385E-3</c:v>
                </c:pt>
                <c:pt idx="104">
                  <c:v>3.7379981995279195E-3</c:v>
                </c:pt>
                <c:pt idx="105">
                  <c:v>3.7546786615338655E-3</c:v>
                </c:pt>
                <c:pt idx="106">
                  <c:v>3.7690244409207844E-3</c:v>
                </c:pt>
                <c:pt idx="107">
                  <c:v>3.7907119749569173E-3</c:v>
                </c:pt>
                <c:pt idx="108">
                  <c:v>3.8044411296344074E-3</c:v>
                </c:pt>
                <c:pt idx="109">
                  <c:v>3.8250946681310061E-3</c:v>
                </c:pt>
                <c:pt idx="110">
                  <c:v>3.8341425297290549E-3</c:v>
                </c:pt>
                <c:pt idx="111">
                  <c:v>3.8536220086975094E-3</c:v>
                </c:pt>
                <c:pt idx="112">
                  <c:v>3.8693739038783265E-3</c:v>
                </c:pt>
                <c:pt idx="113">
                  <c:v>3.8883196268174386E-3</c:v>
                </c:pt>
                <c:pt idx="114">
                  <c:v>3.9033338935413825E-3</c:v>
                </c:pt>
                <c:pt idx="115">
                  <c:v>3.9079165484111429E-3</c:v>
                </c:pt>
                <c:pt idx="116">
                  <c:v>3.9413856717396408E-3</c:v>
                </c:pt>
                <c:pt idx="117">
                  <c:v>3.959003067334447E-3</c:v>
                </c:pt>
                <c:pt idx="118">
                  <c:v>3.9737477677447069E-3</c:v>
                </c:pt>
                <c:pt idx="119">
                  <c:v>3.9976741516559453E-3</c:v>
                </c:pt>
                <c:pt idx="120">
                  <c:v>4.0055265304936877E-3</c:v>
                </c:pt>
                <c:pt idx="121">
                  <c:v>4.0274531503015571E-3</c:v>
                </c:pt>
                <c:pt idx="122">
                  <c:v>4.044662496171629E-3</c:v>
                </c:pt>
                <c:pt idx="123">
                  <c:v>4.0555428269174474E-3</c:v>
                </c:pt>
                <c:pt idx="124">
                  <c:v>4.0742016899223158E-3</c:v>
                </c:pt>
                <c:pt idx="125">
                  <c:v>4.0903501044422148E-3</c:v>
                </c:pt>
                <c:pt idx="126">
                  <c:v>4.1046646207435348E-3</c:v>
                </c:pt>
                <c:pt idx="127">
                  <c:v>4.1251804445789544E-3</c:v>
                </c:pt>
                <c:pt idx="128">
                  <c:v>4.1330992095700144E-3</c:v>
                </c:pt>
                <c:pt idx="129">
                  <c:v>4.1562385126420222E-3</c:v>
                </c:pt>
                <c:pt idx="130">
                  <c:v>4.1692746723181427E-3</c:v>
                </c:pt>
                <c:pt idx="131">
                  <c:v>4.1911535043037216E-3</c:v>
                </c:pt>
                <c:pt idx="132">
                  <c:v>4.2068703774704001E-3</c:v>
                </c:pt>
                <c:pt idx="133">
                  <c:v>4.2156775003351458E-3</c:v>
                </c:pt>
                <c:pt idx="134">
                  <c:v>4.238938785299174E-3</c:v>
                </c:pt>
                <c:pt idx="135">
                  <c:v>4.2515170641492768E-3</c:v>
                </c:pt>
                <c:pt idx="136">
                  <c:v>4.2693318558423522E-3</c:v>
                </c:pt>
                <c:pt idx="137">
                  <c:v>4.29526594187665E-3</c:v>
                </c:pt>
                <c:pt idx="138">
                  <c:v>4.3047337279508843E-3</c:v>
                </c:pt>
                <c:pt idx="139">
                  <c:v>4.3288271493685899E-3</c:v>
                </c:pt>
                <c:pt idx="140">
                  <c:v>4.3419309681548314E-3</c:v>
                </c:pt>
                <c:pt idx="141">
                  <c:v>4.3608079749047736E-3</c:v>
                </c:pt>
                <c:pt idx="142">
                  <c:v>4.3770136996311116E-3</c:v>
                </c:pt>
                <c:pt idx="143">
                  <c:v>4.3814579943347622E-3</c:v>
                </c:pt>
                <c:pt idx="144">
                  <c:v>4.4071990187074831E-3</c:v>
                </c:pt>
                <c:pt idx="145">
                  <c:v>4.412254928910524E-3</c:v>
                </c:pt>
                <c:pt idx="146">
                  <c:v>4.4280726383404048E-3</c:v>
                </c:pt>
                <c:pt idx="147">
                  <c:v>4.4462978991579036E-3</c:v>
                </c:pt>
                <c:pt idx="148">
                  <c:v>4.4598228417339616E-3</c:v>
                </c:pt>
                <c:pt idx="149">
                  <c:v>4.4812806318651902E-3</c:v>
                </c:pt>
                <c:pt idx="150">
                  <c:v>4.4918183109677236E-3</c:v>
                </c:pt>
                <c:pt idx="151">
                  <c:v>4.517218239014297E-3</c:v>
                </c:pt>
                <c:pt idx="152">
                  <c:v>4.5312524963556054E-3</c:v>
                </c:pt>
                <c:pt idx="153">
                  <c:v>4.5436760829868925E-3</c:v>
                </c:pt>
                <c:pt idx="154">
                  <c:v>4.5557388196346485E-3</c:v>
                </c:pt>
                <c:pt idx="155">
                  <c:v>4.5740338192687014E-3</c:v>
                </c:pt>
                <c:pt idx="156">
                  <c:v>4.5957799491079991E-3</c:v>
                </c:pt>
                <c:pt idx="157">
                  <c:v>4.6083624313448326E-3</c:v>
                </c:pt>
                <c:pt idx="158">
                  <c:v>4.6282287859918348E-3</c:v>
                </c:pt>
                <c:pt idx="159">
                  <c:v>4.6453847047946461E-3</c:v>
                </c:pt>
                <c:pt idx="160">
                  <c:v>4.6556363999488365E-3</c:v>
                </c:pt>
                <c:pt idx="161">
                  <c:v>4.6719568412419456E-3</c:v>
                </c:pt>
                <c:pt idx="162">
                  <c:v>4.688122401055944E-3</c:v>
                </c:pt>
                <c:pt idx="163">
                  <c:v>4.6989754558602412E-3</c:v>
                </c:pt>
                <c:pt idx="164">
                  <c:v>4.71685722982152E-3</c:v>
                </c:pt>
                <c:pt idx="165">
                  <c:v>4.7397147297259141E-3</c:v>
                </c:pt>
                <c:pt idx="166">
                  <c:v>4.7501512018075656E-3</c:v>
                </c:pt>
                <c:pt idx="167">
                  <c:v>4.7640565526286894E-3</c:v>
                </c:pt>
                <c:pt idx="168">
                  <c:v>4.7828057501330635E-3</c:v>
                </c:pt>
                <c:pt idx="169">
                  <c:v>4.7993739348290041E-3</c:v>
                </c:pt>
                <c:pt idx="170">
                  <c:v>4.81312545361597E-3</c:v>
                </c:pt>
                <c:pt idx="171">
                  <c:v>4.8240452167101055E-3</c:v>
                </c:pt>
                <c:pt idx="172">
                  <c:v>4.8315670795839299E-3</c:v>
                </c:pt>
                <c:pt idx="173">
                  <c:v>4.8512570328149776E-3</c:v>
                </c:pt>
                <c:pt idx="174">
                  <c:v>4.8634163428992218E-3</c:v>
                </c:pt>
                <c:pt idx="175">
                  <c:v>4.8871078556657075E-3</c:v>
                </c:pt>
                <c:pt idx="176">
                  <c:v>4.9018113644563122E-3</c:v>
                </c:pt>
                <c:pt idx="177">
                  <c:v>4.9212019988475412E-3</c:v>
                </c:pt>
                <c:pt idx="178">
                  <c:v>4.9327425113978385E-3</c:v>
                </c:pt>
                <c:pt idx="179">
                  <c:v>4.9583889855732317E-3</c:v>
                </c:pt>
                <c:pt idx="180">
                  <c:v>4.9664264058358236E-3</c:v>
                </c:pt>
                <c:pt idx="181">
                  <c:v>4.9874070878217136E-3</c:v>
                </c:pt>
                <c:pt idx="182">
                  <c:v>4.9891630900177992E-3</c:v>
                </c:pt>
                <c:pt idx="183">
                  <c:v>5.0025290217528967E-3</c:v>
                </c:pt>
                <c:pt idx="184">
                  <c:v>5.0148783410069531E-3</c:v>
                </c:pt>
                <c:pt idx="185">
                  <c:v>5.0264496262410422E-3</c:v>
                </c:pt>
                <c:pt idx="186">
                  <c:v>5.0481859201195233E-3</c:v>
                </c:pt>
                <c:pt idx="187">
                  <c:v>5.058025917120958E-3</c:v>
                </c:pt>
                <c:pt idx="188">
                  <c:v>5.077054462847788E-3</c:v>
                </c:pt>
                <c:pt idx="189">
                  <c:v>5.092784564935217E-3</c:v>
                </c:pt>
                <c:pt idx="190">
                  <c:v>5.1083291041669606E-3</c:v>
                </c:pt>
                <c:pt idx="191">
                  <c:v>5.1211823847035721E-3</c:v>
                </c:pt>
                <c:pt idx="192">
                  <c:v>5.1285416748570612E-3</c:v>
                </c:pt>
                <c:pt idx="193">
                  <c:v>5.1423371667409651E-3</c:v>
                </c:pt>
                <c:pt idx="194">
                  <c:v>5.1519398981020245E-3</c:v>
                </c:pt>
                <c:pt idx="195">
                  <c:v>5.1673604640627346E-3</c:v>
                </c:pt>
                <c:pt idx="196">
                  <c:v>5.180036731699607E-3</c:v>
                </c:pt>
                <c:pt idx="197">
                  <c:v>5.1877115410131321E-3</c:v>
                </c:pt>
                <c:pt idx="198">
                  <c:v>5.2106987010132116E-3</c:v>
                </c:pt>
                <c:pt idx="199">
                  <c:v>5.2241271763864509E-3</c:v>
                </c:pt>
                <c:pt idx="200">
                  <c:v>5.233351299920766E-3</c:v>
                </c:pt>
                <c:pt idx="201">
                  <c:v>5.2548453345520902E-3</c:v>
                </c:pt>
                <c:pt idx="202">
                  <c:v>5.2660201102680887E-3</c:v>
                </c:pt>
                <c:pt idx="203">
                  <c:v>5.2788073109265015E-3</c:v>
                </c:pt>
                <c:pt idx="204">
                  <c:v>5.2945783887384393E-3</c:v>
                </c:pt>
                <c:pt idx="205">
                  <c:v>5.3070829638781217E-3</c:v>
                </c:pt>
                <c:pt idx="206">
                  <c:v>5.3280297219611382E-3</c:v>
                </c:pt>
                <c:pt idx="207">
                  <c:v>5.341047358285801E-3</c:v>
                </c:pt>
                <c:pt idx="208">
                  <c:v>5.3595432992117505E-3</c:v>
                </c:pt>
                <c:pt idx="209">
                  <c:v>5.375419486980189E-3</c:v>
                </c:pt>
                <c:pt idx="210">
                  <c:v>5.3781145239835057E-3</c:v>
                </c:pt>
                <c:pt idx="211">
                  <c:v>5.3943290998868729E-3</c:v>
                </c:pt>
                <c:pt idx="212">
                  <c:v>5.4170564190047154E-3</c:v>
                </c:pt>
                <c:pt idx="213">
                  <c:v>5.4229546331140237E-3</c:v>
                </c:pt>
                <c:pt idx="214">
                  <c:v>5.4516336199425851E-3</c:v>
                </c:pt>
                <c:pt idx="215">
                  <c:v>5.4531970428723132E-3</c:v>
                </c:pt>
                <c:pt idx="216">
                  <c:v>5.4766687167310327E-3</c:v>
                </c:pt>
                <c:pt idx="217">
                  <c:v>5.4895082186405247E-3</c:v>
                </c:pt>
                <c:pt idx="218">
                  <c:v>5.5053758308022567E-3</c:v>
                </c:pt>
                <c:pt idx="219">
                  <c:v>5.5193528115754483E-3</c:v>
                </c:pt>
                <c:pt idx="220">
                  <c:v>5.5213951449908927E-3</c:v>
                </c:pt>
                <c:pt idx="221">
                  <c:v>5.5525415694469768E-3</c:v>
                </c:pt>
                <c:pt idx="222">
                  <c:v>5.5635353852701791E-3</c:v>
                </c:pt>
                <c:pt idx="223">
                  <c:v>5.5826027919388798E-3</c:v>
                </c:pt>
                <c:pt idx="224">
                  <c:v>5.59522640536769E-3</c:v>
                </c:pt>
                <c:pt idx="225">
                  <c:v>5.6129669905838767E-3</c:v>
                </c:pt>
                <c:pt idx="226">
                  <c:v>5.626992390052871E-3</c:v>
                </c:pt>
                <c:pt idx="227">
                  <c:v>5.637178317114854E-3</c:v>
                </c:pt>
                <c:pt idx="228">
                  <c:v>5.6541006108147751E-3</c:v>
                </c:pt>
                <c:pt idx="229">
                  <c:v>5.6630570581186861E-3</c:v>
                </c:pt>
                <c:pt idx="230">
                  <c:v>5.6776022965304655E-3</c:v>
                </c:pt>
                <c:pt idx="231">
                  <c:v>5.6966867001444271E-3</c:v>
                </c:pt>
                <c:pt idx="232">
                  <c:v>5.7140073314155904E-3</c:v>
                </c:pt>
                <c:pt idx="233">
                  <c:v>5.7309503899086456E-3</c:v>
                </c:pt>
                <c:pt idx="234">
                  <c:v>5.7417791110635939E-3</c:v>
                </c:pt>
                <c:pt idx="235">
                  <c:v>5.7575707406757586E-3</c:v>
                </c:pt>
                <c:pt idx="236">
                  <c:v>5.7669802023189521E-3</c:v>
                </c:pt>
                <c:pt idx="237">
                  <c:v>5.7810576969958257E-3</c:v>
                </c:pt>
                <c:pt idx="238">
                  <c:v>5.7954919871114679E-3</c:v>
                </c:pt>
                <c:pt idx="239">
                  <c:v>5.8098436034736056E-3</c:v>
                </c:pt>
                <c:pt idx="240">
                  <c:v>5.8282494968453311E-3</c:v>
                </c:pt>
                <c:pt idx="241">
                  <c:v>5.8343536147413928E-3</c:v>
                </c:pt>
                <c:pt idx="242">
                  <c:v>5.8500732557423187E-3</c:v>
                </c:pt>
                <c:pt idx="243">
                  <c:v>5.8733678025386302E-3</c:v>
                </c:pt>
                <c:pt idx="244">
                  <c:v>5.8814792466386013E-3</c:v>
                </c:pt>
                <c:pt idx="245">
                  <c:v>5.9038656663841409E-3</c:v>
                </c:pt>
                <c:pt idx="246">
                  <c:v>5.9059752059089669E-3</c:v>
                </c:pt>
                <c:pt idx="247">
                  <c:v>5.92084348170636E-3</c:v>
                </c:pt>
                <c:pt idx="248">
                  <c:v>5.9404852374310242E-3</c:v>
                </c:pt>
                <c:pt idx="249">
                  <c:v>5.9517583141980978E-3</c:v>
                </c:pt>
                <c:pt idx="250">
                  <c:v>5.9651479112854972E-3</c:v>
                </c:pt>
                <c:pt idx="251">
                  <c:v>5.9713777647980018E-3</c:v>
                </c:pt>
                <c:pt idx="252">
                  <c:v>5.9836229102762034E-3</c:v>
                </c:pt>
                <c:pt idx="253">
                  <c:v>5.9970091877374768E-3</c:v>
                </c:pt>
                <c:pt idx="254">
                  <c:v>6.0128043813539199E-3</c:v>
                </c:pt>
                <c:pt idx="255">
                  <c:v>6.0252612861271763E-3</c:v>
                </c:pt>
                <c:pt idx="256">
                  <c:v>6.0402543509484544E-3</c:v>
                </c:pt>
                <c:pt idx="257">
                  <c:v>6.0522422767491906E-3</c:v>
                </c:pt>
                <c:pt idx="258">
                  <c:v>6.0675249380565347E-3</c:v>
                </c:pt>
              </c:numCache>
            </c:numRef>
          </c:xVal>
          <c:yVal>
            <c:numRef>
              <c:f>'Monotonic-0-degree (version 2).'!$K$100:$K$358</c:f>
              <c:numCache>
                <c:formatCode>General</c:formatCode>
                <c:ptCount val="259"/>
                <c:pt idx="0">
                  <c:v>225.5348935572097</c:v>
                </c:pt>
                <c:pt idx="1">
                  <c:v>227.38921810802898</c:v>
                </c:pt>
                <c:pt idx="2">
                  <c:v>229.60308850943818</c:v>
                </c:pt>
                <c:pt idx="3">
                  <c:v>231.62198634708287</c:v>
                </c:pt>
                <c:pt idx="4">
                  <c:v>233.99915978783852</c:v>
                </c:pt>
                <c:pt idx="5">
                  <c:v>235.534250095033</c:v>
                </c:pt>
                <c:pt idx="6">
                  <c:v>237.76161654752093</c:v>
                </c:pt>
                <c:pt idx="7">
                  <c:v>239.97668479326967</c:v>
                </c:pt>
                <c:pt idx="8">
                  <c:v>242.13078894564856</c:v>
                </c:pt>
                <c:pt idx="9">
                  <c:v>244.19379322433065</c:v>
                </c:pt>
                <c:pt idx="10">
                  <c:v>246.10378626306303</c:v>
                </c:pt>
                <c:pt idx="11">
                  <c:v>247.69713539536852</c:v>
                </c:pt>
                <c:pt idx="12">
                  <c:v>250.30262883267503</c:v>
                </c:pt>
                <c:pt idx="13">
                  <c:v>252.26143745570346</c:v>
                </c:pt>
                <c:pt idx="14">
                  <c:v>254.19130406558992</c:v>
                </c:pt>
                <c:pt idx="15">
                  <c:v>256.60216005793842</c:v>
                </c:pt>
                <c:pt idx="16">
                  <c:v>258.36633693611816</c:v>
                </c:pt>
                <c:pt idx="17">
                  <c:v>260.35460365012591</c:v>
                </c:pt>
                <c:pt idx="18">
                  <c:v>262.85041029891261</c:v>
                </c:pt>
                <c:pt idx="19">
                  <c:v>264.93390383332871</c:v>
                </c:pt>
                <c:pt idx="20">
                  <c:v>266.77723597997613</c:v>
                </c:pt>
                <c:pt idx="21">
                  <c:v>268.86631732749817</c:v>
                </c:pt>
                <c:pt idx="22">
                  <c:v>270.66159102247241</c:v>
                </c:pt>
                <c:pt idx="23">
                  <c:v>272.97873888074827</c:v>
                </c:pt>
                <c:pt idx="24">
                  <c:v>275.08533449205402</c:v>
                </c:pt>
                <c:pt idx="25">
                  <c:v>276.95865805464103</c:v>
                </c:pt>
                <c:pt idx="26">
                  <c:v>279.5229176986461</c:v>
                </c:pt>
                <c:pt idx="27">
                  <c:v>281.47471094416062</c:v>
                </c:pt>
                <c:pt idx="28">
                  <c:v>283.36138327719675</c:v>
                </c:pt>
                <c:pt idx="29">
                  <c:v>285.27167502387607</c:v>
                </c:pt>
                <c:pt idx="30">
                  <c:v>286.99754724255718</c:v>
                </c:pt>
                <c:pt idx="31">
                  <c:v>289.68018581937372</c:v>
                </c:pt>
                <c:pt idx="32">
                  <c:v>291.56468648756976</c:v>
                </c:pt>
                <c:pt idx="33">
                  <c:v>293.36069326443021</c:v>
                </c:pt>
                <c:pt idx="34">
                  <c:v>295.63908428558068</c:v>
                </c:pt>
                <c:pt idx="35">
                  <c:v>297.38874026460979</c:v>
                </c:pt>
                <c:pt idx="36">
                  <c:v>299.34220995859374</c:v>
                </c:pt>
                <c:pt idx="37">
                  <c:v>301.79241432417581</c:v>
                </c:pt>
                <c:pt idx="38">
                  <c:v>303.95016516046786</c:v>
                </c:pt>
                <c:pt idx="39">
                  <c:v>305.88047600917758</c:v>
                </c:pt>
                <c:pt idx="40">
                  <c:v>307.48997213019362</c:v>
                </c:pt>
                <c:pt idx="41">
                  <c:v>309.30064641635278</c:v>
                </c:pt>
                <c:pt idx="42">
                  <c:v>311.16967189723414</c:v>
                </c:pt>
                <c:pt idx="43">
                  <c:v>312.6723363642501</c:v>
                </c:pt>
                <c:pt idx="44">
                  <c:v>314.73689963410851</c:v>
                </c:pt>
                <c:pt idx="45">
                  <c:v>316.96734431515023</c:v>
                </c:pt>
                <c:pt idx="46">
                  <c:v>319.29239704747948</c:v>
                </c:pt>
                <c:pt idx="47">
                  <c:v>321.3967279086383</c:v>
                </c:pt>
                <c:pt idx="48">
                  <c:v>322.86705259759913</c:v>
                </c:pt>
                <c:pt idx="49">
                  <c:v>324.50958173036173</c:v>
                </c:pt>
                <c:pt idx="50">
                  <c:v>327.1577392030311</c:v>
                </c:pt>
                <c:pt idx="51">
                  <c:v>329.25135963992193</c:v>
                </c:pt>
                <c:pt idx="52">
                  <c:v>331.33928411544065</c:v>
                </c:pt>
                <c:pt idx="53">
                  <c:v>333.52668807724046</c:v>
                </c:pt>
                <c:pt idx="54">
                  <c:v>335.21577575277354</c:v>
                </c:pt>
                <c:pt idx="55">
                  <c:v>337.73281202664492</c:v>
                </c:pt>
                <c:pt idx="56">
                  <c:v>339.56913060420015</c:v>
                </c:pt>
                <c:pt idx="57">
                  <c:v>341.14748229985497</c:v>
                </c:pt>
                <c:pt idx="58">
                  <c:v>343.60859048016709</c:v>
                </c:pt>
                <c:pt idx="59">
                  <c:v>345.18671383502414</c:v>
                </c:pt>
                <c:pt idx="60">
                  <c:v>347.0148081144402</c:v>
                </c:pt>
                <c:pt idx="61">
                  <c:v>349.31160814854979</c:v>
                </c:pt>
                <c:pt idx="62">
                  <c:v>351.2471333208548</c:v>
                </c:pt>
                <c:pt idx="63">
                  <c:v>352.99702730166672</c:v>
                </c:pt>
                <c:pt idx="64">
                  <c:v>355.09391076460747</c:v>
                </c:pt>
                <c:pt idx="65">
                  <c:v>357.1431529800185</c:v>
                </c:pt>
                <c:pt idx="66">
                  <c:v>359.29909303463847</c:v>
                </c:pt>
                <c:pt idx="67">
                  <c:v>360.84395316554259</c:v>
                </c:pt>
                <c:pt idx="68">
                  <c:v>362.81791311825191</c:v>
                </c:pt>
                <c:pt idx="69">
                  <c:v>364.31439987849632</c:v>
                </c:pt>
                <c:pt idx="70">
                  <c:v>366.08600446078373</c:v>
                </c:pt>
                <c:pt idx="71">
                  <c:v>368.5501004110958</c:v>
                </c:pt>
                <c:pt idx="72">
                  <c:v>370.80063258648539</c:v>
                </c:pt>
                <c:pt idx="73">
                  <c:v>372.68383557109883</c:v>
                </c:pt>
                <c:pt idx="74">
                  <c:v>374.70316109128777</c:v>
                </c:pt>
                <c:pt idx="75">
                  <c:v>375.74074317245805</c:v>
                </c:pt>
                <c:pt idx="76">
                  <c:v>378.02809105830585</c:v>
                </c:pt>
                <c:pt idx="77">
                  <c:v>380.14100055211435</c:v>
                </c:pt>
                <c:pt idx="78">
                  <c:v>382.35826355248753</c:v>
                </c:pt>
                <c:pt idx="79">
                  <c:v>384.30759809435597</c:v>
                </c:pt>
                <c:pt idx="80">
                  <c:v>386.45598646386969</c:v>
                </c:pt>
                <c:pt idx="81">
                  <c:v>388.01348199973194</c:v>
                </c:pt>
                <c:pt idx="82">
                  <c:v>390.23866188594764</c:v>
                </c:pt>
                <c:pt idx="83">
                  <c:v>392.08654073248505</c:v>
                </c:pt>
                <c:pt idx="84">
                  <c:v>393.82901339563267</c:v>
                </c:pt>
                <c:pt idx="85">
                  <c:v>396.23340110691765</c:v>
                </c:pt>
                <c:pt idx="86">
                  <c:v>397.56178997965338</c:v>
                </c:pt>
                <c:pt idx="87">
                  <c:v>399.68579897476974</c:v>
                </c:pt>
                <c:pt idx="88">
                  <c:v>401.45977430229641</c:v>
                </c:pt>
                <c:pt idx="89">
                  <c:v>403.60501305442421</c:v>
                </c:pt>
                <c:pt idx="90">
                  <c:v>405.57754103989396</c:v>
                </c:pt>
                <c:pt idx="91">
                  <c:v>407.14429504740235</c:v>
                </c:pt>
                <c:pt idx="92">
                  <c:v>409.25701521668344</c:v>
                </c:pt>
                <c:pt idx="93">
                  <c:v>411.43901582999064</c:v>
                </c:pt>
                <c:pt idx="94">
                  <c:v>413.00512067075692</c:v>
                </c:pt>
                <c:pt idx="95">
                  <c:v>415.71203715302477</c:v>
                </c:pt>
                <c:pt idx="96">
                  <c:v>417.36525549256424</c:v>
                </c:pt>
                <c:pt idx="97">
                  <c:v>418.76051193543151</c:v>
                </c:pt>
                <c:pt idx="98">
                  <c:v>420.36210289776261</c:v>
                </c:pt>
                <c:pt idx="99">
                  <c:v>421.82890190913525</c:v>
                </c:pt>
                <c:pt idx="100">
                  <c:v>423.49487873350034</c:v>
                </c:pt>
                <c:pt idx="101">
                  <c:v>425.55058743315823</c:v>
                </c:pt>
                <c:pt idx="102">
                  <c:v>427.56425769015453</c:v>
                </c:pt>
                <c:pt idx="103">
                  <c:v>429.51984987960117</c:v>
                </c:pt>
                <c:pt idx="104">
                  <c:v>430.96610747925047</c:v>
                </c:pt>
                <c:pt idx="105">
                  <c:v>432.6381684047434</c:v>
                </c:pt>
                <c:pt idx="106">
                  <c:v>434.34397187150256</c:v>
                </c:pt>
                <c:pt idx="107">
                  <c:v>436.4264697639565</c:v>
                </c:pt>
                <c:pt idx="108">
                  <c:v>438.40193225960775</c:v>
                </c:pt>
                <c:pt idx="109">
                  <c:v>440.25509764121568</c:v>
                </c:pt>
                <c:pt idx="110">
                  <c:v>442.11622701816214</c:v>
                </c:pt>
                <c:pt idx="111">
                  <c:v>444.19734181812214</c:v>
                </c:pt>
                <c:pt idx="112">
                  <c:v>445.70031142859688</c:v>
                </c:pt>
                <c:pt idx="113">
                  <c:v>447.40471224059479</c:v>
                </c:pt>
                <c:pt idx="114">
                  <c:v>449.03604003089436</c:v>
                </c:pt>
                <c:pt idx="115">
                  <c:v>450.57840232297576</c:v>
                </c:pt>
                <c:pt idx="116">
                  <c:v>452.92358630030128</c:v>
                </c:pt>
                <c:pt idx="117">
                  <c:v>455.42658019733022</c:v>
                </c:pt>
                <c:pt idx="118">
                  <c:v>457.10892506791873</c:v>
                </c:pt>
                <c:pt idx="119">
                  <c:v>459.33687141359769</c:v>
                </c:pt>
                <c:pt idx="120">
                  <c:v>460.83108547704035</c:v>
                </c:pt>
                <c:pt idx="121">
                  <c:v>462.65814146394155</c:v>
                </c:pt>
                <c:pt idx="122">
                  <c:v>464.96946357493323</c:v>
                </c:pt>
                <c:pt idx="123">
                  <c:v>466.42963067679966</c:v>
                </c:pt>
                <c:pt idx="124">
                  <c:v>468.24199546165761</c:v>
                </c:pt>
                <c:pt idx="125">
                  <c:v>469.87243145606857</c:v>
                </c:pt>
                <c:pt idx="126">
                  <c:v>471.26381377682702</c:v>
                </c:pt>
                <c:pt idx="127">
                  <c:v>473.29167330790403</c:v>
                </c:pt>
                <c:pt idx="128">
                  <c:v>474.7922590829354</c:v>
                </c:pt>
                <c:pt idx="129">
                  <c:v>476.61666537362413</c:v>
                </c:pt>
                <c:pt idx="130">
                  <c:v>478.89416450379207</c:v>
                </c:pt>
                <c:pt idx="131">
                  <c:v>480.8608708352603</c:v>
                </c:pt>
                <c:pt idx="132">
                  <c:v>482.36627905125107</c:v>
                </c:pt>
                <c:pt idx="133">
                  <c:v>484.01941700975766</c:v>
                </c:pt>
                <c:pt idx="134">
                  <c:v>485.91748532053793</c:v>
                </c:pt>
                <c:pt idx="135">
                  <c:v>488.13042073294423</c:v>
                </c:pt>
                <c:pt idx="136">
                  <c:v>490.03049477234708</c:v>
                </c:pt>
                <c:pt idx="137">
                  <c:v>491.93121743604001</c:v>
                </c:pt>
                <c:pt idx="138">
                  <c:v>493.86941481759146</c:v>
                </c:pt>
                <c:pt idx="139">
                  <c:v>495.36161432978787</c:v>
                </c:pt>
                <c:pt idx="140">
                  <c:v>497.48355980838471</c:v>
                </c:pt>
                <c:pt idx="141">
                  <c:v>499.42601068410323</c:v>
                </c:pt>
                <c:pt idx="142">
                  <c:v>500.8141942820622</c:v>
                </c:pt>
                <c:pt idx="143">
                  <c:v>502.40131777508947</c:v>
                </c:pt>
                <c:pt idx="144">
                  <c:v>503.76173834705185</c:v>
                </c:pt>
                <c:pt idx="145">
                  <c:v>505.58283844678294</c:v>
                </c:pt>
                <c:pt idx="146">
                  <c:v>507.18848045704146</c:v>
                </c:pt>
                <c:pt idx="147">
                  <c:v>508.97282585643734</c:v>
                </c:pt>
                <c:pt idx="148">
                  <c:v>510.91135220779336</c:v>
                </c:pt>
                <c:pt idx="149">
                  <c:v>512.75249072165695</c:v>
                </c:pt>
                <c:pt idx="150">
                  <c:v>514.28854301280035</c:v>
                </c:pt>
                <c:pt idx="151">
                  <c:v>516.21589790574319</c:v>
                </c:pt>
                <c:pt idx="152">
                  <c:v>517.84798859481418</c:v>
                </c:pt>
                <c:pt idx="153">
                  <c:v>519.27633697895737</c:v>
                </c:pt>
                <c:pt idx="154">
                  <c:v>521.27721405451064</c:v>
                </c:pt>
                <c:pt idx="155">
                  <c:v>523.03841666552194</c:v>
                </c:pt>
                <c:pt idx="156">
                  <c:v>524.96984474983753</c:v>
                </c:pt>
                <c:pt idx="157">
                  <c:v>526.75478281201538</c:v>
                </c:pt>
                <c:pt idx="158">
                  <c:v>528.65691212797003</c:v>
                </c:pt>
                <c:pt idx="159">
                  <c:v>530.43449065245511</c:v>
                </c:pt>
                <c:pt idx="160">
                  <c:v>532.07804509509083</c:v>
                </c:pt>
                <c:pt idx="161">
                  <c:v>533.69944117593047</c:v>
                </c:pt>
                <c:pt idx="162">
                  <c:v>535.30565814893919</c:v>
                </c:pt>
                <c:pt idx="163">
                  <c:v>536.47610734413831</c:v>
                </c:pt>
                <c:pt idx="164">
                  <c:v>538.24829176346475</c:v>
                </c:pt>
                <c:pt idx="165">
                  <c:v>540.32421995286063</c:v>
                </c:pt>
                <c:pt idx="166">
                  <c:v>541.96039850321347</c:v>
                </c:pt>
                <c:pt idx="167">
                  <c:v>543.79018913186758</c:v>
                </c:pt>
                <c:pt idx="168">
                  <c:v>545.5221155243047</c:v>
                </c:pt>
                <c:pt idx="169">
                  <c:v>547.13319930398279</c:v>
                </c:pt>
                <c:pt idx="170">
                  <c:v>548.75586126417738</c:v>
                </c:pt>
                <c:pt idx="171">
                  <c:v>549.77002564908605</c:v>
                </c:pt>
                <c:pt idx="172">
                  <c:v>551.21022328103527</c:v>
                </c:pt>
                <c:pt idx="173">
                  <c:v>553.09361542136162</c:v>
                </c:pt>
                <c:pt idx="174">
                  <c:v>554.70672801230364</c:v>
                </c:pt>
                <c:pt idx="175">
                  <c:v>556.70258297777229</c:v>
                </c:pt>
                <c:pt idx="176">
                  <c:v>558.85708392151366</c:v>
                </c:pt>
                <c:pt idx="177">
                  <c:v>560.39357428830499</c:v>
                </c:pt>
                <c:pt idx="178">
                  <c:v>562.35140122077473</c:v>
                </c:pt>
                <c:pt idx="179">
                  <c:v>564.40536466839558</c:v>
                </c:pt>
                <c:pt idx="180">
                  <c:v>566.33757597125179</c:v>
                </c:pt>
                <c:pt idx="181">
                  <c:v>567.7703945769091</c:v>
                </c:pt>
                <c:pt idx="182">
                  <c:v>568.76394846678988</c:v>
                </c:pt>
                <c:pt idx="183">
                  <c:v>569.9875010281994</c:v>
                </c:pt>
                <c:pt idx="184">
                  <c:v>571.03317310933164</c:v>
                </c:pt>
                <c:pt idx="185">
                  <c:v>572.37911311860751</c:v>
                </c:pt>
                <c:pt idx="186">
                  <c:v>574.27643653664302</c:v>
                </c:pt>
                <c:pt idx="187">
                  <c:v>575.46457684167217</c:v>
                </c:pt>
                <c:pt idx="188">
                  <c:v>577.18830257890193</c:v>
                </c:pt>
                <c:pt idx="189">
                  <c:v>578.81988173065054</c:v>
                </c:pt>
                <c:pt idx="190">
                  <c:v>580.60971097988727</c:v>
                </c:pt>
                <c:pt idx="191">
                  <c:v>581.99864450877885</c:v>
                </c:pt>
                <c:pt idx="192">
                  <c:v>583.70982315982951</c:v>
                </c:pt>
                <c:pt idx="193">
                  <c:v>584.77694068202277</c:v>
                </c:pt>
                <c:pt idx="194">
                  <c:v>586.32356084990136</c:v>
                </c:pt>
                <c:pt idx="195">
                  <c:v>587.37017661481286</c:v>
                </c:pt>
                <c:pt idx="196">
                  <c:v>588.69458283902236</c:v>
                </c:pt>
                <c:pt idx="197">
                  <c:v>590.04987934112626</c:v>
                </c:pt>
                <c:pt idx="198">
                  <c:v>592.07130007011619</c:v>
                </c:pt>
                <c:pt idx="199">
                  <c:v>593.74755280991565</c:v>
                </c:pt>
                <c:pt idx="200">
                  <c:v>595.2991860168039</c:v>
                </c:pt>
                <c:pt idx="201">
                  <c:v>597.04343902555513</c:v>
                </c:pt>
                <c:pt idx="202">
                  <c:v>598.43932133368639</c:v>
                </c:pt>
                <c:pt idx="203">
                  <c:v>599.82312529506032</c:v>
                </c:pt>
                <c:pt idx="204">
                  <c:v>601.75625897808197</c:v>
                </c:pt>
                <c:pt idx="205">
                  <c:v>603.5370760626198</c:v>
                </c:pt>
                <c:pt idx="206">
                  <c:v>605.2697568229737</c:v>
                </c:pt>
                <c:pt idx="207">
                  <c:v>607.09988187434897</c:v>
                </c:pt>
                <c:pt idx="208">
                  <c:v>608.6454057347828</c:v>
                </c:pt>
                <c:pt idx="209">
                  <c:v>609.78491494550951</c:v>
                </c:pt>
                <c:pt idx="210">
                  <c:v>611.24818710972932</c:v>
                </c:pt>
                <c:pt idx="211">
                  <c:v>612.78392415443057</c:v>
                </c:pt>
                <c:pt idx="212">
                  <c:v>614.70094504262397</c:v>
                </c:pt>
                <c:pt idx="213">
                  <c:v>616.36825586127588</c:v>
                </c:pt>
                <c:pt idx="214">
                  <c:v>617.92908838508208</c:v>
                </c:pt>
                <c:pt idx="215">
                  <c:v>619.66637218307301</c:v>
                </c:pt>
                <c:pt idx="216">
                  <c:v>621.45914473077994</c:v>
                </c:pt>
                <c:pt idx="217">
                  <c:v>623.14132844969447</c:v>
                </c:pt>
                <c:pt idx="218">
                  <c:v>625.07859495688763</c:v>
                </c:pt>
                <c:pt idx="219">
                  <c:v>626.44201466892207</c:v>
                </c:pt>
                <c:pt idx="220">
                  <c:v>627.6699309700507</c:v>
                </c:pt>
                <c:pt idx="221">
                  <c:v>629.2194369265311</c:v>
                </c:pt>
                <c:pt idx="222">
                  <c:v>630.52787229695866</c:v>
                </c:pt>
                <c:pt idx="223">
                  <c:v>632.24615156972095</c:v>
                </c:pt>
                <c:pt idx="224">
                  <c:v>633.53687598512158</c:v>
                </c:pt>
                <c:pt idx="225">
                  <c:v>635.04826994285429</c:v>
                </c:pt>
                <c:pt idx="226">
                  <c:v>636.58980008969752</c:v>
                </c:pt>
                <c:pt idx="227">
                  <c:v>638.04658542265099</c:v>
                </c:pt>
                <c:pt idx="228">
                  <c:v>639.38463157386002</c:v>
                </c:pt>
                <c:pt idx="229">
                  <c:v>641.0373934833666</c:v>
                </c:pt>
                <c:pt idx="230">
                  <c:v>642.61886049126861</c:v>
                </c:pt>
                <c:pt idx="231">
                  <c:v>644.66836117319292</c:v>
                </c:pt>
                <c:pt idx="232">
                  <c:v>646.85936932287643</c:v>
                </c:pt>
                <c:pt idx="233">
                  <c:v>648.50313652955992</c:v>
                </c:pt>
                <c:pt idx="234">
                  <c:v>650.01258905481939</c:v>
                </c:pt>
                <c:pt idx="235">
                  <c:v>651.06166932457506</c:v>
                </c:pt>
                <c:pt idx="236">
                  <c:v>652.76163729495988</c:v>
                </c:pt>
                <c:pt idx="237">
                  <c:v>654.2447918532132</c:v>
                </c:pt>
                <c:pt idx="238">
                  <c:v>655.84601205336287</c:v>
                </c:pt>
                <c:pt idx="239">
                  <c:v>657.38604929138785</c:v>
                </c:pt>
                <c:pt idx="240">
                  <c:v>658.77372116426238</c:v>
                </c:pt>
                <c:pt idx="241">
                  <c:v>660.10059417296293</c:v>
                </c:pt>
                <c:pt idx="242">
                  <c:v>661.85127825338668</c:v>
                </c:pt>
                <c:pt idx="243">
                  <c:v>663.53545282958555</c:v>
                </c:pt>
                <c:pt idx="244">
                  <c:v>665.15137337853753</c:v>
                </c:pt>
                <c:pt idx="245">
                  <c:v>666.70508777181578</c:v>
                </c:pt>
                <c:pt idx="246">
                  <c:v>667.60530253403897</c:v>
                </c:pt>
                <c:pt idx="247">
                  <c:v>669.02314957175236</c:v>
                </c:pt>
                <c:pt idx="248">
                  <c:v>670.59584000762413</c:v>
                </c:pt>
                <c:pt idx="249">
                  <c:v>672.14544095220447</c:v>
                </c:pt>
                <c:pt idx="250">
                  <c:v>673.67732608967151</c:v>
                </c:pt>
                <c:pt idx="251">
                  <c:v>674.64750846483139</c:v>
                </c:pt>
                <c:pt idx="252">
                  <c:v>676.09553081195168</c:v>
                </c:pt>
                <c:pt idx="253">
                  <c:v>677.21190515918158</c:v>
                </c:pt>
                <c:pt idx="254">
                  <c:v>678.89190589450732</c:v>
                </c:pt>
                <c:pt idx="255">
                  <c:v>680.80815132761279</c:v>
                </c:pt>
                <c:pt idx="256">
                  <c:v>681.95190381813757</c:v>
                </c:pt>
                <c:pt idx="257">
                  <c:v>683.54974919390463</c:v>
                </c:pt>
                <c:pt idx="258">
                  <c:v>685.28531876912348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3F-490E-AB02-4C81E13CD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08303"/>
        <c:axId val="896409263"/>
      </c:scatterChart>
      <c:valAx>
        <c:axId val="8964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6409263"/>
        <c:crosses val="autoZero"/>
        <c:crossBetween val="midCat"/>
      </c:valAx>
      <c:valAx>
        <c:axId val="89640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640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Repeated Stress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'Monotonic-0-degree (version 2).'!$AB$8:$AB$153</c:f>
              <c:numCache>
                <c:formatCode>General</c:formatCode>
                <c:ptCount val="14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</c:numCache>
            </c:numRef>
          </c:xVal>
          <c:yVal>
            <c:numRef>
              <c:f>'Monotonic-0-degree (version 2).'!$AC$8:$AC$153</c:f>
              <c:numCache>
                <c:formatCode>General</c:formatCode>
                <c:ptCount val="146"/>
                <c:pt idx="0">
                  <c:v>406.03800000000001</c:v>
                </c:pt>
                <c:pt idx="1">
                  <c:v>472.32988448891007</c:v>
                </c:pt>
                <c:pt idx="2">
                  <c:v>537.95940238119056</c:v>
                </c:pt>
                <c:pt idx="3">
                  <c:v>602.27080522829601</c:v>
                </c:pt>
                <c:pt idx="4">
                  <c:v>664.62151475150165</c:v>
                </c:pt>
                <c:pt idx="5">
                  <c:v>724.38854327165586</c:v>
                </c:pt>
                <c:pt idx="6">
                  <c:v>780.97471839613831</c:v>
                </c:pt>
                <c:pt idx="7">
                  <c:v>833.81464976800771</c:v>
                </c:pt>
                <c:pt idx="8">
                  <c:v>882.38037825955553</c:v>
                </c:pt>
                <c:pt idx="9">
                  <c:v>926.18665116538955</c:v>
                </c:pt>
                <c:pt idx="10">
                  <c:v>964.7957706870634</c:v>
                </c:pt>
                <c:pt idx="11">
                  <c:v>997.82196726479458</c:v>
                </c:pt>
                <c:pt idx="12">
                  <c:v>1024.9352540593873</c:v>
                </c:pt>
                <c:pt idx="13">
                  <c:v>1045.8647240716514</c:v>
                </c:pt>
                <c:pt idx="14">
                  <c:v>1060.4012569555873</c:v>
                </c:pt>
                <c:pt idx="15">
                  <c:v>1068.3996084797573</c:v>
                </c:pt>
                <c:pt idx="16">
                  <c:v>1069.7798617596354</c:v>
                </c:pt>
                <c:pt idx="17">
                  <c:v>1064.5282257607005</c:v>
                </c:pt>
                <c:pt idx="18">
                  <c:v>1052.6971730938935</c:v>
                </c:pt>
                <c:pt idx="19">
                  <c:v>1034.4049157266352</c:v>
                </c:pt>
                <c:pt idx="20">
                  <c:v>1009.8342238479231</c:v>
                </c:pt>
                <c:pt idx="21">
                  <c:v>979.23059968901816</c:v>
                </c:pt>
                <c:pt idx="22">
                  <c:v>942.89982454630319</c:v>
                </c:pt>
                <c:pt idx="23">
                  <c:v>901.20490351564627</c:v>
                </c:pt>
                <c:pt idx="24">
                  <c:v>854.5624384654775</c:v>
                </c:pt>
                <c:pt idx="25">
                  <c:v>803.43846548862916</c:v>
                </c:pt>
                <c:pt idx="26">
                  <c:v>748.34379842374722</c:v>
                </c:pt>
                <c:pt idx="27">
                  <c:v>689.82892497226828</c:v>
                </c:pt>
                <c:pt idx="28">
                  <c:v>628.47850640727404</c:v>
                </c:pt>
                <c:pt idx="29">
                  <c:v>564.90553583131384</c:v>
                </c:pt>
                <c:pt idx="30">
                  <c:v>499.74521335195249</c:v>
                </c:pt>
                <c:pt idx="31">
                  <c:v>433.64859937226487</c:v>
                </c:pt>
                <c:pt idx="32">
                  <c:v>367.27610941050028</c:v>
                </c:pt>
                <c:pt idx="33">
                  <c:v>301.29091544652846</c:v>
                </c:pt>
                <c:pt idx="34">
                  <c:v>236.35231972663226</c:v>
                </c:pt>
                <c:pt idx="35">
                  <c:v>173.10916723339909</c:v>
                </c:pt>
                <c:pt idx="36">
                  <c:v>112.19336264113457</c:v>
                </c:pt>
                <c:pt idx="37">
                  <c:v>54.213556533236726</c:v>
                </c:pt>
                <c:pt idx="38">
                  <c:v>-0.25093603324006608</c:v>
                </c:pt>
                <c:pt idx="39">
                  <c:v>-50.65592385213921</c:v>
                </c:pt>
                <c:pt idx="40">
                  <c:v>-96.497776946847807</c:v>
                </c:pt>
                <c:pt idx="41">
                  <c:v>-137.3184586745457</c:v>
                </c:pt>
                <c:pt idx="42">
                  <c:v>-172.71010227693318</c:v>
                </c:pt>
                <c:pt idx="43">
                  <c:v>-202.31908615005693</c:v>
                </c:pt>
                <c:pt idx="44">
                  <c:v>-225.84956711448581</c:v>
                </c:pt>
                <c:pt idx="45">
                  <c:v>-243.06643638256605</c:v>
                </c:pt>
                <c:pt idx="46">
                  <c:v>-253.79766868771117</c:v>
                </c:pt>
                <c:pt idx="47">
                  <c:v>-257.93604110400202</c:v>
                </c:pt>
                <c:pt idx="48">
                  <c:v>-255.44020438221912</c:v>
                </c:pt>
                <c:pt idx="49">
                  <c:v>-246.33509609787257</c:v>
                </c:pt>
                <c:pt idx="50">
                  <c:v>-230.71169148319086</c:v>
                </c:pt>
                <c:pt idx="51">
                  <c:v>-208.72609443267299</c:v>
                </c:pt>
                <c:pt idx="52">
                  <c:v>-180.59797776457549</c:v>
                </c:pt>
                <c:pt idx="53">
                  <c:v>-146.60838832272691</c:v>
                </c:pt>
                <c:pt idx="54">
                  <c:v>-107.09693884936576</c:v>
                </c:pt>
                <c:pt idx="55">
                  <c:v>-62.458414686881156</c:v>
                </c:pt>
                <c:pt idx="56">
                  <c:v>-13.138829213170084</c:v>
                </c:pt>
                <c:pt idx="57">
                  <c:v>40.369032576601228</c:v>
                </c:pt>
                <c:pt idx="58">
                  <c:v>97.530537814777176</c:v>
                </c:pt>
                <c:pt idx="59">
                  <c:v>157.77454763609927</c:v>
                </c:pt>
                <c:pt idx="60">
                  <c:v>220.49912380845487</c:v>
                </c:pt>
                <c:pt idx="61">
                  <c:v>285.07754310071806</c:v>
                </c:pt>
                <c:pt idx="62">
                  <c:v>350.86455929410783</c:v>
                </c:pt>
                <c:pt idx="63">
                  <c:v>417.2028502691162</c:v>
                </c:pt>
                <c:pt idx="64">
                  <c:v>483.42958575084435</c:v>
                </c:pt>
                <c:pt idx="65">
                  <c:v>548.88305009000715</c:v>
                </c:pt>
                <c:pt idx="66">
                  <c:v>612.90925390696623</c:v>
                </c:pt>
                <c:pt idx="67">
                  <c:v>674.86846853743191</c:v>
                </c:pt>
                <c:pt idx="68">
                  <c:v>734.14161798980967</c:v>
                </c:pt>
                <c:pt idx="69">
                  <c:v>790.13646454786976</c:v>
                </c:pt>
                <c:pt idx="70">
                  <c:v>842.29352621423948</c:v>
                </c:pt>
                <c:pt idx="71">
                  <c:v>890.09166686958065</c:v>
                </c:pt>
                <c:pt idx="72">
                  <c:v>933.05330329242997</c:v>
                </c:pt>
                <c:pt idx="73">
                  <c:v>970.74917701287904</c:v>
                </c:pt>
                <c:pt idx="74">
                  <c:v>1002.8026433213124</c:v>
                </c:pt>
                <c:pt idx="75">
                  <c:v>1028.8934345778434</c:v>
                </c:pt>
                <c:pt idx="76">
                  <c:v>1048.760860220706</c:v>
                </c:pt>
                <c:pt idx="77">
                  <c:v>1062.206411500174</c:v>
                </c:pt>
                <c:pt idx="78">
                  <c:v>1069.0957449123716</c:v>
                </c:pt>
                <c:pt idx="79">
                  <c:v>1069.3600245151549</c:v>
                </c:pt>
                <c:pt idx="80">
                  <c:v>1062.9966097140923</c:v>
                </c:pt>
                <c:pt idx="81">
                  <c:v>1050.0690816464105</c:v>
                </c:pt>
                <c:pt idx="82">
                  <c:v>1030.7066078992891</c:v>
                </c:pt>
                <c:pt idx="83">
                  <c:v>1005.1026519100268</c:v>
                </c:pt>
                <c:pt idx="84">
                  <c:v>973.51303994332534</c:v>
                </c:pt>
                <c:pt idx="85">
                  <c:v>936.25340495981879</c:v>
                </c:pt>
                <c:pt idx="86">
                  <c:v>893.69603291586452</c:v>
                </c:pt>
                <c:pt idx="87">
                  <c:v>846.26614300532879</c:v>
                </c:pt>
                <c:pt idx="88">
                  <c:v>794.43763900996066</c:v>
                </c:pt>
                <c:pt idx="89">
                  <c:v>738.72837420945598</c:v>
                </c:pt>
                <c:pt idx="90">
                  <c:v>679.6949771626671</c:v>
                </c:pt>
                <c:pt idx="91">
                  <c:v>617.92729005903857</c:v>
                </c:pt>
                <c:pt idx="92">
                  <c:v>554.04247521042726</c:v>
                </c:pt>
                <c:pt idx="93">
                  <c:v>488.67884856928833</c:v>
                </c:pt>
                <c:pt idx="94">
                  <c:v>422.48950188667771</c:v>
                </c:pt>
                <c:pt idx="95">
                  <c:v>356.13577723535883</c:v>
                </c:pt>
                <c:pt idx="96">
                  <c:v>290.28065909842257</c:v>
                </c:pt>
                <c:pt idx="97">
                  <c:v>225.5821500474853</c:v>
                </c:pt>
                <c:pt idx="98">
                  <c:v>162.68669619850033</c:v>
                </c:pt>
                <c:pt idx="99">
                  <c:v>102.2227281358538</c:v>
                </c:pt>
                <c:pt idx="100">
                  <c:v>44.794381841697088</c:v>
                </c:pt>
                <c:pt idx="101">
                  <c:v>-9.0245376310858205</c:v>
                </c:pt>
                <c:pt idx="102">
                  <c:v>-58.696289429292676</c:v>
                </c:pt>
                <c:pt idx="103">
                  <c:v>-103.72456982825378</c:v>
                </c:pt>
                <c:pt idx="104">
                  <c:v>-143.65947113459322</c:v>
                </c:pt>
                <c:pt idx="105">
                  <c:v>-178.10197701518143</c:v>
                </c:pt>
                <c:pt idx="106">
                  <c:v>-206.70794933643845</c:v>
                </c:pt>
                <c:pt idx="107">
                  <c:v>-229.19156667880736</c:v>
                </c:pt>
                <c:pt idx="108">
                  <c:v>-245.32818016989904</c:v>
                </c:pt>
                <c:pt idx="109">
                  <c:v>-254.95655810176572</c:v>
                </c:pt>
                <c:pt idx="110">
                  <c:v>-257.98049690483094</c:v>
                </c:pt>
                <c:pt idx="111">
                  <c:v>-254.36978238215545</c:v>
                </c:pt>
                <c:pt idx="112">
                  <c:v>-244.16049159970657</c:v>
                </c:pt>
                <c:pt idx="113">
                  <c:v>-227.45463241623952</c:v>
                </c:pt>
                <c:pt idx="114">
                  <c:v>-204.41912425449277</c:v>
                </c:pt>
                <c:pt idx="115">
                  <c:v>-175.28413029749163</c:v>
                </c:pt>
                <c:pt idx="116">
                  <c:v>-140.34075777410624</c:v>
                </c:pt>
                <c:pt idx="117">
                  <c:v>-99.938149311846757</c:v>
                </c:pt>
                <c:pt idx="118">
                  <c:v>-54.479994419141406</c:v>
                </c:pt>
                <c:pt idx="119">
                  <c:v>-4.4204959532099224</c:v>
                </c:pt>
                <c:pt idx="120">
                  <c:v>49.740168124746219</c:v>
                </c:pt>
                <c:pt idx="121">
                  <c:v>107.46084236239545</c:v>
                </c:pt>
                <c:pt idx="122">
                  <c:v>168.16480086267333</c:v>
                </c:pt>
                <c:pt idx="123">
                  <c:v>231.24550973830583</c:v>
                </c:pt>
                <c:pt idx="124">
                  <c:v>296.07268739791778</c:v>
                </c:pt>
                <c:pt idx="125">
                  <c:v>361.99860211135012</c:v>
                </c:pt>
                <c:pt idx="126">
                  <c:v>428.36454393099643</c:v>
                </c:pt>
                <c:pt idx="127">
                  <c:v>494.50740630385843</c:v>
                </c:pt>
                <c:pt idx="128">
                  <c:v>559.76631161302987</c:v>
                </c:pt>
                <c:pt idx="129">
                  <c:v>623.48921444838766</c:v>
                </c:pt>
                <c:pt idx="130">
                  <c:v>685.03941662879197</c:v>
                </c:pt>
                <c:pt idx="131">
                  <c:v>743.80192887984822</c:v>
                </c:pt>
                <c:pt idx="132">
                  <c:v>799.18961560344769</c:v>
                </c:pt>
                <c:pt idx="133">
                  <c:v>850.64906134258308</c:v>
                </c:pt>
                <c:pt idx="134">
                  <c:v>897.66610032566041</c:v>
                </c:pt>
                <c:pt idx="135">
                  <c:v>939.7709538409274</c:v>
                </c:pt>
                <c:pt idx="136">
                  <c:v>976.54292411007373</c:v>
                </c:pt>
                <c:pt idx="137">
                  <c:v>1007.6145977613673</c:v>
                </c:pt>
                <c:pt idx="138">
                  <c:v>1032.6755169026142</c:v>
                </c:pt>
                <c:pt idx="139">
                  <c:v>1051.4752811137937</c:v>
                </c:pt>
                <c:pt idx="140">
                  <c:v>1063.8260493652833</c:v>
                </c:pt>
                <c:pt idx="141">
                  <c:v>1069.6044168633352</c:v>
                </c:pt>
                <c:pt idx="142">
                  <c:v>1068.7526480699835</c:v>
                </c:pt>
                <c:pt idx="143">
                  <c:v>1061.2792535774538</c:v>
                </c:pt>
                <c:pt idx="144">
                  <c:v>1047.2589050731401</c:v>
                </c:pt>
                <c:pt idx="145">
                  <c:v>1026.831689244786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B-4946-BA22-71EAF8B963D9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'Monotonic-0-degree (version 2).'!$AB$8:$AB$153</c:f>
              <c:numCache>
                <c:formatCode>General</c:formatCode>
                <c:ptCount val="14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</c:numCache>
            </c:numRef>
          </c:xVal>
          <c:yVal>
            <c:numRef>
              <c:f>'Monotonic-0-degree (version 2).'!$AD$8:$AD$153</c:f>
              <c:numCache>
                <c:formatCode>General</c:formatCode>
                <c:ptCount val="146"/>
                <c:pt idx="0">
                  <c:v>1070.0626572402225</c:v>
                </c:pt>
                <c:pt idx="1">
                  <c:v>1070.0626572402225</c:v>
                </c:pt>
                <c:pt idx="2">
                  <c:v>1070.0626572402225</c:v>
                </c:pt>
                <c:pt idx="3">
                  <c:v>1070.0626572402225</c:v>
                </c:pt>
                <c:pt idx="4">
                  <c:v>1070.0626572402225</c:v>
                </c:pt>
                <c:pt idx="5">
                  <c:v>1070.0626572402225</c:v>
                </c:pt>
                <c:pt idx="6">
                  <c:v>1070.0626572402225</c:v>
                </c:pt>
                <c:pt idx="7">
                  <c:v>1070.0626572402225</c:v>
                </c:pt>
                <c:pt idx="8">
                  <c:v>1070.0626572402225</c:v>
                </c:pt>
                <c:pt idx="9">
                  <c:v>1070.0626572402225</c:v>
                </c:pt>
                <c:pt idx="10">
                  <c:v>1070.0626572402225</c:v>
                </c:pt>
                <c:pt idx="11">
                  <c:v>1070.0626572402225</c:v>
                </c:pt>
                <c:pt idx="12">
                  <c:v>1070.0626572402225</c:v>
                </c:pt>
                <c:pt idx="13">
                  <c:v>1070.0626572402225</c:v>
                </c:pt>
                <c:pt idx="14">
                  <c:v>1070.0626572402225</c:v>
                </c:pt>
                <c:pt idx="15">
                  <c:v>1070.0626572402225</c:v>
                </c:pt>
                <c:pt idx="16">
                  <c:v>1070.0626572402225</c:v>
                </c:pt>
                <c:pt idx="17">
                  <c:v>1070.0626572402225</c:v>
                </c:pt>
                <c:pt idx="18">
                  <c:v>1070.0626572402225</c:v>
                </c:pt>
                <c:pt idx="19">
                  <c:v>1070.0626572402225</c:v>
                </c:pt>
                <c:pt idx="20">
                  <c:v>1070.0626572402225</c:v>
                </c:pt>
                <c:pt idx="21">
                  <c:v>1070.0626572402225</c:v>
                </c:pt>
                <c:pt idx="22">
                  <c:v>1070.0626572402225</c:v>
                </c:pt>
                <c:pt idx="23">
                  <c:v>1070.0626572402225</c:v>
                </c:pt>
                <c:pt idx="24">
                  <c:v>1070.0626572402225</c:v>
                </c:pt>
                <c:pt idx="25">
                  <c:v>1070.0626572402225</c:v>
                </c:pt>
                <c:pt idx="26">
                  <c:v>1070.0626572402225</c:v>
                </c:pt>
                <c:pt idx="27">
                  <c:v>1070.0626572402225</c:v>
                </c:pt>
                <c:pt idx="28">
                  <c:v>1070.0626572402225</c:v>
                </c:pt>
                <c:pt idx="29">
                  <c:v>1070.0626572402225</c:v>
                </c:pt>
                <c:pt idx="30">
                  <c:v>1070.0626572402225</c:v>
                </c:pt>
                <c:pt idx="31">
                  <c:v>1070.0626572402225</c:v>
                </c:pt>
                <c:pt idx="32">
                  <c:v>1070.0626572402225</c:v>
                </c:pt>
                <c:pt idx="33">
                  <c:v>1070.0626572402225</c:v>
                </c:pt>
                <c:pt idx="34">
                  <c:v>1070.0626572402225</c:v>
                </c:pt>
                <c:pt idx="35">
                  <c:v>1070.0626572402225</c:v>
                </c:pt>
                <c:pt idx="36">
                  <c:v>1070.0626572402225</c:v>
                </c:pt>
                <c:pt idx="37">
                  <c:v>1070.0626572402225</c:v>
                </c:pt>
                <c:pt idx="38">
                  <c:v>1070.0626572402225</c:v>
                </c:pt>
                <c:pt idx="39">
                  <c:v>1070.0626572402225</c:v>
                </c:pt>
                <c:pt idx="40">
                  <c:v>1070.0626572402225</c:v>
                </c:pt>
                <c:pt idx="41">
                  <c:v>1070.0626572402225</c:v>
                </c:pt>
                <c:pt idx="42">
                  <c:v>1070.0626572402225</c:v>
                </c:pt>
                <c:pt idx="43">
                  <c:v>1070.0626572402225</c:v>
                </c:pt>
                <c:pt idx="44">
                  <c:v>1070.0626572402225</c:v>
                </c:pt>
                <c:pt idx="45">
                  <c:v>1070.0626572402225</c:v>
                </c:pt>
                <c:pt idx="46">
                  <c:v>1070.0626572402225</c:v>
                </c:pt>
                <c:pt idx="47">
                  <c:v>1070.0626572402225</c:v>
                </c:pt>
                <c:pt idx="48">
                  <c:v>1070.0626572402225</c:v>
                </c:pt>
                <c:pt idx="49">
                  <c:v>1070.0626572402225</c:v>
                </c:pt>
                <c:pt idx="50">
                  <c:v>1070.0626572402225</c:v>
                </c:pt>
                <c:pt idx="51">
                  <c:v>1070.0626572402225</c:v>
                </c:pt>
                <c:pt idx="52">
                  <c:v>1070.0626572402225</c:v>
                </c:pt>
                <c:pt idx="53">
                  <c:v>1070.0626572402225</c:v>
                </c:pt>
                <c:pt idx="54">
                  <c:v>1070.0626572402225</c:v>
                </c:pt>
                <c:pt idx="55">
                  <c:v>1070.0626572402225</c:v>
                </c:pt>
                <c:pt idx="56">
                  <c:v>1070.0626572402225</c:v>
                </c:pt>
                <c:pt idx="57">
                  <c:v>1070.0626572402225</c:v>
                </c:pt>
                <c:pt idx="58">
                  <c:v>1070.0626572402225</c:v>
                </c:pt>
                <c:pt idx="59">
                  <c:v>1070.0626572402225</c:v>
                </c:pt>
                <c:pt idx="60">
                  <c:v>1070.0626572402225</c:v>
                </c:pt>
                <c:pt idx="61">
                  <c:v>1070.0626572402225</c:v>
                </c:pt>
                <c:pt idx="62">
                  <c:v>1070.0626572402225</c:v>
                </c:pt>
                <c:pt idx="63">
                  <c:v>1070.0626572402225</c:v>
                </c:pt>
                <c:pt idx="64">
                  <c:v>1070.0626572402225</c:v>
                </c:pt>
                <c:pt idx="65">
                  <c:v>1070.0626572402225</c:v>
                </c:pt>
                <c:pt idx="66">
                  <c:v>1070.0626572402225</c:v>
                </c:pt>
                <c:pt idx="67">
                  <c:v>1070.0626572402225</c:v>
                </c:pt>
                <c:pt idx="68">
                  <c:v>1070.0626572402225</c:v>
                </c:pt>
                <c:pt idx="69">
                  <c:v>1070.0626572402225</c:v>
                </c:pt>
                <c:pt idx="70">
                  <c:v>1070.0626572402225</c:v>
                </c:pt>
                <c:pt idx="71">
                  <c:v>1070.0626572402225</c:v>
                </c:pt>
                <c:pt idx="72">
                  <c:v>1070.0626572402225</c:v>
                </c:pt>
                <c:pt idx="73">
                  <c:v>1070.0626572402225</c:v>
                </c:pt>
                <c:pt idx="74">
                  <c:v>1070.0626572402225</c:v>
                </c:pt>
                <c:pt idx="75">
                  <c:v>1070.0626572402225</c:v>
                </c:pt>
                <c:pt idx="76">
                  <c:v>1070.0626572402225</c:v>
                </c:pt>
                <c:pt idx="77">
                  <c:v>1070.0626572402225</c:v>
                </c:pt>
                <c:pt idx="78">
                  <c:v>1070.0626572402225</c:v>
                </c:pt>
                <c:pt idx="79">
                  <c:v>1070.0626572402225</c:v>
                </c:pt>
                <c:pt idx="80">
                  <c:v>1070.0626572402225</c:v>
                </c:pt>
                <c:pt idx="81">
                  <c:v>1070.0626572402225</c:v>
                </c:pt>
                <c:pt idx="82">
                  <c:v>1070.0626572402225</c:v>
                </c:pt>
                <c:pt idx="83">
                  <c:v>1070.0626572402225</c:v>
                </c:pt>
                <c:pt idx="84">
                  <c:v>1070.0626572402225</c:v>
                </c:pt>
                <c:pt idx="85">
                  <c:v>1070.0626572402225</c:v>
                </c:pt>
                <c:pt idx="86">
                  <c:v>1070.0626572402225</c:v>
                </c:pt>
                <c:pt idx="87">
                  <c:v>1070.0626572402225</c:v>
                </c:pt>
                <c:pt idx="88">
                  <c:v>1070.0626572402225</c:v>
                </c:pt>
                <c:pt idx="89">
                  <c:v>1070.0626572402225</c:v>
                </c:pt>
                <c:pt idx="90">
                  <c:v>1070.0626572402225</c:v>
                </c:pt>
                <c:pt idx="91">
                  <c:v>1070.0626572402225</c:v>
                </c:pt>
                <c:pt idx="92">
                  <c:v>1070.0626572402225</c:v>
                </c:pt>
                <c:pt idx="93">
                  <c:v>1070.0626572402225</c:v>
                </c:pt>
                <c:pt idx="94">
                  <c:v>1070.0626572402225</c:v>
                </c:pt>
                <c:pt idx="95">
                  <c:v>1070.0626572402225</c:v>
                </c:pt>
                <c:pt idx="96">
                  <c:v>1070.0626572402225</c:v>
                </c:pt>
                <c:pt idx="97">
                  <c:v>1070.0626572402225</c:v>
                </c:pt>
                <c:pt idx="98">
                  <c:v>1070.0626572402225</c:v>
                </c:pt>
                <c:pt idx="99">
                  <c:v>1070.0626572402225</c:v>
                </c:pt>
                <c:pt idx="100">
                  <c:v>1070.0626572402225</c:v>
                </c:pt>
                <c:pt idx="101">
                  <c:v>1070.0626572402225</c:v>
                </c:pt>
                <c:pt idx="102">
                  <c:v>1070.0626572402225</c:v>
                </c:pt>
                <c:pt idx="103">
                  <c:v>1070.0626572402225</c:v>
                </c:pt>
                <c:pt idx="104">
                  <c:v>1070.0626572402225</c:v>
                </c:pt>
                <c:pt idx="105">
                  <c:v>1070.0626572402225</c:v>
                </c:pt>
                <c:pt idx="106">
                  <c:v>1070.0626572402225</c:v>
                </c:pt>
                <c:pt idx="107">
                  <c:v>1070.0626572402225</c:v>
                </c:pt>
                <c:pt idx="108">
                  <c:v>1070.0626572402225</c:v>
                </c:pt>
                <c:pt idx="109">
                  <c:v>1070.0626572402225</c:v>
                </c:pt>
                <c:pt idx="110">
                  <c:v>1070.0626572402225</c:v>
                </c:pt>
                <c:pt idx="111">
                  <c:v>1070.0626572402225</c:v>
                </c:pt>
                <c:pt idx="112">
                  <c:v>1070.0626572402225</c:v>
                </c:pt>
                <c:pt idx="113">
                  <c:v>1070.0626572402225</c:v>
                </c:pt>
                <c:pt idx="114">
                  <c:v>1070.0626572402225</c:v>
                </c:pt>
                <c:pt idx="115">
                  <c:v>1070.0626572402225</c:v>
                </c:pt>
                <c:pt idx="116">
                  <c:v>1070.0626572402225</c:v>
                </c:pt>
                <c:pt idx="117">
                  <c:v>1070.0626572402225</c:v>
                </c:pt>
                <c:pt idx="118">
                  <c:v>1070.0626572402225</c:v>
                </c:pt>
                <c:pt idx="119">
                  <c:v>1070.0626572402225</c:v>
                </c:pt>
                <c:pt idx="120">
                  <c:v>1070.0626572402225</c:v>
                </c:pt>
                <c:pt idx="121">
                  <c:v>1070.0626572402225</c:v>
                </c:pt>
                <c:pt idx="122">
                  <c:v>1070.0626572402225</c:v>
                </c:pt>
                <c:pt idx="123">
                  <c:v>1070.0626572402225</c:v>
                </c:pt>
                <c:pt idx="124">
                  <c:v>1070.0626572402225</c:v>
                </c:pt>
                <c:pt idx="125">
                  <c:v>1070.0626572402225</c:v>
                </c:pt>
                <c:pt idx="126">
                  <c:v>1070.0626572402225</c:v>
                </c:pt>
                <c:pt idx="127">
                  <c:v>1070.0626572402225</c:v>
                </c:pt>
                <c:pt idx="128">
                  <c:v>1070.0626572402225</c:v>
                </c:pt>
                <c:pt idx="129">
                  <c:v>1070.0626572402225</c:v>
                </c:pt>
                <c:pt idx="130">
                  <c:v>1070.0626572402225</c:v>
                </c:pt>
                <c:pt idx="131">
                  <c:v>1070.0626572402225</c:v>
                </c:pt>
                <c:pt idx="132">
                  <c:v>1070.0626572402225</c:v>
                </c:pt>
                <c:pt idx="133">
                  <c:v>1070.0626572402225</c:v>
                </c:pt>
                <c:pt idx="134">
                  <c:v>1070.0626572402225</c:v>
                </c:pt>
                <c:pt idx="135">
                  <c:v>1070.0626572402225</c:v>
                </c:pt>
                <c:pt idx="136">
                  <c:v>1070.0626572402225</c:v>
                </c:pt>
                <c:pt idx="137">
                  <c:v>1070.0626572402225</c:v>
                </c:pt>
                <c:pt idx="138">
                  <c:v>1070.0626572402225</c:v>
                </c:pt>
                <c:pt idx="139">
                  <c:v>1070.0626572402225</c:v>
                </c:pt>
                <c:pt idx="140">
                  <c:v>1070.0626572402225</c:v>
                </c:pt>
                <c:pt idx="141">
                  <c:v>1070.0626572402225</c:v>
                </c:pt>
                <c:pt idx="142">
                  <c:v>1070.0626572402225</c:v>
                </c:pt>
                <c:pt idx="143">
                  <c:v>1070.0626572402225</c:v>
                </c:pt>
                <c:pt idx="144">
                  <c:v>1070.0626572402225</c:v>
                </c:pt>
                <c:pt idx="145">
                  <c:v>1070.0626572402225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B-4946-BA22-71EAF8B963D9}"/>
            </c:ext>
          </c:extLst>
        </c:ser>
        <c:ser>
          <c:idx val="2"/>
          <c:order val="2"/>
          <c:tx>
            <c:v>min stress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'Monotonic-0-degree (version 2).'!$AB$8:$AB$153</c:f>
              <c:numCache>
                <c:formatCode>General</c:formatCode>
                <c:ptCount val="14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</c:numCache>
            </c:numRef>
          </c:xVal>
          <c:yVal>
            <c:numRef>
              <c:f>'Monotonic-0-degree (version 2).'!$AE$8:$AE$153</c:f>
              <c:numCache>
                <c:formatCode>General</c:formatCode>
                <c:ptCount val="146"/>
                <c:pt idx="0">
                  <c:v>-257.98695969747007</c:v>
                </c:pt>
                <c:pt idx="1">
                  <c:v>-257.98695969747007</c:v>
                </c:pt>
                <c:pt idx="2">
                  <c:v>-257.98695969747007</c:v>
                </c:pt>
                <c:pt idx="3">
                  <c:v>-257.98695969747007</c:v>
                </c:pt>
                <c:pt idx="4">
                  <c:v>-257.98695969747007</c:v>
                </c:pt>
                <c:pt idx="5">
                  <c:v>-257.98695969747007</c:v>
                </c:pt>
                <c:pt idx="6">
                  <c:v>-257.98695969747007</c:v>
                </c:pt>
                <c:pt idx="7">
                  <c:v>-257.98695969747007</c:v>
                </c:pt>
                <c:pt idx="8">
                  <c:v>-257.98695969747007</c:v>
                </c:pt>
                <c:pt idx="9">
                  <c:v>-257.98695969747007</c:v>
                </c:pt>
                <c:pt idx="10">
                  <c:v>-257.98695969747007</c:v>
                </c:pt>
                <c:pt idx="11">
                  <c:v>-257.98695969747007</c:v>
                </c:pt>
                <c:pt idx="12">
                  <c:v>-257.98695969747007</c:v>
                </c:pt>
                <c:pt idx="13">
                  <c:v>-257.98695969747007</c:v>
                </c:pt>
                <c:pt idx="14">
                  <c:v>-257.98695969747007</c:v>
                </c:pt>
                <c:pt idx="15">
                  <c:v>-257.98695969747007</c:v>
                </c:pt>
                <c:pt idx="16">
                  <c:v>-257.98695969747007</c:v>
                </c:pt>
                <c:pt idx="17">
                  <c:v>-257.98695969747007</c:v>
                </c:pt>
                <c:pt idx="18">
                  <c:v>-257.98695969747007</c:v>
                </c:pt>
                <c:pt idx="19">
                  <c:v>-257.98695969747007</c:v>
                </c:pt>
                <c:pt idx="20">
                  <c:v>-257.98695969747007</c:v>
                </c:pt>
                <c:pt idx="21">
                  <c:v>-257.98695969747007</c:v>
                </c:pt>
                <c:pt idx="22">
                  <c:v>-257.98695969747007</c:v>
                </c:pt>
                <c:pt idx="23">
                  <c:v>-257.98695969747007</c:v>
                </c:pt>
                <c:pt idx="24">
                  <c:v>-257.98695969747007</c:v>
                </c:pt>
                <c:pt idx="25">
                  <c:v>-257.98695969747007</c:v>
                </c:pt>
                <c:pt idx="26">
                  <c:v>-257.98695969747007</c:v>
                </c:pt>
                <c:pt idx="27">
                  <c:v>-257.98695969747007</c:v>
                </c:pt>
                <c:pt idx="28">
                  <c:v>-257.98695969747007</c:v>
                </c:pt>
                <c:pt idx="29">
                  <c:v>-257.98695969747007</c:v>
                </c:pt>
                <c:pt idx="30">
                  <c:v>-257.98695969747007</c:v>
                </c:pt>
                <c:pt idx="31">
                  <c:v>-257.98695969747007</c:v>
                </c:pt>
                <c:pt idx="32">
                  <c:v>-257.98695969747007</c:v>
                </c:pt>
                <c:pt idx="33">
                  <c:v>-257.98695969747007</c:v>
                </c:pt>
                <c:pt idx="34">
                  <c:v>-257.98695969747007</c:v>
                </c:pt>
                <c:pt idx="35">
                  <c:v>-257.98695969747007</c:v>
                </c:pt>
                <c:pt idx="36">
                  <c:v>-257.98695969747007</c:v>
                </c:pt>
                <c:pt idx="37">
                  <c:v>-257.98695969747007</c:v>
                </c:pt>
                <c:pt idx="38">
                  <c:v>-257.98695969747007</c:v>
                </c:pt>
                <c:pt idx="39">
                  <c:v>-257.98695969747007</c:v>
                </c:pt>
                <c:pt idx="40">
                  <c:v>-257.98695969747007</c:v>
                </c:pt>
                <c:pt idx="41">
                  <c:v>-257.98695969747007</c:v>
                </c:pt>
                <c:pt idx="42">
                  <c:v>-257.98695969747007</c:v>
                </c:pt>
                <c:pt idx="43">
                  <c:v>-257.98695969747007</c:v>
                </c:pt>
                <c:pt idx="44">
                  <c:v>-257.98695969747007</c:v>
                </c:pt>
                <c:pt idx="45">
                  <c:v>-257.98695969747007</c:v>
                </c:pt>
                <c:pt idx="46">
                  <c:v>-257.98695969747007</c:v>
                </c:pt>
                <c:pt idx="47">
                  <c:v>-257.98695969747007</c:v>
                </c:pt>
                <c:pt idx="48">
                  <c:v>-257.98695969747007</c:v>
                </c:pt>
                <c:pt idx="49">
                  <c:v>-257.98695969747007</c:v>
                </c:pt>
                <c:pt idx="50">
                  <c:v>-257.98695969747007</c:v>
                </c:pt>
                <c:pt idx="51">
                  <c:v>-257.98695969747007</c:v>
                </c:pt>
                <c:pt idx="52">
                  <c:v>-257.98695969747007</c:v>
                </c:pt>
                <c:pt idx="53">
                  <c:v>-257.98695969747007</c:v>
                </c:pt>
                <c:pt idx="54">
                  <c:v>-257.98695969747007</c:v>
                </c:pt>
                <c:pt idx="55">
                  <c:v>-257.98695969747007</c:v>
                </c:pt>
                <c:pt idx="56">
                  <c:v>-257.98695969747007</c:v>
                </c:pt>
                <c:pt idx="57">
                  <c:v>-257.98695969747007</c:v>
                </c:pt>
                <c:pt idx="58">
                  <c:v>-257.98695969747007</c:v>
                </c:pt>
                <c:pt idx="59">
                  <c:v>-257.98695969747007</c:v>
                </c:pt>
                <c:pt idx="60">
                  <c:v>-257.98695969747007</c:v>
                </c:pt>
                <c:pt idx="61">
                  <c:v>-257.98695969747007</c:v>
                </c:pt>
                <c:pt idx="62">
                  <c:v>-257.98695969747007</c:v>
                </c:pt>
                <c:pt idx="63">
                  <c:v>-257.98695969747007</c:v>
                </c:pt>
                <c:pt idx="64">
                  <c:v>-257.98695969747007</c:v>
                </c:pt>
                <c:pt idx="65">
                  <c:v>-257.98695969747007</c:v>
                </c:pt>
                <c:pt idx="66">
                  <c:v>-257.98695969747007</c:v>
                </c:pt>
                <c:pt idx="67">
                  <c:v>-257.98695969747007</c:v>
                </c:pt>
                <c:pt idx="68">
                  <c:v>-257.98695969747007</c:v>
                </c:pt>
                <c:pt idx="69">
                  <c:v>-257.98695969747007</c:v>
                </c:pt>
                <c:pt idx="70">
                  <c:v>-257.98695969747007</c:v>
                </c:pt>
                <c:pt idx="71">
                  <c:v>-257.98695969747007</c:v>
                </c:pt>
                <c:pt idx="72">
                  <c:v>-257.98695969747007</c:v>
                </c:pt>
                <c:pt idx="73">
                  <c:v>-257.98695969747007</c:v>
                </c:pt>
                <c:pt idx="74">
                  <c:v>-257.98695969747007</c:v>
                </c:pt>
                <c:pt idx="75">
                  <c:v>-257.98695969747007</c:v>
                </c:pt>
                <c:pt idx="76">
                  <c:v>-257.98695969747007</c:v>
                </c:pt>
                <c:pt idx="77">
                  <c:v>-257.98695969747007</c:v>
                </c:pt>
                <c:pt idx="78">
                  <c:v>-257.98695969747007</c:v>
                </c:pt>
                <c:pt idx="79">
                  <c:v>-257.98695969747007</c:v>
                </c:pt>
                <c:pt idx="80">
                  <c:v>-257.98695969747007</c:v>
                </c:pt>
                <c:pt idx="81">
                  <c:v>-257.98695969747007</c:v>
                </c:pt>
                <c:pt idx="82">
                  <c:v>-257.98695969747007</c:v>
                </c:pt>
                <c:pt idx="83">
                  <c:v>-257.98695969747007</c:v>
                </c:pt>
                <c:pt idx="84">
                  <c:v>-257.98695969747007</c:v>
                </c:pt>
                <c:pt idx="85">
                  <c:v>-257.98695969747007</c:v>
                </c:pt>
                <c:pt idx="86">
                  <c:v>-257.98695969747007</c:v>
                </c:pt>
                <c:pt idx="87">
                  <c:v>-257.98695969747007</c:v>
                </c:pt>
                <c:pt idx="88">
                  <c:v>-257.98695969747007</c:v>
                </c:pt>
                <c:pt idx="89">
                  <c:v>-257.98695969747007</c:v>
                </c:pt>
                <c:pt idx="90">
                  <c:v>-257.98695969747007</c:v>
                </c:pt>
                <c:pt idx="91">
                  <c:v>-257.98695969747007</c:v>
                </c:pt>
                <c:pt idx="92">
                  <c:v>-257.98695969747007</c:v>
                </c:pt>
                <c:pt idx="93">
                  <c:v>-257.98695969747007</c:v>
                </c:pt>
                <c:pt idx="94">
                  <c:v>-257.98695969747007</c:v>
                </c:pt>
                <c:pt idx="95">
                  <c:v>-257.98695969747007</c:v>
                </c:pt>
                <c:pt idx="96">
                  <c:v>-257.98695969747007</c:v>
                </c:pt>
                <c:pt idx="97">
                  <c:v>-257.98695969747007</c:v>
                </c:pt>
                <c:pt idx="98">
                  <c:v>-257.98695969747007</c:v>
                </c:pt>
                <c:pt idx="99">
                  <c:v>-257.98695969747007</c:v>
                </c:pt>
                <c:pt idx="100">
                  <c:v>-257.98695969747007</c:v>
                </c:pt>
                <c:pt idx="101">
                  <c:v>-257.98695969747007</c:v>
                </c:pt>
                <c:pt idx="102">
                  <c:v>-257.98695969747007</c:v>
                </c:pt>
                <c:pt idx="103">
                  <c:v>-257.98695969747007</c:v>
                </c:pt>
                <c:pt idx="104">
                  <c:v>-257.98695969747007</c:v>
                </c:pt>
                <c:pt idx="105">
                  <c:v>-257.98695969747007</c:v>
                </c:pt>
                <c:pt idx="106">
                  <c:v>-257.98695969747007</c:v>
                </c:pt>
                <c:pt idx="107">
                  <c:v>-257.98695969747007</c:v>
                </c:pt>
                <c:pt idx="108">
                  <c:v>-257.98695969747007</c:v>
                </c:pt>
                <c:pt idx="109">
                  <c:v>-257.98695969747007</c:v>
                </c:pt>
                <c:pt idx="110">
                  <c:v>-257.98695969747007</c:v>
                </c:pt>
                <c:pt idx="111">
                  <c:v>-257.98695969747007</c:v>
                </c:pt>
                <c:pt idx="112">
                  <c:v>-257.98695969747007</c:v>
                </c:pt>
                <c:pt idx="113">
                  <c:v>-257.98695969747007</c:v>
                </c:pt>
                <c:pt idx="114">
                  <c:v>-257.98695969747007</c:v>
                </c:pt>
                <c:pt idx="115">
                  <c:v>-257.98695969747007</c:v>
                </c:pt>
                <c:pt idx="116">
                  <c:v>-257.98695969747007</c:v>
                </c:pt>
                <c:pt idx="117">
                  <c:v>-257.98695969747007</c:v>
                </c:pt>
                <c:pt idx="118">
                  <c:v>-257.98695969747007</c:v>
                </c:pt>
                <c:pt idx="119">
                  <c:v>-257.98695969747007</c:v>
                </c:pt>
                <c:pt idx="120">
                  <c:v>-257.98695969747007</c:v>
                </c:pt>
                <c:pt idx="121">
                  <c:v>-257.98695969747007</c:v>
                </c:pt>
                <c:pt idx="122">
                  <c:v>-257.98695969747007</c:v>
                </c:pt>
                <c:pt idx="123">
                  <c:v>-257.98695969747007</c:v>
                </c:pt>
                <c:pt idx="124">
                  <c:v>-257.98695969747007</c:v>
                </c:pt>
                <c:pt idx="125">
                  <c:v>-257.98695969747007</c:v>
                </c:pt>
                <c:pt idx="126">
                  <c:v>-257.98695969747007</c:v>
                </c:pt>
                <c:pt idx="127">
                  <c:v>-257.98695969747007</c:v>
                </c:pt>
                <c:pt idx="128">
                  <c:v>-257.98695969747007</c:v>
                </c:pt>
                <c:pt idx="129">
                  <c:v>-257.98695969747007</c:v>
                </c:pt>
                <c:pt idx="130">
                  <c:v>-257.98695969747007</c:v>
                </c:pt>
                <c:pt idx="131">
                  <c:v>-257.98695969747007</c:v>
                </c:pt>
                <c:pt idx="132">
                  <c:v>-257.98695969747007</c:v>
                </c:pt>
                <c:pt idx="133">
                  <c:v>-257.98695969747007</c:v>
                </c:pt>
                <c:pt idx="134">
                  <c:v>-257.98695969747007</c:v>
                </c:pt>
                <c:pt idx="135">
                  <c:v>-257.98695969747007</c:v>
                </c:pt>
                <c:pt idx="136">
                  <c:v>-257.98695969747007</c:v>
                </c:pt>
                <c:pt idx="137">
                  <c:v>-257.98695969747007</c:v>
                </c:pt>
                <c:pt idx="138">
                  <c:v>-257.98695969747007</c:v>
                </c:pt>
                <c:pt idx="139">
                  <c:v>-257.98695969747007</c:v>
                </c:pt>
                <c:pt idx="140">
                  <c:v>-257.98695969747007</c:v>
                </c:pt>
                <c:pt idx="141">
                  <c:v>-257.98695969747007</c:v>
                </c:pt>
                <c:pt idx="142">
                  <c:v>-257.98695969747007</c:v>
                </c:pt>
                <c:pt idx="143">
                  <c:v>-257.98695969747007</c:v>
                </c:pt>
                <c:pt idx="144">
                  <c:v>-257.98695969747007</c:v>
                </c:pt>
                <c:pt idx="145">
                  <c:v>-257.98695969747007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B-4946-BA22-71EAF8B963D9}"/>
            </c:ext>
          </c:extLst>
        </c:ser>
        <c:ser>
          <c:idx val="3"/>
          <c:order val="3"/>
          <c:tx>
            <c:v>mean stress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'Monotonic-0-degree (version 2).'!$AB$8:$AB$153</c:f>
              <c:numCache>
                <c:formatCode>General</c:formatCode>
                <c:ptCount val="14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</c:numCache>
            </c:numRef>
          </c:xVal>
          <c:yVal>
            <c:numRef>
              <c:f>'Monotonic-0-degree (version 2).'!$AF$8:$AF$153</c:f>
              <c:numCache>
                <c:formatCode>General</c:formatCode>
                <c:ptCount val="146"/>
                <c:pt idx="0">
                  <c:v>406.03784877137622</c:v>
                </c:pt>
                <c:pt idx="1">
                  <c:v>406.03784877137622</c:v>
                </c:pt>
                <c:pt idx="2">
                  <c:v>406.03784877137622</c:v>
                </c:pt>
                <c:pt idx="3">
                  <c:v>406.03784877137622</c:v>
                </c:pt>
                <c:pt idx="4">
                  <c:v>406.03784877137622</c:v>
                </c:pt>
                <c:pt idx="5">
                  <c:v>406.03784877137622</c:v>
                </c:pt>
                <c:pt idx="6">
                  <c:v>406.03784877137622</c:v>
                </c:pt>
                <c:pt idx="7">
                  <c:v>406.03784877137622</c:v>
                </c:pt>
                <c:pt idx="8">
                  <c:v>406.03784877137622</c:v>
                </c:pt>
                <c:pt idx="9">
                  <c:v>406.03784877137622</c:v>
                </c:pt>
                <c:pt idx="10">
                  <c:v>406.03784877137622</c:v>
                </c:pt>
                <c:pt idx="11">
                  <c:v>406.03784877137622</c:v>
                </c:pt>
                <c:pt idx="12">
                  <c:v>406.03784877137622</c:v>
                </c:pt>
                <c:pt idx="13">
                  <c:v>406.03784877137622</c:v>
                </c:pt>
                <c:pt idx="14">
                  <c:v>406.03784877137622</c:v>
                </c:pt>
                <c:pt idx="15">
                  <c:v>406.03784877137622</c:v>
                </c:pt>
                <c:pt idx="16">
                  <c:v>406.03784877137622</c:v>
                </c:pt>
                <c:pt idx="17">
                  <c:v>406.03784877137622</c:v>
                </c:pt>
                <c:pt idx="18">
                  <c:v>406.03784877137622</c:v>
                </c:pt>
                <c:pt idx="19">
                  <c:v>406.03784877137622</c:v>
                </c:pt>
                <c:pt idx="20">
                  <c:v>406.03784877137622</c:v>
                </c:pt>
                <c:pt idx="21">
                  <c:v>406.03784877137622</c:v>
                </c:pt>
                <c:pt idx="22">
                  <c:v>406.03784877137622</c:v>
                </c:pt>
                <c:pt idx="23">
                  <c:v>406.03784877137622</c:v>
                </c:pt>
                <c:pt idx="24">
                  <c:v>406.03784877137622</c:v>
                </c:pt>
                <c:pt idx="25">
                  <c:v>406.03784877137622</c:v>
                </c:pt>
                <c:pt idx="26">
                  <c:v>406.03784877137622</c:v>
                </c:pt>
                <c:pt idx="27">
                  <c:v>406.03784877137622</c:v>
                </c:pt>
                <c:pt idx="28">
                  <c:v>406.03784877137622</c:v>
                </c:pt>
                <c:pt idx="29">
                  <c:v>406.03784877137622</c:v>
                </c:pt>
                <c:pt idx="30">
                  <c:v>406.03784877137622</c:v>
                </c:pt>
                <c:pt idx="31">
                  <c:v>406.03784877137622</c:v>
                </c:pt>
                <c:pt idx="32">
                  <c:v>406.03784877137622</c:v>
                </c:pt>
                <c:pt idx="33">
                  <c:v>406.03784877137622</c:v>
                </c:pt>
                <c:pt idx="34">
                  <c:v>406.03784877137622</c:v>
                </c:pt>
                <c:pt idx="35">
                  <c:v>406.03784877137622</c:v>
                </c:pt>
                <c:pt idx="36">
                  <c:v>406.03784877137622</c:v>
                </c:pt>
                <c:pt idx="37">
                  <c:v>406.03784877137622</c:v>
                </c:pt>
                <c:pt idx="38">
                  <c:v>406.03784877137622</c:v>
                </c:pt>
                <c:pt idx="39">
                  <c:v>406.03784877137622</c:v>
                </c:pt>
                <c:pt idx="40">
                  <c:v>406.03784877137622</c:v>
                </c:pt>
                <c:pt idx="41">
                  <c:v>406.03784877137622</c:v>
                </c:pt>
                <c:pt idx="42">
                  <c:v>406.03784877137622</c:v>
                </c:pt>
                <c:pt idx="43">
                  <c:v>406.03784877137622</c:v>
                </c:pt>
                <c:pt idx="44">
                  <c:v>406.03784877137622</c:v>
                </c:pt>
                <c:pt idx="45">
                  <c:v>406.03784877137622</c:v>
                </c:pt>
                <c:pt idx="46">
                  <c:v>406.03784877137622</c:v>
                </c:pt>
                <c:pt idx="47">
                  <c:v>406.03784877137622</c:v>
                </c:pt>
                <c:pt idx="48">
                  <c:v>406.03784877137622</c:v>
                </c:pt>
                <c:pt idx="49">
                  <c:v>406.03784877137622</c:v>
                </c:pt>
                <c:pt idx="50">
                  <c:v>406.03784877137622</c:v>
                </c:pt>
                <c:pt idx="51">
                  <c:v>406.03784877137622</c:v>
                </c:pt>
                <c:pt idx="52">
                  <c:v>406.03784877137622</c:v>
                </c:pt>
                <c:pt idx="53">
                  <c:v>406.03784877137622</c:v>
                </c:pt>
                <c:pt idx="54">
                  <c:v>406.03784877137622</c:v>
                </c:pt>
                <c:pt idx="55">
                  <c:v>406.03784877137622</c:v>
                </c:pt>
                <c:pt idx="56">
                  <c:v>406.03784877137622</c:v>
                </c:pt>
                <c:pt idx="57">
                  <c:v>406.03784877137622</c:v>
                </c:pt>
                <c:pt idx="58">
                  <c:v>406.03784877137622</c:v>
                </c:pt>
                <c:pt idx="59">
                  <c:v>406.03784877137622</c:v>
                </c:pt>
                <c:pt idx="60">
                  <c:v>406.03784877137622</c:v>
                </c:pt>
                <c:pt idx="61">
                  <c:v>406.03784877137622</c:v>
                </c:pt>
                <c:pt idx="62">
                  <c:v>406.03784877137622</c:v>
                </c:pt>
                <c:pt idx="63">
                  <c:v>406.03784877137622</c:v>
                </c:pt>
                <c:pt idx="64">
                  <c:v>406.03784877137622</c:v>
                </c:pt>
                <c:pt idx="65">
                  <c:v>406.03784877137622</c:v>
                </c:pt>
                <c:pt idx="66">
                  <c:v>406.03784877137622</c:v>
                </c:pt>
                <c:pt idx="67">
                  <c:v>406.03784877137622</c:v>
                </c:pt>
                <c:pt idx="68">
                  <c:v>406.03784877137622</c:v>
                </c:pt>
                <c:pt idx="69">
                  <c:v>406.03784877137622</c:v>
                </c:pt>
                <c:pt idx="70">
                  <c:v>406.03784877137622</c:v>
                </c:pt>
                <c:pt idx="71">
                  <c:v>406.03784877137622</c:v>
                </c:pt>
                <c:pt idx="72">
                  <c:v>406.03784877137622</c:v>
                </c:pt>
                <c:pt idx="73">
                  <c:v>406.03784877137622</c:v>
                </c:pt>
                <c:pt idx="74">
                  <c:v>406.03784877137622</c:v>
                </c:pt>
                <c:pt idx="75">
                  <c:v>406.03784877137622</c:v>
                </c:pt>
                <c:pt idx="76">
                  <c:v>406.03784877137622</c:v>
                </c:pt>
                <c:pt idx="77">
                  <c:v>406.03784877137622</c:v>
                </c:pt>
                <c:pt idx="78">
                  <c:v>406.03784877137622</c:v>
                </c:pt>
                <c:pt idx="79">
                  <c:v>406.03784877137622</c:v>
                </c:pt>
                <c:pt idx="80">
                  <c:v>406.03784877137622</c:v>
                </c:pt>
                <c:pt idx="81">
                  <c:v>406.03784877137622</c:v>
                </c:pt>
                <c:pt idx="82">
                  <c:v>406.03784877137622</c:v>
                </c:pt>
                <c:pt idx="83">
                  <c:v>406.03784877137622</c:v>
                </c:pt>
                <c:pt idx="84">
                  <c:v>406.03784877137622</c:v>
                </c:pt>
                <c:pt idx="85">
                  <c:v>406.03784877137622</c:v>
                </c:pt>
                <c:pt idx="86">
                  <c:v>406.03784877137622</c:v>
                </c:pt>
                <c:pt idx="87">
                  <c:v>406.03784877137622</c:v>
                </c:pt>
                <c:pt idx="88">
                  <c:v>406.03784877137622</c:v>
                </c:pt>
                <c:pt idx="89">
                  <c:v>406.03784877137622</c:v>
                </c:pt>
                <c:pt idx="90">
                  <c:v>406.03784877137622</c:v>
                </c:pt>
                <c:pt idx="91">
                  <c:v>406.03784877137622</c:v>
                </c:pt>
                <c:pt idx="92">
                  <c:v>406.03784877137622</c:v>
                </c:pt>
                <c:pt idx="93">
                  <c:v>406.03784877137622</c:v>
                </c:pt>
                <c:pt idx="94">
                  <c:v>406.03784877137622</c:v>
                </c:pt>
                <c:pt idx="95">
                  <c:v>406.03784877137622</c:v>
                </c:pt>
                <c:pt idx="96">
                  <c:v>406.03784877137622</c:v>
                </c:pt>
                <c:pt idx="97">
                  <c:v>406.03784877137622</c:v>
                </c:pt>
                <c:pt idx="98">
                  <c:v>406.03784877137622</c:v>
                </c:pt>
                <c:pt idx="99">
                  <c:v>406.03784877137622</c:v>
                </c:pt>
                <c:pt idx="100">
                  <c:v>406.03784877137622</c:v>
                </c:pt>
                <c:pt idx="101">
                  <c:v>406.03784877137622</c:v>
                </c:pt>
                <c:pt idx="102">
                  <c:v>406.03784877137622</c:v>
                </c:pt>
                <c:pt idx="103">
                  <c:v>406.03784877137622</c:v>
                </c:pt>
                <c:pt idx="104">
                  <c:v>406.03784877137622</c:v>
                </c:pt>
                <c:pt idx="105">
                  <c:v>406.03784877137622</c:v>
                </c:pt>
                <c:pt idx="106">
                  <c:v>406.03784877137622</c:v>
                </c:pt>
                <c:pt idx="107">
                  <c:v>406.03784877137622</c:v>
                </c:pt>
                <c:pt idx="108">
                  <c:v>406.03784877137622</c:v>
                </c:pt>
                <c:pt idx="109">
                  <c:v>406.03784877137622</c:v>
                </c:pt>
                <c:pt idx="110">
                  <c:v>406.03784877137622</c:v>
                </c:pt>
                <c:pt idx="111">
                  <c:v>406.03784877137622</c:v>
                </c:pt>
                <c:pt idx="112">
                  <c:v>406.03784877137622</c:v>
                </c:pt>
                <c:pt idx="113">
                  <c:v>406.03784877137622</c:v>
                </c:pt>
                <c:pt idx="114">
                  <c:v>406.03784877137622</c:v>
                </c:pt>
                <c:pt idx="115">
                  <c:v>406.03784877137622</c:v>
                </c:pt>
                <c:pt idx="116">
                  <c:v>406.03784877137622</c:v>
                </c:pt>
                <c:pt idx="117">
                  <c:v>406.03784877137622</c:v>
                </c:pt>
                <c:pt idx="118">
                  <c:v>406.03784877137622</c:v>
                </c:pt>
                <c:pt idx="119">
                  <c:v>406.03784877137622</c:v>
                </c:pt>
                <c:pt idx="120">
                  <c:v>406.03784877137622</c:v>
                </c:pt>
                <c:pt idx="121">
                  <c:v>406.03784877137622</c:v>
                </c:pt>
                <c:pt idx="122">
                  <c:v>406.03784877137622</c:v>
                </c:pt>
                <c:pt idx="123">
                  <c:v>406.03784877137622</c:v>
                </c:pt>
                <c:pt idx="124">
                  <c:v>406.03784877137622</c:v>
                </c:pt>
                <c:pt idx="125">
                  <c:v>406.03784877137622</c:v>
                </c:pt>
                <c:pt idx="126">
                  <c:v>406.03784877137622</c:v>
                </c:pt>
                <c:pt idx="127">
                  <c:v>406.03784877137622</c:v>
                </c:pt>
                <c:pt idx="128">
                  <c:v>406.03784877137622</c:v>
                </c:pt>
                <c:pt idx="129">
                  <c:v>406.03784877137622</c:v>
                </c:pt>
                <c:pt idx="130">
                  <c:v>406.03784877137622</c:v>
                </c:pt>
                <c:pt idx="131">
                  <c:v>406.03784877137622</c:v>
                </c:pt>
                <c:pt idx="132">
                  <c:v>406.03784877137622</c:v>
                </c:pt>
                <c:pt idx="133">
                  <c:v>406.03784877137622</c:v>
                </c:pt>
                <c:pt idx="134">
                  <c:v>406.03784877137622</c:v>
                </c:pt>
                <c:pt idx="135">
                  <c:v>406.03784877137622</c:v>
                </c:pt>
                <c:pt idx="136">
                  <c:v>406.03784877137622</c:v>
                </c:pt>
                <c:pt idx="137">
                  <c:v>406.03784877137622</c:v>
                </c:pt>
                <c:pt idx="138">
                  <c:v>406.03784877137622</c:v>
                </c:pt>
                <c:pt idx="139">
                  <c:v>406.03784877137622</c:v>
                </c:pt>
                <c:pt idx="140">
                  <c:v>406.03784877137622</c:v>
                </c:pt>
                <c:pt idx="141">
                  <c:v>406.03784877137622</c:v>
                </c:pt>
                <c:pt idx="142">
                  <c:v>406.03784877137622</c:v>
                </c:pt>
                <c:pt idx="143">
                  <c:v>406.03784877137622</c:v>
                </c:pt>
                <c:pt idx="144">
                  <c:v>406.03784877137622</c:v>
                </c:pt>
                <c:pt idx="145">
                  <c:v>406.03784877137622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B-4946-BA22-71EAF8B96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8271"/>
        <c:axId val="49808751"/>
      </c:scatterChart>
      <c:valAx>
        <c:axId val="4980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08751"/>
        <c:crosses val="autoZero"/>
        <c:crossBetween val="midCat"/>
      </c:valAx>
      <c:valAx>
        <c:axId val="498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80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251460</xdr:rowOff>
    </xdr:from>
    <xdr:to>
      <xdr:col>8</xdr:col>
      <xdr:colOff>91440</xdr:colOff>
      <xdr:row>0</xdr:row>
      <xdr:rowOff>762000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8A8B97-B1CF-2B48-ABDB-1A261CC77EE7}"/>
            </a:ext>
          </a:extLst>
        </xdr:cNvPr>
        <xdr:cNvSpPr txBox="1"/>
      </xdr:nvSpPr>
      <xdr:spPr>
        <a:xfrm>
          <a:off x="2278380" y="251460"/>
          <a:ext cx="4968240" cy="5105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/>
            <a:t>Monotonic Tensile Test</a:t>
          </a:r>
          <a:r>
            <a:rPr lang="fr-FR" sz="2400" baseline="0"/>
            <a:t> Titanium 0°</a:t>
          </a:r>
          <a:endParaRPr lang="fr-FR" sz="2400"/>
        </a:p>
      </xdr:txBody>
    </xdr:sp>
    <xdr:clientData/>
  </xdr:twoCellAnchor>
  <xdr:twoCellAnchor>
    <xdr:from>
      <xdr:col>12</xdr:col>
      <xdr:colOff>850447</xdr:colOff>
      <xdr:row>6</xdr:row>
      <xdr:rowOff>58895</xdr:rowOff>
    </xdr:from>
    <xdr:to>
      <xdr:col>20</xdr:col>
      <xdr:colOff>216212</xdr:colOff>
      <xdr:row>23</xdr:row>
      <xdr:rowOff>97920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21C7EC-661D-8287-BBE9-4C5490DA2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9522</xdr:colOff>
      <xdr:row>24</xdr:row>
      <xdr:rowOff>175069</xdr:rowOff>
    </xdr:from>
    <xdr:to>
      <xdr:col>19</xdr:col>
      <xdr:colOff>99177</xdr:colOff>
      <xdr:row>39</xdr:row>
      <xdr:rowOff>175067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A8153-5F62-4EE1-C35B-AB3E3125A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901700</xdr:colOff>
      <xdr:row>0</xdr:row>
      <xdr:rowOff>615950</xdr:rowOff>
    </xdr:from>
    <xdr:to>
      <xdr:col>13</xdr:col>
      <xdr:colOff>596900</xdr:colOff>
      <xdr:row>0</xdr:row>
      <xdr:rowOff>781050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B8854B-527A-F65C-19E0-528F91B8801D}"/>
            </a:ext>
          </a:extLst>
        </xdr:cNvPr>
        <xdr:cNvSpPr txBox="1"/>
      </xdr:nvSpPr>
      <xdr:spPr>
        <a:xfrm>
          <a:off x="12865100" y="615950"/>
          <a:ext cx="1543050" cy="1651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Verification</a:t>
          </a:r>
        </a:p>
      </xdr:txBody>
    </xdr:sp>
    <xdr:clientData/>
  </xdr:twoCellAnchor>
  <xdr:twoCellAnchor>
    <xdr:from>
      <xdr:col>20</xdr:col>
      <xdr:colOff>544283</xdr:colOff>
      <xdr:row>6</xdr:row>
      <xdr:rowOff>155804</xdr:rowOff>
    </xdr:from>
    <xdr:to>
      <xdr:col>26</xdr:col>
      <xdr:colOff>469447</xdr:colOff>
      <xdr:row>20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3C4E10-6DAB-0CAD-05F0-7F1115AE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2636"/>
  <sheetViews>
    <sheetView tabSelected="1" topLeftCell="K1" zoomScale="99" zoomScaleNormal="99" workbookViewId="0">
      <selection activeCell="K514" sqref="K514:L2617"/>
    </sheetView>
  </sheetViews>
  <sheetFormatPr defaultColWidth="8.88671875" defaultRowHeight="14.4"/>
  <cols>
    <col min="2" max="2" width="17.33203125" bestFit="1" customWidth="1"/>
    <col min="3" max="4" width="20.33203125" bestFit="1" customWidth="1"/>
    <col min="5" max="5" width="20.33203125" customWidth="1"/>
    <col min="6" max="6" width="19.6640625" bestFit="1" customWidth="1"/>
    <col min="7" max="7" width="12.77734375" customWidth="1"/>
    <col min="8" max="8" width="15.6640625" customWidth="1"/>
    <col min="9" max="9" width="12.77734375" customWidth="1"/>
    <col min="10" max="10" width="13.6640625" customWidth="1"/>
    <col min="11" max="11" width="12.5546875" customWidth="1"/>
    <col min="12" max="12" width="14.109375" customWidth="1"/>
    <col min="13" max="13" width="12.88671875" customWidth="1"/>
    <col min="14" max="14" width="21.77734375" customWidth="1"/>
    <col min="15" max="15" width="12.109375" customWidth="1"/>
    <col min="20" max="20" width="11.77734375" customWidth="1"/>
    <col min="22" max="22" width="18.109375" customWidth="1"/>
    <col min="29" max="29" width="10.5546875" customWidth="1"/>
  </cols>
  <sheetData>
    <row r="1" spans="2:32" s="2" customFormat="1" ht="64.2" customHeight="1"/>
    <row r="2" spans="2:32">
      <c r="B2" s="3" t="s">
        <v>31</v>
      </c>
      <c r="C2">
        <v>5</v>
      </c>
      <c r="F2" s="3" t="s">
        <v>39</v>
      </c>
      <c r="G2">
        <v>109445</v>
      </c>
      <c r="I2" s="2" t="s">
        <v>19</v>
      </c>
      <c r="J2">
        <f>MAX(K8:K2636)</f>
        <v>1070.0626572402225</v>
      </c>
      <c r="M2" s="3" t="s">
        <v>38</v>
      </c>
      <c r="N2">
        <f>SLOPE(K100:K358,L100:L358)</f>
        <v>109445.19075885348</v>
      </c>
      <c r="Q2" t="s">
        <v>15</v>
      </c>
      <c r="V2" s="3" t="s">
        <v>40</v>
      </c>
      <c r="W2">
        <f>N4/J2</f>
        <v>-0.24109519003573038</v>
      </c>
    </row>
    <row r="3" spans="2:32">
      <c r="B3" s="3" t="s">
        <v>12</v>
      </c>
      <c r="C3">
        <f>C4*C2</f>
        <v>50</v>
      </c>
      <c r="F3" s="3" t="s">
        <v>28</v>
      </c>
      <c r="G3">
        <f>L2617</f>
        <v>0.23140166451052771</v>
      </c>
      <c r="I3" s="2" t="s">
        <v>25</v>
      </c>
      <c r="J3">
        <f>H1862</f>
        <v>0.125235226005316</v>
      </c>
      <c r="M3" s="3" t="s">
        <v>26</v>
      </c>
      <c r="N3">
        <f>MATCH(J2,K:K,0)</f>
        <v>1862</v>
      </c>
      <c r="Q3" t="s">
        <v>16</v>
      </c>
      <c r="R3">
        <v>1000</v>
      </c>
      <c r="V3" s="3" t="s">
        <v>36</v>
      </c>
      <c r="W3">
        <f>(J2-N4)/2</f>
        <v>664.02480846884623</v>
      </c>
    </row>
    <row r="4" spans="2:32">
      <c r="B4" s="3" t="s">
        <v>22</v>
      </c>
      <c r="C4">
        <v>10</v>
      </c>
      <c r="F4" s="3" t="s">
        <v>27</v>
      </c>
      <c r="G4">
        <f>G2617</f>
        <v>780.051640625</v>
      </c>
      <c r="I4" s="2" t="s">
        <v>13</v>
      </c>
      <c r="J4">
        <f>K514</f>
        <v>898.41773656048542</v>
      </c>
      <c r="M4" s="3" t="s">
        <v>34</v>
      </c>
      <c r="N4">
        <f xml:space="preserve"> MIN(K:K)</f>
        <v>-257.98695969747007</v>
      </c>
      <c r="V4" s="3" t="s">
        <v>35</v>
      </c>
      <c r="W4">
        <f>(J2+N4)/2</f>
        <v>406.03784877137622</v>
      </c>
    </row>
    <row r="5" spans="2:32" ht="15" thickBot="1">
      <c r="N5">
        <v>936.35300830000006</v>
      </c>
      <c r="Q5" t="s">
        <v>51</v>
      </c>
      <c r="R5" t="e">
        <f>MATCH(N5,K:K,0)</f>
        <v>#N/A</v>
      </c>
      <c r="V5" s="3" t="s">
        <v>37</v>
      </c>
      <c r="W5">
        <f>J2-N4</f>
        <v>1328.0496169376925</v>
      </c>
    </row>
    <row r="6" spans="2:32" ht="15" thickBot="1">
      <c r="B6" s="1" t="s">
        <v>0</v>
      </c>
      <c r="C6" s="1" t="s">
        <v>1</v>
      </c>
      <c r="D6" s="1" t="s">
        <v>2</v>
      </c>
      <c r="E6" s="4" t="s">
        <v>17</v>
      </c>
      <c r="F6" s="4" t="s">
        <v>3</v>
      </c>
      <c r="G6" s="1" t="s">
        <v>32</v>
      </c>
      <c r="H6" s="9" t="s">
        <v>33</v>
      </c>
      <c r="I6" s="7" t="s">
        <v>23</v>
      </c>
      <c r="J6" s="6" t="s">
        <v>24</v>
      </c>
      <c r="K6" s="8" t="s">
        <v>29</v>
      </c>
      <c r="L6" s="8" t="s">
        <v>30</v>
      </c>
    </row>
    <row r="7" spans="2:32">
      <c r="B7" t="s">
        <v>4</v>
      </c>
      <c r="C7" t="s">
        <v>5</v>
      </c>
      <c r="D7" t="s">
        <v>6</v>
      </c>
      <c r="E7" s="5" t="s">
        <v>14</v>
      </c>
      <c r="F7" s="5" t="s">
        <v>5</v>
      </c>
      <c r="G7" t="s">
        <v>18</v>
      </c>
      <c r="I7" s="5" t="s">
        <v>20</v>
      </c>
      <c r="J7" s="5" t="s">
        <v>21</v>
      </c>
      <c r="K7" s="5" t="s">
        <v>18</v>
      </c>
      <c r="L7" s="5"/>
      <c r="AB7" t="s">
        <v>41</v>
      </c>
      <c r="AC7" t="s">
        <v>42</v>
      </c>
      <c r="AD7" t="s">
        <v>43</v>
      </c>
      <c r="AE7" t="s">
        <v>44</v>
      </c>
      <c r="AF7" t="s">
        <v>45</v>
      </c>
    </row>
    <row r="8" spans="2:32">
      <c r="B8">
        <v>3.90625E-3</v>
      </c>
      <c r="C8">
        <v>-1.3500451814252299E-3</v>
      </c>
      <c r="D8">
        <v>1.5764886474609401</v>
      </c>
      <c r="E8" s="5">
        <f xml:space="preserve"> D8*R$3</f>
        <v>1576.48864746094</v>
      </c>
      <c r="F8" s="5">
        <v>1.07722814846056E-3</v>
      </c>
      <c r="G8">
        <f xml:space="preserve"> E8/C$3</f>
        <v>31.529772949218799</v>
      </c>
      <c r="H8">
        <f xml:space="preserve"> F8/C$4</f>
        <v>1.07722814846056E-4</v>
      </c>
      <c r="I8">
        <f>L8+0.002</f>
        <v>2.1077170131602826E-3</v>
      </c>
      <c r="J8">
        <f>L8*G$2</f>
        <v>11.789088505327134</v>
      </c>
      <c r="K8" s="5">
        <f xml:space="preserve"> G8 * (1 + H8)</f>
        <v>31.533169425112344</v>
      </c>
      <c r="L8" s="5">
        <f>LN(1 + H8)</f>
        <v>1.0771701316028265E-4</v>
      </c>
      <c r="AB8">
        <v>0</v>
      </c>
      <c r="AC8">
        <f>406.038 + 664.025*SIN(AB8)</f>
        <v>406.03800000000001</v>
      </c>
      <c r="AD8">
        <f>J$2</f>
        <v>1070.0626572402225</v>
      </c>
      <c r="AE8">
        <f>N$4</f>
        <v>-257.98695969747007</v>
      </c>
      <c r="AF8">
        <f>W$4</f>
        <v>406.03784877137622</v>
      </c>
    </row>
    <row r="9" spans="2:32">
      <c r="B9">
        <v>1.3671875E-2</v>
      </c>
      <c r="C9">
        <v>3.2737850688136002E-3</v>
      </c>
      <c r="D9">
        <v>1.62775695800781</v>
      </c>
      <c r="E9" s="5">
        <f t="shared" ref="E9:E72" si="0" xml:space="preserve"> D9*R$3</f>
        <v>1627.75695800781</v>
      </c>
      <c r="F9" s="5">
        <v>1.1825551382571599E-3</v>
      </c>
      <c r="G9">
        <f t="shared" ref="G9:G72" si="1" xml:space="preserve"> E9/C$3</f>
        <v>32.555139160156202</v>
      </c>
      <c r="H9">
        <f t="shared" ref="H9:H72" si="2" xml:space="preserve"> F9/C$4</f>
        <v>1.18255513825716E-4</v>
      </c>
      <c r="I9">
        <f t="shared" ref="I9:I72" si="3">L9+0.002</f>
        <v>2.1182485221936348E-3</v>
      </c>
      <c r="J9">
        <f t="shared" ref="J9:J72" si="4">L9*G$2</f>
        <v>12.941709511482337</v>
      </c>
      <c r="K9" s="5">
        <f t="shared" ref="K9:K72" si="5" xml:space="preserve"> G9 * (1 + H9)</f>
        <v>32.558988984865252</v>
      </c>
      <c r="L9" s="5">
        <f t="shared" ref="L9:L72" si="6">LN(1 + H9)</f>
        <v>1.1824852219363459E-4</v>
      </c>
      <c r="AB9">
        <f>AB8 + 0.1</f>
        <v>0.1</v>
      </c>
      <c r="AC9">
        <f t="shared" ref="AC9:AC72" si="7">406.038 + 664.025*SIN(AB9)</f>
        <v>472.32988448891007</v>
      </c>
      <c r="AD9">
        <f t="shared" ref="AD9:AD72" si="8">J$2</f>
        <v>1070.0626572402225</v>
      </c>
      <c r="AE9">
        <f t="shared" ref="AE9:AE72" si="9">N$4</f>
        <v>-257.98695969747007</v>
      </c>
      <c r="AF9">
        <f t="shared" ref="AF9:AF72" si="10">W$4</f>
        <v>406.03784877137622</v>
      </c>
    </row>
    <row r="10" spans="2:32">
      <c r="B10">
        <v>2.34375E-2</v>
      </c>
      <c r="C10">
        <v>1.10119583496271E-3</v>
      </c>
      <c r="D10">
        <v>1.6652962646484399</v>
      </c>
      <c r="E10" s="5">
        <f xml:space="preserve"> D10*R$3</f>
        <v>1665.29626464844</v>
      </c>
      <c r="F10" s="5">
        <v>1.2085282605767099E-3</v>
      </c>
      <c r="G10">
        <f t="shared" si="1"/>
        <v>33.305925292968801</v>
      </c>
      <c r="H10">
        <f t="shared" si="2"/>
        <v>1.2085282605767098E-4</v>
      </c>
      <c r="I10">
        <f t="shared" si="3"/>
        <v>2.1208455239432032E-3</v>
      </c>
      <c r="J10">
        <f t="shared" si="4"/>
        <v>13.225938367963867</v>
      </c>
      <c r="K10" s="5">
        <f t="shared" si="5"/>
        <v>33.309950408164923</v>
      </c>
      <c r="L10" s="5">
        <f t="shared" si="6"/>
        <v>1.2084552394320313E-4</v>
      </c>
      <c r="AB10">
        <f t="shared" ref="AB10:AB73" si="11">AB9 + 0.1</f>
        <v>0.2</v>
      </c>
      <c r="AC10">
        <f t="shared" si="7"/>
        <v>537.95940238119056</v>
      </c>
      <c r="AD10">
        <f t="shared" si="8"/>
        <v>1070.0626572402225</v>
      </c>
      <c r="AE10">
        <f t="shared" si="9"/>
        <v>-257.98695969747007</v>
      </c>
      <c r="AF10">
        <f t="shared" si="10"/>
        <v>406.03784877137622</v>
      </c>
    </row>
    <row r="11" spans="2:32">
      <c r="B11">
        <v>3.3203125E-2</v>
      </c>
      <c r="C11">
        <v>4.0680170059204102E-3</v>
      </c>
      <c r="D11">
        <v>1.7564033203125</v>
      </c>
      <c r="E11" s="5">
        <f t="shared" si="0"/>
        <v>1756.4033203125</v>
      </c>
      <c r="F11" s="5">
        <v>1.4130779391052801E-3</v>
      </c>
      <c r="G11">
        <f t="shared" si="1"/>
        <v>35.128066406249999</v>
      </c>
      <c r="H11">
        <f t="shared" si="2"/>
        <v>1.41307793910528E-4</v>
      </c>
      <c r="I11">
        <f t="shared" si="3"/>
        <v>2.141297810904658E-3</v>
      </c>
      <c r="J11">
        <f t="shared" si="4"/>
        <v>15.464338914460278</v>
      </c>
      <c r="K11" s="5">
        <f t="shared" si="5"/>
        <v>35.133030275818207</v>
      </c>
      <c r="L11" s="5">
        <f t="shared" si="6"/>
        <v>1.4129781090465785E-4</v>
      </c>
      <c r="AB11">
        <f t="shared" si="11"/>
        <v>0.30000000000000004</v>
      </c>
      <c r="AC11">
        <f t="shared" si="7"/>
        <v>602.27080522829601</v>
      </c>
      <c r="AD11">
        <f t="shared" si="8"/>
        <v>1070.0626572402225</v>
      </c>
      <c r="AE11">
        <f t="shared" si="9"/>
        <v>-257.98695969747007</v>
      </c>
      <c r="AF11">
        <f t="shared" si="10"/>
        <v>406.03784877137622</v>
      </c>
    </row>
    <row r="12" spans="2:32">
      <c r="B12">
        <v>4.296875E-2</v>
      </c>
      <c r="C12">
        <v>3.9950014070200303E-3</v>
      </c>
      <c r="D12">
        <v>1.8286315917968801</v>
      </c>
      <c r="E12" s="5">
        <f t="shared" si="0"/>
        <v>1828.63159179688</v>
      </c>
      <c r="F12" s="5">
        <v>1.4723319736731401E-3</v>
      </c>
      <c r="G12">
        <f t="shared" si="1"/>
        <v>36.572631835937599</v>
      </c>
      <c r="H12">
        <f t="shared" si="2"/>
        <v>1.4723319736731401E-4</v>
      </c>
      <c r="I12">
        <f t="shared" si="3"/>
        <v>2.1472223596238809E-3</v>
      </c>
      <c r="J12">
        <f t="shared" si="4"/>
        <v>16.112751149035628</v>
      </c>
      <c r="K12" s="5">
        <f t="shared" si="5"/>
        <v>36.578016541458943</v>
      </c>
      <c r="L12" s="5">
        <f t="shared" si="6"/>
        <v>1.4722235962388074E-4</v>
      </c>
      <c r="AB12">
        <f t="shared" si="11"/>
        <v>0.4</v>
      </c>
      <c r="AC12">
        <f t="shared" si="7"/>
        <v>664.62151475150165</v>
      </c>
      <c r="AD12">
        <f t="shared" si="8"/>
        <v>1070.0626572402225</v>
      </c>
      <c r="AE12">
        <f t="shared" si="9"/>
        <v>-257.98695969747007</v>
      </c>
      <c r="AF12">
        <f t="shared" si="10"/>
        <v>406.03784877137622</v>
      </c>
    </row>
    <row r="13" spans="2:32">
      <c r="B13">
        <v>5.2734375E-2</v>
      </c>
      <c r="C13">
        <v>6.9409607021952997E-3</v>
      </c>
      <c r="D13">
        <v>1.92107006835938</v>
      </c>
      <c r="E13" s="5">
        <f t="shared" si="0"/>
        <v>1921.07006835938</v>
      </c>
      <c r="F13" s="5">
        <v>1.7433393395549499E-3</v>
      </c>
      <c r="G13">
        <f t="shared" si="1"/>
        <v>38.421401367187599</v>
      </c>
      <c r="H13">
        <f t="shared" si="2"/>
        <v>1.7433393395549499E-4</v>
      </c>
      <c r="I13">
        <f t="shared" si="3"/>
        <v>2.1743187395611378E-3</v>
      </c>
      <c r="J13">
        <f t="shared" si="4"/>
        <v>19.078314451268696</v>
      </c>
      <c r="K13" s="5">
        <f t="shared" si="5"/>
        <v>38.428099521236021</v>
      </c>
      <c r="L13" s="5">
        <f t="shared" si="6"/>
        <v>1.7431873956113753E-4</v>
      </c>
      <c r="AB13">
        <f t="shared" si="11"/>
        <v>0.5</v>
      </c>
      <c r="AC13">
        <f t="shared" si="7"/>
        <v>724.38854327165586</v>
      </c>
      <c r="AD13">
        <f t="shared" si="8"/>
        <v>1070.0626572402225</v>
      </c>
      <c r="AE13">
        <f t="shared" si="9"/>
        <v>-257.98695969747007</v>
      </c>
      <c r="AF13">
        <f t="shared" si="10"/>
        <v>406.03784877137622</v>
      </c>
    </row>
    <row r="14" spans="2:32">
      <c r="B14">
        <v>6.25E-2</v>
      </c>
      <c r="C14">
        <v>7.7530739872600004E-3</v>
      </c>
      <c r="D14">
        <v>2.0162098388671899</v>
      </c>
      <c r="E14" s="5">
        <f t="shared" si="0"/>
        <v>2016.2098388671898</v>
      </c>
      <c r="F14" s="5">
        <v>1.8831378838513001E-3</v>
      </c>
      <c r="G14">
        <f t="shared" si="1"/>
        <v>40.324196777343793</v>
      </c>
      <c r="H14">
        <f t="shared" si="2"/>
        <v>1.8831378838513E-4</v>
      </c>
      <c r="I14">
        <f t="shared" si="3"/>
        <v>2.1882960595693678E-3</v>
      </c>
      <c r="J14">
        <f t="shared" si="4"/>
        <v>20.608062239569467</v>
      </c>
      <c r="K14" s="5">
        <f t="shared" si="5"/>
        <v>40.331790379602523</v>
      </c>
      <c r="L14" s="5">
        <f t="shared" si="6"/>
        <v>1.8829605956936787E-4</v>
      </c>
      <c r="AB14">
        <f t="shared" si="11"/>
        <v>0.6</v>
      </c>
      <c r="AC14">
        <f t="shared" si="7"/>
        <v>780.97471839613831</v>
      </c>
      <c r="AD14">
        <f t="shared" si="8"/>
        <v>1070.0626572402225</v>
      </c>
      <c r="AE14">
        <f t="shared" si="9"/>
        <v>-257.98695969747007</v>
      </c>
      <c r="AF14">
        <f t="shared" si="10"/>
        <v>406.03784877137622</v>
      </c>
    </row>
    <row r="15" spans="2:32">
      <c r="B15">
        <v>7.2265625E-2</v>
      </c>
      <c r="C15">
        <v>8.7767839431762695E-3</v>
      </c>
      <c r="D15">
        <v>2.0950673828125002</v>
      </c>
      <c r="E15" s="5">
        <f t="shared" si="0"/>
        <v>2095.0673828125</v>
      </c>
      <c r="F15" s="5">
        <v>2.0728809886350098E-3</v>
      </c>
      <c r="G15">
        <f t="shared" si="1"/>
        <v>41.901347656250003</v>
      </c>
      <c r="H15">
        <f t="shared" si="2"/>
        <v>2.0728809886350099E-4</v>
      </c>
      <c r="I15">
        <f t="shared" si="3"/>
        <v>2.2072666176540167E-3</v>
      </c>
      <c r="J15">
        <f t="shared" si="4"/>
        <v>22.684294969143874</v>
      </c>
      <c r="K15" s="5">
        <f t="shared" si="5"/>
        <v>41.910033306945486</v>
      </c>
      <c r="L15" s="5">
        <f t="shared" si="6"/>
        <v>2.0726661765401686E-4</v>
      </c>
      <c r="AB15">
        <f t="shared" si="11"/>
        <v>0.7</v>
      </c>
      <c r="AC15">
        <f t="shared" si="7"/>
        <v>833.81464976800771</v>
      </c>
      <c r="AD15">
        <f t="shared" si="8"/>
        <v>1070.0626572402225</v>
      </c>
      <c r="AE15">
        <f t="shared" si="9"/>
        <v>-257.98695969747007</v>
      </c>
      <c r="AF15">
        <f t="shared" si="10"/>
        <v>406.03784877137622</v>
      </c>
    </row>
    <row r="16" spans="2:32">
      <c r="B16">
        <v>8.203125E-2</v>
      </c>
      <c r="C16">
        <v>9.7632409961079195E-3</v>
      </c>
      <c r="D16">
        <v>2.2217854003906301</v>
      </c>
      <c r="E16" s="5">
        <f t="shared" si="0"/>
        <v>2221.78540039063</v>
      </c>
      <c r="F16" s="5">
        <v>2.2367089513863898E-3</v>
      </c>
      <c r="G16">
        <f t="shared" si="1"/>
        <v>44.4357080078126</v>
      </c>
      <c r="H16">
        <f t="shared" si="2"/>
        <v>2.2367089513863897E-4</v>
      </c>
      <c r="I16">
        <f t="shared" si="3"/>
        <v>2.2236458845333331E-3</v>
      </c>
      <c r="J16">
        <f t="shared" si="4"/>
        <v>24.476923832750639</v>
      </c>
      <c r="K16" s="5">
        <f t="shared" si="5"/>
        <v>44.445646982398827</v>
      </c>
      <c r="L16" s="5">
        <f t="shared" si="6"/>
        <v>2.236458845333331E-4</v>
      </c>
      <c r="AB16">
        <f t="shared" si="11"/>
        <v>0.79999999999999993</v>
      </c>
      <c r="AC16">
        <f t="shared" si="7"/>
        <v>882.38037825955553</v>
      </c>
      <c r="AD16">
        <f t="shared" si="8"/>
        <v>1070.0626572402225</v>
      </c>
      <c r="AE16">
        <f t="shared" si="9"/>
        <v>-257.98695969747007</v>
      </c>
      <c r="AF16">
        <f t="shared" si="10"/>
        <v>406.03784877137622</v>
      </c>
    </row>
    <row r="17" spans="2:32">
      <c r="B17">
        <v>9.1796875E-2</v>
      </c>
      <c r="C17">
        <v>1.1163950148329599E-2</v>
      </c>
      <c r="D17">
        <v>2.3262209472656301</v>
      </c>
      <c r="E17" s="5">
        <f t="shared" si="0"/>
        <v>2326.22094726563</v>
      </c>
      <c r="F17" s="5">
        <v>2.3671038889006E-3</v>
      </c>
      <c r="G17">
        <f t="shared" si="1"/>
        <v>46.524418945312597</v>
      </c>
      <c r="H17">
        <f t="shared" si="2"/>
        <v>2.3671038889005999E-4</v>
      </c>
      <c r="I17">
        <f t="shared" si="3"/>
        <v>2.2366823774062749E-3</v>
      </c>
      <c r="J17">
        <f t="shared" si="4"/>
        <v>25.903702795229751</v>
      </c>
      <c r="K17" s="5">
        <f t="shared" si="5"/>
        <v>46.535431758614024</v>
      </c>
      <c r="L17" s="5">
        <f t="shared" si="6"/>
        <v>2.3668237740627485E-4</v>
      </c>
      <c r="AB17">
        <f t="shared" si="11"/>
        <v>0.89999999999999991</v>
      </c>
      <c r="AC17">
        <f t="shared" si="7"/>
        <v>926.18665116538955</v>
      </c>
      <c r="AD17">
        <f t="shared" si="8"/>
        <v>1070.0626572402225</v>
      </c>
      <c r="AE17">
        <f t="shared" si="9"/>
        <v>-257.98695969747007</v>
      </c>
      <c r="AF17">
        <f t="shared" si="10"/>
        <v>406.03784877137622</v>
      </c>
    </row>
    <row r="18" spans="2:32">
      <c r="B18">
        <v>0.1015625</v>
      </c>
      <c r="C18">
        <v>1.34587289721821E-2</v>
      </c>
      <c r="D18">
        <v>2.4211264648437498</v>
      </c>
      <c r="E18" s="5">
        <f t="shared" si="0"/>
        <v>2421.12646484375</v>
      </c>
      <c r="F18" s="5">
        <v>2.6126792818104202E-3</v>
      </c>
      <c r="G18">
        <f t="shared" si="1"/>
        <v>48.422529296874998</v>
      </c>
      <c r="H18">
        <f t="shared" si="2"/>
        <v>2.6126792818104204E-4</v>
      </c>
      <c r="I18">
        <f t="shared" si="3"/>
        <v>2.2612338036595262E-3</v>
      </c>
      <c r="J18">
        <f t="shared" si="4"/>
        <v>28.590733641516834</v>
      </c>
      <c r="K18" s="5">
        <f t="shared" si="5"/>
        <v>48.435180550781681</v>
      </c>
      <c r="L18" s="5">
        <f t="shared" si="6"/>
        <v>2.6123380365952612E-4</v>
      </c>
      <c r="N18" s="10"/>
      <c r="O18" s="10"/>
      <c r="AB18">
        <f t="shared" si="11"/>
        <v>0.99999999999999989</v>
      </c>
      <c r="AC18">
        <f t="shared" si="7"/>
        <v>964.7957706870634</v>
      </c>
      <c r="AD18">
        <f t="shared" si="8"/>
        <v>1070.0626572402225</v>
      </c>
      <c r="AE18">
        <f t="shared" si="9"/>
        <v>-257.98695969747007</v>
      </c>
      <c r="AF18">
        <f t="shared" si="10"/>
        <v>406.03784877137622</v>
      </c>
    </row>
    <row r="19" spans="2:32">
      <c r="B19">
        <v>0.111328125</v>
      </c>
      <c r="C19">
        <v>1.5473366147489301E-2</v>
      </c>
      <c r="D19">
        <v>2.5350878906249998</v>
      </c>
      <c r="E19" s="5">
        <f t="shared" si="0"/>
        <v>2535.087890625</v>
      </c>
      <c r="F19" s="5">
        <v>2.7763837806560302E-3</v>
      </c>
      <c r="G19">
        <f t="shared" si="1"/>
        <v>50.701757812499999</v>
      </c>
      <c r="H19">
        <f t="shared" si="2"/>
        <v>2.7763837806560299E-4</v>
      </c>
      <c r="I19">
        <f t="shared" si="3"/>
        <v>2.27759984366337E-3</v>
      </c>
      <c r="J19">
        <f t="shared" si="4"/>
        <v>30.381914889737551</v>
      </c>
      <c r="K19" s="5">
        <f t="shared" si="5"/>
        <v>50.715834566304139</v>
      </c>
      <c r="L19" s="5">
        <f t="shared" si="6"/>
        <v>2.7759984366337019E-4</v>
      </c>
      <c r="AB19">
        <f t="shared" si="11"/>
        <v>1.0999999999999999</v>
      </c>
      <c r="AC19">
        <f t="shared" si="7"/>
        <v>997.82196726479458</v>
      </c>
      <c r="AD19">
        <f t="shared" si="8"/>
        <v>1070.0626572402225</v>
      </c>
      <c r="AE19">
        <f t="shared" si="9"/>
        <v>-257.98695969747007</v>
      </c>
      <c r="AF19">
        <f t="shared" si="10"/>
        <v>406.03784877137622</v>
      </c>
    </row>
    <row r="20" spans="2:32">
      <c r="B20">
        <v>0.12109375</v>
      </c>
      <c r="C20">
        <v>1.7733871573000201E-2</v>
      </c>
      <c r="D20">
        <v>2.63128930664063</v>
      </c>
      <c r="E20" s="5">
        <f t="shared" si="0"/>
        <v>2631.28930664063</v>
      </c>
      <c r="F20" s="5">
        <v>3.0318283279484599E-3</v>
      </c>
      <c r="G20">
        <f t="shared" si="1"/>
        <v>52.6257861328126</v>
      </c>
      <c r="H20">
        <f t="shared" si="2"/>
        <v>3.0318283279484598E-4</v>
      </c>
      <c r="I20">
        <f t="shared" si="3"/>
        <v>2.3031368821671882E-3</v>
      </c>
      <c r="J20">
        <f t="shared" si="4"/>
        <v>33.176816068787929</v>
      </c>
      <c r="K20" s="5">
        <f t="shared" si="5"/>
        <v>52.641741367730404</v>
      </c>
      <c r="L20" s="5">
        <f t="shared" si="6"/>
        <v>3.0313688216718833E-4</v>
      </c>
      <c r="AB20">
        <f t="shared" si="11"/>
        <v>1.2</v>
      </c>
      <c r="AC20">
        <f t="shared" si="7"/>
        <v>1024.9352540593873</v>
      </c>
      <c r="AD20">
        <f t="shared" si="8"/>
        <v>1070.0626572402225</v>
      </c>
      <c r="AE20">
        <f t="shared" si="9"/>
        <v>-257.98695969747007</v>
      </c>
      <c r="AF20">
        <f t="shared" si="10"/>
        <v>406.03784877137622</v>
      </c>
    </row>
    <row r="21" spans="2:32">
      <c r="B21">
        <v>0.130859375</v>
      </c>
      <c r="C21">
        <v>1.7882883184938698E-2</v>
      </c>
      <c r="D21">
        <v>2.72648388671875</v>
      </c>
      <c r="E21" s="5">
        <f t="shared" si="0"/>
        <v>2726.48388671875</v>
      </c>
      <c r="F21" s="5">
        <v>3.1530917112832001E-3</v>
      </c>
      <c r="G21">
        <f t="shared" si="1"/>
        <v>54.529677734374999</v>
      </c>
      <c r="H21">
        <f t="shared" si="2"/>
        <v>3.1530917112832001E-4</v>
      </c>
      <c r="I21">
        <f t="shared" si="3"/>
        <v>2.3152594716384831E-3</v>
      </c>
      <c r="J21">
        <f t="shared" si="4"/>
        <v>34.503572873473765</v>
      </c>
      <c r="K21" s="5">
        <f t="shared" si="5"/>
        <v>54.546871441863317</v>
      </c>
      <c r="L21" s="5">
        <f t="shared" si="6"/>
        <v>3.1525947163848296E-4</v>
      </c>
      <c r="AB21">
        <f t="shared" si="11"/>
        <v>1.3</v>
      </c>
      <c r="AC21">
        <f t="shared" si="7"/>
        <v>1045.8647240716514</v>
      </c>
      <c r="AD21">
        <f t="shared" si="8"/>
        <v>1070.0626572402225</v>
      </c>
      <c r="AE21">
        <f t="shared" si="9"/>
        <v>-257.98695969747007</v>
      </c>
      <c r="AF21">
        <f t="shared" si="10"/>
        <v>406.03784877137622</v>
      </c>
    </row>
    <row r="22" spans="2:32">
      <c r="B22">
        <v>0.140625</v>
      </c>
      <c r="C22">
        <v>1.7875432604341799E-2</v>
      </c>
      <c r="D22">
        <v>2.85683813476563</v>
      </c>
      <c r="E22" s="5">
        <f t="shared" si="0"/>
        <v>2856.83813476563</v>
      </c>
      <c r="F22" s="5">
        <v>3.3585754408704798E-3</v>
      </c>
      <c r="G22">
        <f t="shared" si="1"/>
        <v>57.136762695312598</v>
      </c>
      <c r="H22">
        <f t="shared" si="2"/>
        <v>3.3585754408704799E-4</v>
      </c>
      <c r="I22">
        <f t="shared" si="3"/>
        <v>2.3358011565671839E-3</v>
      </c>
      <c r="J22">
        <f t="shared" si="4"/>
        <v>36.751757580495457</v>
      </c>
      <c r="K22" s="5">
        <f t="shared" si="5"/>
        <v>57.155952508108527</v>
      </c>
      <c r="L22" s="5">
        <f t="shared" si="6"/>
        <v>3.3580115656718407E-4</v>
      </c>
      <c r="AB22">
        <f t="shared" si="11"/>
        <v>1.4000000000000001</v>
      </c>
      <c r="AC22">
        <f t="shared" si="7"/>
        <v>1060.4012569555873</v>
      </c>
      <c r="AD22">
        <f t="shared" si="8"/>
        <v>1070.0626572402225</v>
      </c>
      <c r="AE22">
        <f t="shared" si="9"/>
        <v>-257.98695969747007</v>
      </c>
      <c r="AF22">
        <f t="shared" si="10"/>
        <v>406.03784877137622</v>
      </c>
    </row>
    <row r="23" spans="2:32">
      <c r="B23">
        <v>0.150390625</v>
      </c>
      <c r="C23">
        <v>2.03028321266174E-2</v>
      </c>
      <c r="D23">
        <v>2.9684609375000002</v>
      </c>
      <c r="E23" s="5">
        <f t="shared" si="0"/>
        <v>2968.4609375</v>
      </c>
      <c r="F23" s="5">
        <v>3.6154635836283E-3</v>
      </c>
      <c r="G23">
        <f t="shared" si="1"/>
        <v>59.369218750000002</v>
      </c>
      <c r="H23">
        <f t="shared" si="2"/>
        <v>3.6154635836283E-4</v>
      </c>
      <c r="I23">
        <f t="shared" si="3"/>
        <v>2.361481016227207E-3</v>
      </c>
      <c r="J23">
        <f t="shared" si="4"/>
        <v>39.562289820986649</v>
      </c>
      <c r="K23" s="5">
        <f t="shared" si="5"/>
        <v>59.390683474837914</v>
      </c>
      <c r="L23" s="5">
        <f t="shared" si="6"/>
        <v>3.6148101622720678E-4</v>
      </c>
      <c r="AB23">
        <f t="shared" si="11"/>
        <v>1.5000000000000002</v>
      </c>
      <c r="AC23">
        <f t="shared" si="7"/>
        <v>1068.3996084797573</v>
      </c>
      <c r="AD23">
        <f t="shared" si="8"/>
        <v>1070.0626572402225</v>
      </c>
      <c r="AE23">
        <f t="shared" si="9"/>
        <v>-257.98695969747007</v>
      </c>
      <c r="AF23">
        <f t="shared" si="10"/>
        <v>406.03784877137622</v>
      </c>
    </row>
    <row r="24" spans="2:32">
      <c r="B24">
        <v>0.16015625</v>
      </c>
      <c r="C24">
        <v>2.28643420996377E-2</v>
      </c>
      <c r="D24">
        <v>3.09992602539063</v>
      </c>
      <c r="E24" s="5">
        <f t="shared" si="0"/>
        <v>3099.92602539063</v>
      </c>
      <c r="F24" s="5">
        <v>3.78337790607475E-3</v>
      </c>
      <c r="G24">
        <f t="shared" si="1"/>
        <v>61.9985205078126</v>
      </c>
      <c r="H24">
        <f t="shared" si="2"/>
        <v>3.7833779060747502E-4</v>
      </c>
      <c r="I24">
        <f t="shared" si="3"/>
        <v>2.3782662389121452E-3</v>
      </c>
      <c r="J24">
        <f t="shared" si="4"/>
        <v>41.399348517739732</v>
      </c>
      <c r="K24" s="5">
        <f t="shared" si="5"/>
        <v>62.02197689108246</v>
      </c>
      <c r="L24" s="5">
        <f t="shared" si="6"/>
        <v>3.7826623891214521E-4</v>
      </c>
      <c r="AB24">
        <f t="shared" si="11"/>
        <v>1.6000000000000003</v>
      </c>
      <c r="AC24">
        <f t="shared" si="7"/>
        <v>1069.7798617596354</v>
      </c>
      <c r="AD24">
        <f t="shared" si="8"/>
        <v>1070.0626572402225</v>
      </c>
      <c r="AE24">
        <f t="shared" si="9"/>
        <v>-257.98695969747007</v>
      </c>
      <c r="AF24">
        <f t="shared" si="10"/>
        <v>406.03784877137622</v>
      </c>
    </row>
    <row r="25" spans="2:32">
      <c r="B25">
        <v>0.169921875</v>
      </c>
      <c r="C25">
        <v>2.5023520720424099E-2</v>
      </c>
      <c r="D25">
        <v>3.2159208984375001</v>
      </c>
      <c r="E25" s="5">
        <f t="shared" si="0"/>
        <v>3215.9208984375</v>
      </c>
      <c r="F25" s="5">
        <v>4.0144700506061799E-3</v>
      </c>
      <c r="G25">
        <f t="shared" si="1"/>
        <v>64.318417968749998</v>
      </c>
      <c r="H25">
        <f t="shared" si="2"/>
        <v>4.0144700506061797E-4</v>
      </c>
      <c r="I25">
        <f t="shared" si="3"/>
        <v>2.4013664467708836E-3</v>
      </c>
      <c r="J25">
        <f t="shared" si="4"/>
        <v>43.927550766839339</v>
      </c>
      <c r="K25" s="5">
        <f t="shared" si="5"/>
        <v>64.344238405013783</v>
      </c>
      <c r="L25" s="5">
        <f t="shared" si="6"/>
        <v>4.0136644677088342E-4</v>
      </c>
      <c r="AB25">
        <f t="shared" si="11"/>
        <v>1.7000000000000004</v>
      </c>
      <c r="AC25">
        <f t="shared" si="7"/>
        <v>1064.5282257607005</v>
      </c>
      <c r="AD25">
        <f t="shared" si="8"/>
        <v>1070.0626572402225</v>
      </c>
      <c r="AE25">
        <f t="shared" si="9"/>
        <v>-257.98695969747007</v>
      </c>
      <c r="AF25">
        <f t="shared" si="10"/>
        <v>406.03784877137622</v>
      </c>
    </row>
    <row r="26" spans="2:32">
      <c r="B26">
        <v>0.1796875</v>
      </c>
      <c r="C26">
        <v>2.5643408662290298E-2</v>
      </c>
      <c r="D26">
        <v>3.2968291015625</v>
      </c>
      <c r="E26" s="5">
        <f t="shared" si="0"/>
        <v>3296.8291015625</v>
      </c>
      <c r="F26" s="5">
        <v>4.1768698793020996E-3</v>
      </c>
      <c r="G26">
        <f t="shared" si="1"/>
        <v>65.936582031249998</v>
      </c>
      <c r="H26">
        <f t="shared" si="2"/>
        <v>4.1768698793020998E-4</v>
      </c>
      <c r="I26">
        <f t="shared" si="3"/>
        <v>2.4175997810028881E-3</v>
      </c>
      <c r="J26">
        <f t="shared" si="4"/>
        <v>45.704208031861079</v>
      </c>
      <c r="K26" s="5">
        <f t="shared" si="5"/>
        <v>65.964122883593049</v>
      </c>
      <c r="L26" s="5">
        <f t="shared" si="6"/>
        <v>4.1759978100288801E-4</v>
      </c>
      <c r="AB26">
        <f t="shared" si="11"/>
        <v>1.8000000000000005</v>
      </c>
      <c r="AC26">
        <f t="shared" si="7"/>
        <v>1052.6971730938935</v>
      </c>
      <c r="AD26">
        <f t="shared" si="8"/>
        <v>1070.0626572402225</v>
      </c>
      <c r="AE26">
        <f t="shared" si="9"/>
        <v>-257.98695969747007</v>
      </c>
      <c r="AF26">
        <f t="shared" si="10"/>
        <v>406.03784877137622</v>
      </c>
    </row>
    <row r="27" spans="2:32">
      <c r="B27">
        <v>0.189453125</v>
      </c>
      <c r="C27">
        <v>2.8035045033902899E-2</v>
      </c>
      <c r="D27">
        <v>3.4175776367187498</v>
      </c>
      <c r="E27" s="5">
        <f t="shared" si="0"/>
        <v>3417.57763671875</v>
      </c>
      <c r="F27" s="5">
        <v>4.3637533053697596E-3</v>
      </c>
      <c r="G27">
        <f t="shared" si="1"/>
        <v>68.351552734375005</v>
      </c>
      <c r="H27">
        <f t="shared" si="2"/>
        <v>4.3637533053697596E-4</v>
      </c>
      <c r="I27">
        <f t="shared" si="3"/>
        <v>2.4362801465120584E-3</v>
      </c>
      <c r="J27">
        <f t="shared" si="4"/>
        <v>47.748680635012228</v>
      </c>
      <c r="K27" s="5">
        <f t="shared" si="5"/>
        <v>68.381379665792181</v>
      </c>
      <c r="L27" s="5">
        <f t="shared" si="6"/>
        <v>4.3628014651205839E-4</v>
      </c>
      <c r="AB27">
        <f t="shared" si="11"/>
        <v>1.9000000000000006</v>
      </c>
      <c r="AC27">
        <f t="shared" si="7"/>
        <v>1034.4049157266352</v>
      </c>
      <c r="AD27">
        <f t="shared" si="8"/>
        <v>1070.0626572402225</v>
      </c>
      <c r="AE27">
        <f t="shared" si="9"/>
        <v>-257.98695969747007</v>
      </c>
      <c r="AF27">
        <f t="shared" si="10"/>
        <v>406.03784877137622</v>
      </c>
    </row>
    <row r="28" spans="2:32">
      <c r="B28">
        <v>0.19921875</v>
      </c>
      <c r="C28">
        <v>2.94059518637368E-2</v>
      </c>
      <c r="D28">
        <v>3.5292753906250001</v>
      </c>
      <c r="E28" s="5">
        <f t="shared" si="0"/>
        <v>3529.275390625</v>
      </c>
      <c r="F28" s="5">
        <v>4.6436862248810896E-3</v>
      </c>
      <c r="G28">
        <f t="shared" si="1"/>
        <v>70.585507812499998</v>
      </c>
      <c r="H28">
        <f t="shared" si="2"/>
        <v>4.6436862248810896E-4</v>
      </c>
      <c r="I28">
        <f t="shared" si="3"/>
        <v>2.4642608367462537E-3</v>
      </c>
      <c r="J28">
        <f t="shared" si="4"/>
        <v>50.811027277693739</v>
      </c>
      <c r="K28" s="5">
        <f t="shared" si="5"/>
        <v>70.618285507530516</v>
      </c>
      <c r="L28" s="5">
        <f t="shared" si="6"/>
        <v>4.642608367462537E-4</v>
      </c>
      <c r="AB28">
        <f t="shared" si="11"/>
        <v>2.0000000000000004</v>
      </c>
      <c r="AC28">
        <f t="shared" si="7"/>
        <v>1009.8342238479231</v>
      </c>
      <c r="AD28">
        <f t="shared" si="8"/>
        <v>1070.0626572402225</v>
      </c>
      <c r="AE28">
        <f t="shared" si="9"/>
        <v>-257.98695969747007</v>
      </c>
      <c r="AF28">
        <f t="shared" si="10"/>
        <v>406.03784877137622</v>
      </c>
    </row>
    <row r="29" spans="2:32">
      <c r="B29">
        <v>0.208984375</v>
      </c>
      <c r="C29">
        <v>3.14757235173602E-2</v>
      </c>
      <c r="D29">
        <v>3.64746459960937</v>
      </c>
      <c r="E29" s="5">
        <f t="shared" si="0"/>
        <v>3647.46459960937</v>
      </c>
      <c r="F29" s="5">
        <v>4.8522601900913304E-3</v>
      </c>
      <c r="G29">
        <f t="shared" si="1"/>
        <v>72.949291992187398</v>
      </c>
      <c r="H29">
        <f t="shared" si="2"/>
        <v>4.8522601900913303E-4</v>
      </c>
      <c r="I29">
        <f t="shared" si="3"/>
        <v>2.4851083349317496E-3</v>
      </c>
      <c r="J29">
        <f t="shared" si="4"/>
        <v>53.092681716605355</v>
      </c>
      <c r="K29" s="5">
        <f t="shared" si="5"/>
        <v>72.984688886730297</v>
      </c>
      <c r="L29" s="5">
        <f t="shared" si="6"/>
        <v>4.8510833493174981E-4</v>
      </c>
      <c r="AB29">
        <f t="shared" si="11"/>
        <v>2.1000000000000005</v>
      </c>
      <c r="AC29">
        <f t="shared" si="7"/>
        <v>979.23059968901816</v>
      </c>
      <c r="AD29">
        <f t="shared" si="8"/>
        <v>1070.0626572402225</v>
      </c>
      <c r="AE29">
        <f t="shared" si="9"/>
        <v>-257.98695969747007</v>
      </c>
      <c r="AF29">
        <f t="shared" si="10"/>
        <v>406.03784877137622</v>
      </c>
    </row>
    <row r="30" spans="2:32">
      <c r="B30">
        <v>0.21875</v>
      </c>
      <c r="C30">
        <v>3.3082069421652698E-2</v>
      </c>
      <c r="D30">
        <v>3.7485056152343801</v>
      </c>
      <c r="E30" s="5">
        <f t="shared" si="0"/>
        <v>3748.50561523438</v>
      </c>
      <c r="F30" s="5">
        <v>4.9388509069103704E-3</v>
      </c>
      <c r="G30">
        <f t="shared" si="1"/>
        <v>74.970112304687603</v>
      </c>
      <c r="H30">
        <f t="shared" si="2"/>
        <v>4.9388509069103704E-4</v>
      </c>
      <c r="I30">
        <f t="shared" si="3"/>
        <v>2.4937631695913245E-3</v>
      </c>
      <c r="J30">
        <f t="shared" si="4"/>
        <v>54.039910095922515</v>
      </c>
      <c r="K30" s="5">
        <f t="shared" si="5"/>
        <v>75.007138925402316</v>
      </c>
      <c r="L30" s="5">
        <f t="shared" si="6"/>
        <v>4.9376316959132453E-4</v>
      </c>
      <c r="AB30">
        <f t="shared" si="11"/>
        <v>2.2000000000000006</v>
      </c>
      <c r="AC30">
        <f t="shared" si="7"/>
        <v>942.89982454630319</v>
      </c>
      <c r="AD30">
        <f t="shared" si="8"/>
        <v>1070.0626572402225</v>
      </c>
      <c r="AE30">
        <f t="shared" si="9"/>
        <v>-257.98695969747007</v>
      </c>
      <c r="AF30">
        <f t="shared" si="10"/>
        <v>406.03784877137622</v>
      </c>
    </row>
    <row r="31" spans="2:32">
      <c r="B31">
        <v>0.228515625</v>
      </c>
      <c r="C31">
        <v>3.4615397453308099E-2</v>
      </c>
      <c r="D31">
        <v>3.8319511718750001</v>
      </c>
      <c r="E31" s="5">
        <f t="shared" si="0"/>
        <v>3831.951171875</v>
      </c>
      <c r="F31" s="5">
        <v>5.1800188884954003E-3</v>
      </c>
      <c r="G31">
        <f t="shared" si="1"/>
        <v>76.639023437500001</v>
      </c>
      <c r="H31">
        <f t="shared" si="2"/>
        <v>5.1800188884954001E-4</v>
      </c>
      <c r="I31">
        <f t="shared" si="3"/>
        <v>2.5178677721842393E-3</v>
      </c>
      <c r="J31">
        <f t="shared" si="4"/>
        <v>56.678038326704041</v>
      </c>
      <c r="K31" s="5">
        <f t="shared" si="5"/>
        <v>76.678722596400206</v>
      </c>
      <c r="L31" s="5">
        <f t="shared" si="6"/>
        <v>5.1786777218423906E-4</v>
      </c>
      <c r="AB31">
        <f t="shared" si="11"/>
        <v>2.3000000000000007</v>
      </c>
      <c r="AC31">
        <f t="shared" si="7"/>
        <v>901.20490351564627</v>
      </c>
      <c r="AD31">
        <f t="shared" si="8"/>
        <v>1070.0626572402225</v>
      </c>
      <c r="AE31">
        <f t="shared" si="9"/>
        <v>-257.98695969747007</v>
      </c>
      <c r="AF31">
        <f t="shared" si="10"/>
        <v>406.03784877137622</v>
      </c>
    </row>
    <row r="32" spans="2:32">
      <c r="B32">
        <v>0.23828125</v>
      </c>
      <c r="C32">
        <v>3.5709141229745001E-2</v>
      </c>
      <c r="D32">
        <v>3.9600297851562498</v>
      </c>
      <c r="E32" s="5">
        <f t="shared" si="0"/>
        <v>3960.02978515625</v>
      </c>
      <c r="F32" s="5">
        <v>5.3962367019266804E-3</v>
      </c>
      <c r="G32">
        <f t="shared" si="1"/>
        <v>79.200595703125003</v>
      </c>
      <c r="H32">
        <f t="shared" si="2"/>
        <v>5.39623670192668E-4</v>
      </c>
      <c r="I32">
        <f t="shared" si="3"/>
        <v>2.5394781256971016E-3</v>
      </c>
      <c r="J32">
        <f t="shared" si="4"/>
        <v>59.043183466919274</v>
      </c>
      <c r="K32" s="5">
        <f t="shared" si="5"/>
        <v>79.243334219259765</v>
      </c>
      <c r="L32" s="5">
        <f t="shared" si="6"/>
        <v>5.3947812569710152E-4</v>
      </c>
      <c r="AB32">
        <f t="shared" si="11"/>
        <v>2.4000000000000008</v>
      </c>
      <c r="AC32">
        <f t="shared" si="7"/>
        <v>854.5624384654775</v>
      </c>
      <c r="AD32">
        <f t="shared" si="8"/>
        <v>1070.0626572402225</v>
      </c>
      <c r="AE32">
        <f t="shared" si="9"/>
        <v>-257.98695969747007</v>
      </c>
      <c r="AF32">
        <f t="shared" si="10"/>
        <v>406.03784877137622</v>
      </c>
    </row>
    <row r="33" spans="2:32">
      <c r="B33">
        <v>0.248046875</v>
      </c>
      <c r="C33">
        <v>3.7497280573006699E-2</v>
      </c>
      <c r="D33">
        <v>4.0750893554687497</v>
      </c>
      <c r="E33" s="5">
        <f t="shared" si="0"/>
        <v>4075.0893554687495</v>
      </c>
      <c r="F33" s="5">
        <v>5.54288544662995E-3</v>
      </c>
      <c r="G33">
        <f t="shared" si="1"/>
        <v>81.501787109374987</v>
      </c>
      <c r="H33">
        <f t="shared" si="2"/>
        <v>5.5428854466299505E-4</v>
      </c>
      <c r="I33">
        <f t="shared" si="3"/>
        <v>2.5541349835097949E-3</v>
      </c>
      <c r="J33">
        <f t="shared" si="4"/>
        <v>60.647303270229486</v>
      </c>
      <c r="K33" s="5">
        <f t="shared" si="5"/>
        <v>81.546962616339272</v>
      </c>
      <c r="L33" s="5">
        <f t="shared" si="6"/>
        <v>5.5413498350979473E-4</v>
      </c>
      <c r="AB33">
        <f t="shared" si="11"/>
        <v>2.5000000000000009</v>
      </c>
      <c r="AC33">
        <f t="shared" si="7"/>
        <v>803.43846548862916</v>
      </c>
      <c r="AD33">
        <f t="shared" si="8"/>
        <v>1070.0626572402225</v>
      </c>
      <c r="AE33">
        <f t="shared" si="9"/>
        <v>-257.98695969747007</v>
      </c>
      <c r="AF33">
        <f t="shared" si="10"/>
        <v>406.03784877137622</v>
      </c>
    </row>
    <row r="34" spans="2:32">
      <c r="B34">
        <v>0.2578125</v>
      </c>
      <c r="C34">
        <v>3.9415062929038E-2</v>
      </c>
      <c r="D34">
        <v>4.1765302734374998</v>
      </c>
      <c r="E34" s="5">
        <f t="shared" si="0"/>
        <v>4176.5302734375</v>
      </c>
      <c r="F34" s="5">
        <v>5.7859151638695004E-3</v>
      </c>
      <c r="G34">
        <f t="shared" si="1"/>
        <v>83.530605468749997</v>
      </c>
      <c r="H34">
        <f t="shared" si="2"/>
        <v>5.7859151638695006E-4</v>
      </c>
      <c r="I34">
        <f t="shared" si="3"/>
        <v>2.5784241968521975E-3</v>
      </c>
      <c r="J34">
        <f t="shared" si="4"/>
        <v>63.305636224488758</v>
      </c>
      <c r="K34" s="5">
        <f t="shared" si="5"/>
        <v>83.578935568432883</v>
      </c>
      <c r="L34" s="5">
        <f t="shared" si="6"/>
        <v>5.7842419685219754E-4</v>
      </c>
      <c r="AB34">
        <f t="shared" si="11"/>
        <v>2.600000000000001</v>
      </c>
      <c r="AC34">
        <f t="shared" si="7"/>
        <v>748.34379842374722</v>
      </c>
      <c r="AD34">
        <f t="shared" si="8"/>
        <v>1070.0626572402225</v>
      </c>
      <c r="AE34">
        <f t="shared" si="9"/>
        <v>-257.98695969747007</v>
      </c>
      <c r="AF34">
        <f t="shared" si="10"/>
        <v>406.03784877137622</v>
      </c>
    </row>
    <row r="35" spans="2:32">
      <c r="B35">
        <v>0.267578125</v>
      </c>
      <c r="C35">
        <v>4.09215681429487E-2</v>
      </c>
      <c r="D35">
        <v>4.2875224609374998</v>
      </c>
      <c r="E35" s="5">
        <f t="shared" si="0"/>
        <v>4287.5224609375</v>
      </c>
      <c r="F35" s="5">
        <v>5.9357271311455398E-3</v>
      </c>
      <c r="G35">
        <f t="shared" si="1"/>
        <v>85.750449218750006</v>
      </c>
      <c r="H35">
        <f t="shared" si="2"/>
        <v>5.9357271311455395E-4</v>
      </c>
      <c r="I35">
        <f t="shared" si="3"/>
        <v>2.5933966185115323E-3</v>
      </c>
      <c r="J35">
        <f t="shared" si="4"/>
        <v>64.944292912994626</v>
      </c>
      <c r="K35" s="5">
        <f t="shared" si="5"/>
        <v>85.801348345543573</v>
      </c>
      <c r="L35" s="5">
        <f t="shared" si="6"/>
        <v>5.9339661851153208E-4</v>
      </c>
      <c r="AB35">
        <f t="shared" si="11"/>
        <v>2.7000000000000011</v>
      </c>
      <c r="AC35">
        <f t="shared" si="7"/>
        <v>689.82892497226828</v>
      </c>
      <c r="AD35">
        <f t="shared" si="8"/>
        <v>1070.0626572402225</v>
      </c>
      <c r="AE35">
        <f t="shared" si="9"/>
        <v>-257.98695969747007</v>
      </c>
      <c r="AF35">
        <f t="shared" si="10"/>
        <v>406.03784877137622</v>
      </c>
    </row>
    <row r="36" spans="2:32">
      <c r="B36">
        <v>0.27734375</v>
      </c>
      <c r="C36">
        <v>4.1909515857696499E-2</v>
      </c>
      <c r="D36">
        <v>4.3865849609375003</v>
      </c>
      <c r="E36" s="5">
        <f t="shared" si="0"/>
        <v>4386.5849609375</v>
      </c>
      <c r="F36" s="5">
        <v>6.1563664530695002E-3</v>
      </c>
      <c r="G36">
        <f t="shared" si="1"/>
        <v>87.731699218749995</v>
      </c>
      <c r="H36">
        <f t="shared" si="2"/>
        <v>6.1563664530695005E-4</v>
      </c>
      <c r="I36">
        <f t="shared" si="3"/>
        <v>2.6154472188087024E-3</v>
      </c>
      <c r="J36">
        <f t="shared" si="4"/>
        <v>67.357620862518445</v>
      </c>
      <c r="K36" s="5">
        <f t="shared" si="5"/>
        <v>87.785710067744105</v>
      </c>
      <c r="L36" s="5">
        <f t="shared" si="6"/>
        <v>6.1544721880870247E-4</v>
      </c>
      <c r="AB36">
        <f t="shared" si="11"/>
        <v>2.8000000000000012</v>
      </c>
      <c r="AC36">
        <f t="shared" si="7"/>
        <v>628.47850640727404</v>
      </c>
      <c r="AD36">
        <f t="shared" si="8"/>
        <v>1070.0626572402225</v>
      </c>
      <c r="AE36">
        <f t="shared" si="9"/>
        <v>-257.98695969747007</v>
      </c>
      <c r="AF36">
        <f t="shared" si="10"/>
        <v>406.03784877137622</v>
      </c>
    </row>
    <row r="37" spans="2:32">
      <c r="B37">
        <v>0.287109375</v>
      </c>
      <c r="C37">
        <v>4.3603777157841299E-2</v>
      </c>
      <c r="D37">
        <v>4.4954731445312497</v>
      </c>
      <c r="E37" s="5">
        <f t="shared" si="0"/>
        <v>4495.47314453125</v>
      </c>
      <c r="F37" s="5">
        <v>6.4158375607803499E-3</v>
      </c>
      <c r="G37">
        <f t="shared" si="1"/>
        <v>89.909462890624994</v>
      </c>
      <c r="H37">
        <f t="shared" si="2"/>
        <v>6.4158375607803496E-4</v>
      </c>
      <c r="I37">
        <f t="shared" si="3"/>
        <v>2.6413780292093114E-3</v>
      </c>
      <c r="J37">
        <f t="shared" si="4"/>
        <v>70.195618406813097</v>
      </c>
      <c r="K37" s="5">
        <f t="shared" si="5"/>
        <v>89.96714734153332</v>
      </c>
      <c r="L37" s="5">
        <f t="shared" si="6"/>
        <v>6.4137802920931147E-4</v>
      </c>
      <c r="AB37">
        <f t="shared" si="11"/>
        <v>2.9000000000000012</v>
      </c>
      <c r="AC37">
        <f t="shared" si="7"/>
        <v>564.90553583131384</v>
      </c>
      <c r="AD37">
        <f t="shared" si="8"/>
        <v>1070.0626572402225</v>
      </c>
      <c r="AE37">
        <f t="shared" si="9"/>
        <v>-257.98695969747007</v>
      </c>
      <c r="AF37">
        <f t="shared" si="10"/>
        <v>406.03784877137622</v>
      </c>
    </row>
    <row r="38" spans="2:32">
      <c r="B38">
        <v>0.296875</v>
      </c>
      <c r="C38">
        <v>4.49329600087367E-2</v>
      </c>
      <c r="D38">
        <v>4.6004155273437499</v>
      </c>
      <c r="E38" s="5">
        <f t="shared" si="0"/>
        <v>4600.41552734375</v>
      </c>
      <c r="F38" s="5">
        <v>6.5617391555861104E-3</v>
      </c>
      <c r="G38">
        <f t="shared" si="1"/>
        <v>92.008310546874995</v>
      </c>
      <c r="H38">
        <f t="shared" si="2"/>
        <v>6.5617391555861104E-4</v>
      </c>
      <c r="I38">
        <f t="shared" si="3"/>
        <v>2.6559587275835597E-3</v>
      </c>
      <c r="J38">
        <f t="shared" si="4"/>
        <v>71.791402940382696</v>
      </c>
      <c r="K38" s="5">
        <f t="shared" si="5"/>
        <v>92.068684000270466</v>
      </c>
      <c r="L38" s="5">
        <f t="shared" si="6"/>
        <v>6.559587275835598E-4</v>
      </c>
      <c r="AB38">
        <f t="shared" si="11"/>
        <v>3.0000000000000013</v>
      </c>
      <c r="AC38">
        <f t="shared" si="7"/>
        <v>499.74521335195249</v>
      </c>
      <c r="AD38">
        <f t="shared" si="8"/>
        <v>1070.0626572402225</v>
      </c>
      <c r="AE38">
        <f t="shared" si="9"/>
        <v>-257.98695969747007</v>
      </c>
      <c r="AF38">
        <f t="shared" si="10"/>
        <v>406.03784877137622</v>
      </c>
    </row>
    <row r="39" spans="2:32">
      <c r="B39">
        <v>0.306640625</v>
      </c>
      <c r="C39">
        <v>4.7275425458792597E-2</v>
      </c>
      <c r="D39">
        <v>4.6976152343750002</v>
      </c>
      <c r="E39" s="5">
        <f t="shared" si="0"/>
        <v>4697.615234375</v>
      </c>
      <c r="F39" s="5">
        <v>6.8368949541763903E-3</v>
      </c>
      <c r="G39">
        <f t="shared" si="1"/>
        <v>93.952304687500003</v>
      </c>
      <c r="H39">
        <f t="shared" si="2"/>
        <v>6.8368949541763901E-4</v>
      </c>
      <c r="I39">
        <f t="shared" si="3"/>
        <v>2.6834558862259359E-3</v>
      </c>
      <c r="J39">
        <f t="shared" si="4"/>
        <v>74.800829467997545</v>
      </c>
      <c r="K39" s="5">
        <f t="shared" si="5"/>
        <v>94.016538891285123</v>
      </c>
      <c r="L39" s="5">
        <f t="shared" si="6"/>
        <v>6.8345588622593587E-4</v>
      </c>
      <c r="AB39">
        <f t="shared" si="11"/>
        <v>3.1000000000000014</v>
      </c>
      <c r="AC39">
        <f t="shared" si="7"/>
        <v>433.64859937226487</v>
      </c>
      <c r="AD39">
        <f t="shared" si="8"/>
        <v>1070.0626572402225</v>
      </c>
      <c r="AE39">
        <f t="shared" si="9"/>
        <v>-257.98695969747007</v>
      </c>
      <c r="AF39">
        <f t="shared" si="10"/>
        <v>406.03784877137622</v>
      </c>
    </row>
    <row r="40" spans="2:32">
      <c r="B40">
        <v>0.31640625</v>
      </c>
      <c r="C40">
        <v>4.92393955937587E-2</v>
      </c>
      <c r="D40">
        <v>4.80504931640625</v>
      </c>
      <c r="E40" s="5">
        <f t="shared" si="0"/>
        <v>4805.04931640625</v>
      </c>
      <c r="F40" s="5">
        <v>6.9158822952886103E-3</v>
      </c>
      <c r="G40">
        <f t="shared" si="1"/>
        <v>96.100986328125003</v>
      </c>
      <c r="H40">
        <f t="shared" si="2"/>
        <v>6.9158822952886101E-4</v>
      </c>
      <c r="I40">
        <f t="shared" si="3"/>
        <v>2.691349192592988E-3</v>
      </c>
      <c r="J40">
        <f t="shared" si="4"/>
        <v>75.664712383339548</v>
      </c>
      <c r="K40" s="5">
        <f t="shared" si="5"/>
        <v>96.167448639115648</v>
      </c>
      <c r="L40" s="5">
        <f t="shared" si="6"/>
        <v>6.9134919259298785E-4</v>
      </c>
      <c r="AB40">
        <f t="shared" si="11"/>
        <v>3.2000000000000015</v>
      </c>
      <c r="AC40">
        <f t="shared" si="7"/>
        <v>367.27610941050028</v>
      </c>
      <c r="AD40">
        <f t="shared" si="8"/>
        <v>1070.0626572402225</v>
      </c>
      <c r="AE40">
        <f t="shared" si="9"/>
        <v>-257.98695969747007</v>
      </c>
      <c r="AF40">
        <f t="shared" si="10"/>
        <v>406.03784877137622</v>
      </c>
    </row>
    <row r="41" spans="2:32">
      <c r="B41">
        <v>0.326171875</v>
      </c>
      <c r="C41">
        <v>5.0194561481475802E-2</v>
      </c>
      <c r="D41">
        <v>4.9096250000000001</v>
      </c>
      <c r="E41" s="5">
        <f t="shared" si="0"/>
        <v>4909.625</v>
      </c>
      <c r="F41" s="5">
        <v>7.1775548349250996E-3</v>
      </c>
      <c r="G41">
        <f t="shared" si="1"/>
        <v>98.192499999999995</v>
      </c>
      <c r="H41">
        <f t="shared" si="2"/>
        <v>7.1775548349250996E-4</v>
      </c>
      <c r="I41">
        <f t="shared" si="3"/>
        <v>2.7174980202152219E-3</v>
      </c>
      <c r="J41">
        <f t="shared" si="4"/>
        <v>78.526570822454971</v>
      </c>
      <c r="K41" s="5">
        <f t="shared" si="5"/>
        <v>98.262978205312834</v>
      </c>
      <c r="L41" s="5">
        <f t="shared" si="6"/>
        <v>7.1749802021522197E-4</v>
      </c>
      <c r="AB41">
        <f t="shared" si="11"/>
        <v>3.3000000000000016</v>
      </c>
      <c r="AC41">
        <f t="shared" si="7"/>
        <v>301.29091544652846</v>
      </c>
      <c r="AD41">
        <f t="shared" si="8"/>
        <v>1070.0626572402225</v>
      </c>
      <c r="AE41">
        <f t="shared" si="9"/>
        <v>-257.98695969747007</v>
      </c>
      <c r="AF41">
        <f t="shared" si="10"/>
        <v>406.03784877137622</v>
      </c>
    </row>
    <row r="42" spans="2:32">
      <c r="B42">
        <v>0.3359375</v>
      </c>
      <c r="C42">
        <v>5.1455201173666899E-2</v>
      </c>
      <c r="D42">
        <v>5.0242978515625003</v>
      </c>
      <c r="E42" s="5">
        <f t="shared" si="0"/>
        <v>5024.2978515625</v>
      </c>
      <c r="F42" s="5">
        <v>7.3961205089290204E-3</v>
      </c>
      <c r="G42">
        <f t="shared" si="1"/>
        <v>100.48595703125</v>
      </c>
      <c r="H42">
        <f t="shared" si="2"/>
        <v>7.3961205089290204E-4</v>
      </c>
      <c r="I42">
        <f t="shared" si="3"/>
        <v>2.7393386726875606E-3</v>
      </c>
      <c r="J42">
        <f t="shared" si="4"/>
        <v>80.916921032290062</v>
      </c>
      <c r="K42" s="5">
        <f t="shared" si="5"/>
        <v>100.56027765601581</v>
      </c>
      <c r="L42" s="5">
        <f t="shared" si="6"/>
        <v>7.3933867268756058E-4</v>
      </c>
      <c r="AB42">
        <f t="shared" si="11"/>
        <v>3.4000000000000017</v>
      </c>
      <c r="AC42">
        <f t="shared" si="7"/>
        <v>236.35231972663226</v>
      </c>
      <c r="AD42">
        <f t="shared" si="8"/>
        <v>1070.0626572402225</v>
      </c>
      <c r="AE42">
        <f t="shared" si="9"/>
        <v>-257.98695969747007</v>
      </c>
      <c r="AF42">
        <f t="shared" si="10"/>
        <v>406.03784877137622</v>
      </c>
    </row>
    <row r="43" spans="2:32">
      <c r="B43">
        <v>0.345703125</v>
      </c>
      <c r="C43">
        <v>5.27590527781285E-2</v>
      </c>
      <c r="D43">
        <v>5.1274174804687496</v>
      </c>
      <c r="E43" s="5">
        <f t="shared" si="0"/>
        <v>5127.41748046875</v>
      </c>
      <c r="F43" s="5">
        <v>7.4939866863132903E-3</v>
      </c>
      <c r="G43">
        <f t="shared" si="1"/>
        <v>102.54834960937499</v>
      </c>
      <c r="H43">
        <f t="shared" si="2"/>
        <v>7.4939866863132898E-4</v>
      </c>
      <c r="I43">
        <f t="shared" si="3"/>
        <v>2.7491180096572772E-3</v>
      </c>
      <c r="J43">
        <f t="shared" si="4"/>
        <v>81.987220566940707</v>
      </c>
      <c r="K43" s="5">
        <f t="shared" si="5"/>
        <v>102.62519920604259</v>
      </c>
      <c r="L43" s="5">
        <f t="shared" si="6"/>
        <v>7.4911800965727726E-4</v>
      </c>
      <c r="AB43">
        <f t="shared" si="11"/>
        <v>3.5000000000000018</v>
      </c>
      <c r="AC43">
        <f t="shared" si="7"/>
        <v>173.10916723339909</v>
      </c>
      <c r="AD43">
        <f t="shared" si="8"/>
        <v>1070.0626572402225</v>
      </c>
      <c r="AE43">
        <f t="shared" si="9"/>
        <v>-257.98695969747007</v>
      </c>
      <c r="AF43">
        <f t="shared" si="10"/>
        <v>406.03784877137622</v>
      </c>
    </row>
    <row r="44" spans="2:32">
      <c r="B44">
        <v>0.35546875</v>
      </c>
      <c r="C44">
        <v>5.4119525884743801E-2</v>
      </c>
      <c r="D44">
        <v>5.2332875976562496</v>
      </c>
      <c r="E44" s="5">
        <f t="shared" si="0"/>
        <v>5233.28759765625</v>
      </c>
      <c r="F44" s="5">
        <v>7.75103853811743E-3</v>
      </c>
      <c r="G44">
        <f t="shared" si="1"/>
        <v>104.665751953125</v>
      </c>
      <c r="H44">
        <f t="shared" si="2"/>
        <v>7.7510385381174295E-4</v>
      </c>
      <c r="I44">
        <f t="shared" si="3"/>
        <v>2.7748036159533098E-3</v>
      </c>
      <c r="J44">
        <f t="shared" si="4"/>
        <v>84.798381748009973</v>
      </c>
      <c r="K44" s="5">
        <f t="shared" si="5"/>
        <v>104.74687878082597</v>
      </c>
      <c r="L44" s="5">
        <f t="shared" si="6"/>
        <v>7.7480361595330964E-4</v>
      </c>
      <c r="AB44">
        <f t="shared" si="11"/>
        <v>3.6000000000000019</v>
      </c>
      <c r="AC44">
        <f t="shared" si="7"/>
        <v>112.19336264113457</v>
      </c>
      <c r="AD44">
        <f t="shared" si="8"/>
        <v>1070.0626572402225</v>
      </c>
      <c r="AE44">
        <f t="shared" si="9"/>
        <v>-257.98695969747007</v>
      </c>
      <c r="AF44">
        <f t="shared" si="10"/>
        <v>406.03784877137622</v>
      </c>
    </row>
    <row r="45" spans="2:32">
      <c r="B45">
        <v>0.365234375</v>
      </c>
      <c r="C45">
        <v>5.6083499657688697E-2</v>
      </c>
      <c r="D45">
        <v>5.3295805664062499</v>
      </c>
      <c r="E45" s="5">
        <f t="shared" si="0"/>
        <v>5329.58056640625</v>
      </c>
      <c r="F45" s="5">
        <v>7.9139999797917006E-3</v>
      </c>
      <c r="G45">
        <f t="shared" si="1"/>
        <v>106.591611328125</v>
      </c>
      <c r="H45">
        <f t="shared" si="2"/>
        <v>7.9139999797917004E-4</v>
      </c>
      <c r="I45">
        <f t="shared" si="3"/>
        <v>2.7910870061243851E-3</v>
      </c>
      <c r="J45">
        <f t="shared" si="4"/>
        <v>86.580517385283329</v>
      </c>
      <c r="K45" s="5">
        <f t="shared" si="5"/>
        <v>106.67596792911468</v>
      </c>
      <c r="L45" s="5">
        <f t="shared" si="6"/>
        <v>7.9108700612438518E-4</v>
      </c>
      <c r="AB45">
        <f t="shared" si="11"/>
        <v>3.700000000000002</v>
      </c>
      <c r="AC45">
        <f t="shared" si="7"/>
        <v>54.213556533236726</v>
      </c>
      <c r="AD45">
        <f t="shared" si="8"/>
        <v>1070.0626572402225</v>
      </c>
      <c r="AE45">
        <f t="shared" si="9"/>
        <v>-257.98695969747007</v>
      </c>
      <c r="AF45">
        <f t="shared" si="10"/>
        <v>406.03784877137622</v>
      </c>
    </row>
    <row r="46" spans="2:32">
      <c r="B46">
        <v>0.375</v>
      </c>
      <c r="C46">
        <v>5.7210028899135103E-2</v>
      </c>
      <c r="D46">
        <v>5.4449521484375003</v>
      </c>
      <c r="E46" s="5">
        <f t="shared" si="0"/>
        <v>5444.9521484375</v>
      </c>
      <c r="F46" s="5">
        <v>8.1426851465948892E-3</v>
      </c>
      <c r="G46">
        <f t="shared" si="1"/>
        <v>108.89904296875</v>
      </c>
      <c r="H46">
        <f t="shared" si="2"/>
        <v>8.142685146594889E-4</v>
      </c>
      <c r="I46">
        <f t="shared" si="3"/>
        <v>2.8139371779050308E-3</v>
      </c>
      <c r="J46">
        <f t="shared" si="4"/>
        <v>89.081354435816081</v>
      </c>
      <c r="K46" s="5">
        <f t="shared" si="5"/>
        <v>108.987716030716</v>
      </c>
      <c r="L46" s="5">
        <f t="shared" si="6"/>
        <v>8.139371779050307E-4</v>
      </c>
      <c r="AB46">
        <f t="shared" si="11"/>
        <v>3.800000000000002</v>
      </c>
      <c r="AC46">
        <f t="shared" si="7"/>
        <v>-0.25093603324006608</v>
      </c>
      <c r="AD46">
        <f t="shared" si="8"/>
        <v>1070.0626572402225</v>
      </c>
      <c r="AE46">
        <f t="shared" si="9"/>
        <v>-257.98695969747007</v>
      </c>
      <c r="AF46">
        <f t="shared" si="10"/>
        <v>406.03784877137622</v>
      </c>
    </row>
    <row r="47" spans="2:32">
      <c r="B47">
        <v>0.384765625</v>
      </c>
      <c r="C47">
        <v>5.8379770052852102E-2</v>
      </c>
      <c r="D47">
        <v>5.5281630859374999</v>
      </c>
      <c r="E47" s="5">
        <f t="shared" si="0"/>
        <v>5528.1630859375</v>
      </c>
      <c r="F47" s="5">
        <v>8.2996066339546797E-3</v>
      </c>
      <c r="G47">
        <f t="shared" si="1"/>
        <v>110.56326171875</v>
      </c>
      <c r="H47">
        <f t="shared" si="2"/>
        <v>8.2996066339546793E-4</v>
      </c>
      <c r="I47">
        <f t="shared" si="3"/>
        <v>2.8296164364941005E-3</v>
      </c>
      <c r="J47">
        <f t="shared" si="4"/>
        <v>90.797370892096836</v>
      </c>
      <c r="K47" s="5">
        <f t="shared" si="5"/>
        <v>110.65502487679326</v>
      </c>
      <c r="L47" s="5">
        <f t="shared" si="6"/>
        <v>8.2961643649410056E-4</v>
      </c>
      <c r="AB47">
        <f t="shared" si="11"/>
        <v>3.9000000000000021</v>
      </c>
      <c r="AC47">
        <f t="shared" si="7"/>
        <v>-50.65592385213921</v>
      </c>
      <c r="AD47">
        <f t="shared" si="8"/>
        <v>1070.0626572402225</v>
      </c>
      <c r="AE47">
        <f t="shared" si="9"/>
        <v>-257.98695969747007</v>
      </c>
      <c r="AF47">
        <f t="shared" si="10"/>
        <v>406.03784877137622</v>
      </c>
    </row>
    <row r="48" spans="2:32">
      <c r="B48">
        <v>0.39453125</v>
      </c>
      <c r="C48">
        <v>6.0115755331935403E-2</v>
      </c>
      <c r="D48">
        <v>5.6498857421875002</v>
      </c>
      <c r="E48" s="5">
        <f t="shared" si="0"/>
        <v>5649.8857421875</v>
      </c>
      <c r="F48" s="5">
        <v>8.5149949882179499E-3</v>
      </c>
      <c r="G48">
        <f t="shared" si="1"/>
        <v>112.99771484375</v>
      </c>
      <c r="H48">
        <f t="shared" si="2"/>
        <v>8.5149949882179499E-4</v>
      </c>
      <c r="I48">
        <f t="shared" si="3"/>
        <v>2.8511371787858465E-3</v>
      </c>
      <c r="J48">
        <f t="shared" si="4"/>
        <v>93.152708532216934</v>
      </c>
      <c r="K48" s="5">
        <f t="shared" si="5"/>
        <v>113.09393234130746</v>
      </c>
      <c r="L48" s="5">
        <f t="shared" si="6"/>
        <v>8.5113717878584623E-4</v>
      </c>
      <c r="AB48">
        <f t="shared" si="11"/>
        <v>4.0000000000000018</v>
      </c>
      <c r="AC48">
        <f t="shared" si="7"/>
        <v>-96.497776946847807</v>
      </c>
      <c r="AD48">
        <f t="shared" si="8"/>
        <v>1070.0626572402225</v>
      </c>
      <c r="AE48">
        <f t="shared" si="9"/>
        <v>-257.98695969747007</v>
      </c>
      <c r="AF48">
        <f t="shared" si="10"/>
        <v>406.03784877137622</v>
      </c>
    </row>
    <row r="49" spans="2:32">
      <c r="B49">
        <v>0.404296875</v>
      </c>
      <c r="C49">
        <v>6.2012673879507901E-2</v>
      </c>
      <c r="D49">
        <v>5.7783471679687501</v>
      </c>
      <c r="E49" s="5">
        <f t="shared" si="0"/>
        <v>5778.34716796875</v>
      </c>
      <c r="F49" s="5">
        <v>8.74436318554217E-3</v>
      </c>
      <c r="G49">
        <f t="shared" si="1"/>
        <v>115.566943359375</v>
      </c>
      <c r="H49">
        <f t="shared" si="2"/>
        <v>8.74436318554217E-4</v>
      </c>
      <c r="I49">
        <f t="shared" si="3"/>
        <v>2.874054221846549E-3</v>
      </c>
      <c r="J49">
        <f t="shared" si="4"/>
        <v>95.660864309995517</v>
      </c>
      <c r="K49" s="5">
        <f t="shared" si="5"/>
        <v>115.66799929187273</v>
      </c>
      <c r="L49" s="5">
        <f t="shared" si="6"/>
        <v>8.740542218465487E-4</v>
      </c>
      <c r="AB49">
        <f t="shared" si="11"/>
        <v>4.1000000000000014</v>
      </c>
      <c r="AC49">
        <f t="shared" si="7"/>
        <v>-137.3184586745457</v>
      </c>
      <c r="AD49">
        <f t="shared" si="8"/>
        <v>1070.0626572402225</v>
      </c>
      <c r="AE49">
        <f t="shared" si="9"/>
        <v>-257.98695969747007</v>
      </c>
      <c r="AF49">
        <f t="shared" si="10"/>
        <v>406.03784877137622</v>
      </c>
    </row>
    <row r="50" spans="2:32">
      <c r="B50">
        <v>0.4140625</v>
      </c>
      <c r="C50">
        <v>6.3055755163077307E-2</v>
      </c>
      <c r="D50">
        <v>5.8962880859375</v>
      </c>
      <c r="E50" s="5">
        <f t="shared" si="0"/>
        <v>5896.2880859375</v>
      </c>
      <c r="F50" s="5">
        <v>8.9779250629362702E-3</v>
      </c>
      <c r="G50">
        <f t="shared" si="1"/>
        <v>117.92576171875</v>
      </c>
      <c r="H50">
        <f t="shared" si="2"/>
        <v>8.9779250629362704E-4</v>
      </c>
      <c r="I50">
        <f t="shared" si="3"/>
        <v>2.8973897316554552E-3</v>
      </c>
      <c r="J50">
        <f t="shared" si="4"/>
        <v>98.214819181031288</v>
      </c>
      <c r="K50" s="5">
        <f t="shared" si="5"/>
        <v>118.03163458392005</v>
      </c>
      <c r="L50" s="5">
        <f t="shared" si="6"/>
        <v>8.9738973165545514E-4</v>
      </c>
      <c r="AB50">
        <f t="shared" si="11"/>
        <v>4.2000000000000011</v>
      </c>
      <c r="AC50">
        <f t="shared" si="7"/>
        <v>-172.71010227693318</v>
      </c>
      <c r="AD50">
        <f t="shared" si="8"/>
        <v>1070.0626572402225</v>
      </c>
      <c r="AE50">
        <f t="shared" si="9"/>
        <v>-257.98695969747007</v>
      </c>
      <c r="AF50">
        <f t="shared" si="10"/>
        <v>406.03784877137622</v>
      </c>
    </row>
    <row r="51" spans="2:32">
      <c r="B51">
        <v>0.423828125</v>
      </c>
      <c r="C51">
        <v>6.5580010414123494E-2</v>
      </c>
      <c r="D51">
        <v>6.0136401367187498</v>
      </c>
      <c r="E51" s="5">
        <f t="shared" si="0"/>
        <v>6013.64013671875</v>
      </c>
      <c r="F51" s="5">
        <v>9.1828360382351093E-3</v>
      </c>
      <c r="G51">
        <f t="shared" si="1"/>
        <v>120.27280273437501</v>
      </c>
      <c r="H51">
        <f t="shared" si="2"/>
        <v>9.1828360382351093E-4</v>
      </c>
      <c r="I51">
        <f t="shared" si="3"/>
        <v>2.9178622393699681E-3</v>
      </c>
      <c r="J51">
        <f t="shared" si="4"/>
        <v>100.45543278784615</v>
      </c>
      <c r="K51" s="5">
        <f t="shared" si="5"/>
        <v>120.38324727711188</v>
      </c>
      <c r="L51" s="5">
        <f t="shared" si="6"/>
        <v>9.1786223936996805E-4</v>
      </c>
      <c r="AB51">
        <f t="shared" si="11"/>
        <v>4.3000000000000007</v>
      </c>
      <c r="AC51">
        <f t="shared" si="7"/>
        <v>-202.31908615005693</v>
      </c>
      <c r="AD51">
        <f t="shared" si="8"/>
        <v>1070.0626572402225</v>
      </c>
      <c r="AE51">
        <f t="shared" si="9"/>
        <v>-257.98695969747007</v>
      </c>
      <c r="AF51">
        <f t="shared" si="10"/>
        <v>406.03784877137622</v>
      </c>
    </row>
    <row r="52" spans="2:32">
      <c r="B52">
        <v>0.43359375</v>
      </c>
      <c r="C52">
        <v>6.9321693445090204E-2</v>
      </c>
      <c r="D52">
        <v>6.1242641601562502</v>
      </c>
      <c r="E52" s="5">
        <f t="shared" si="0"/>
        <v>6124.26416015625</v>
      </c>
      <c r="F52" s="5">
        <v>9.3648013717029192E-3</v>
      </c>
      <c r="G52">
        <f t="shared" si="1"/>
        <v>122.48528320312499</v>
      </c>
      <c r="H52">
        <f t="shared" si="2"/>
        <v>9.3648013717029189E-4</v>
      </c>
      <c r="I52">
        <f t="shared" si="3"/>
        <v>2.9360419132173133E-3</v>
      </c>
      <c r="J52">
        <f t="shared" si="4"/>
        <v>102.44510719206883</v>
      </c>
      <c r="K52" s="5">
        <f t="shared" si="5"/>
        <v>122.59998823794039</v>
      </c>
      <c r="L52" s="5">
        <f t="shared" si="6"/>
        <v>9.3604191321731316E-4</v>
      </c>
      <c r="AB52">
        <f t="shared" si="11"/>
        <v>4.4000000000000004</v>
      </c>
      <c r="AC52">
        <f t="shared" si="7"/>
        <v>-225.84956711448581</v>
      </c>
      <c r="AD52">
        <f t="shared" si="8"/>
        <v>1070.0626572402225</v>
      </c>
      <c r="AE52">
        <f t="shared" si="9"/>
        <v>-257.98695969747007</v>
      </c>
      <c r="AF52">
        <f t="shared" si="10"/>
        <v>406.03784877137622</v>
      </c>
    </row>
    <row r="53" spans="2:32">
      <c r="B53">
        <v>0.443359375</v>
      </c>
      <c r="C53">
        <v>7.0731344749219702E-2</v>
      </c>
      <c r="D53">
        <v>6.2285048828124996</v>
      </c>
      <c r="E53" s="5">
        <f t="shared" si="0"/>
        <v>6228.5048828125</v>
      </c>
      <c r="F53" s="5">
        <v>9.5669629445183108E-3</v>
      </c>
      <c r="G53">
        <f t="shared" si="1"/>
        <v>124.57009765625</v>
      </c>
      <c r="H53">
        <f t="shared" si="2"/>
        <v>9.5669629445183113E-4</v>
      </c>
      <c r="I53">
        <f t="shared" si="3"/>
        <v>2.956238952220424E-3</v>
      </c>
      <c r="J53">
        <f t="shared" si="4"/>
        <v>104.65557212576432</v>
      </c>
      <c r="K53" s="5">
        <f t="shared" si="5"/>
        <v>124.68927340707724</v>
      </c>
      <c r="L53" s="5">
        <f t="shared" si="6"/>
        <v>9.5623895222042414E-4</v>
      </c>
      <c r="AB53">
        <f t="shared" si="11"/>
        <v>4.5</v>
      </c>
      <c r="AC53">
        <f t="shared" si="7"/>
        <v>-243.06643638256605</v>
      </c>
      <c r="AD53">
        <f t="shared" si="8"/>
        <v>1070.0626572402225</v>
      </c>
      <c r="AE53">
        <f t="shared" si="9"/>
        <v>-257.98695969747007</v>
      </c>
      <c r="AF53">
        <f t="shared" si="10"/>
        <v>406.03784877137622</v>
      </c>
    </row>
    <row r="54" spans="2:32">
      <c r="B54">
        <v>0.453125</v>
      </c>
      <c r="C54">
        <v>7.1434675191994798E-2</v>
      </c>
      <c r="D54">
        <v>6.3642089843749998</v>
      </c>
      <c r="E54" s="5">
        <f t="shared" si="0"/>
        <v>6364.208984375</v>
      </c>
      <c r="F54" s="5">
        <v>9.7219835879513994E-3</v>
      </c>
      <c r="G54">
        <f t="shared" si="1"/>
        <v>127.2841796875</v>
      </c>
      <c r="H54">
        <f t="shared" si="2"/>
        <v>9.7219835879513994E-4</v>
      </c>
      <c r="I54">
        <f t="shared" si="3"/>
        <v>2.9717260800450158E-3</v>
      </c>
      <c r="J54">
        <f t="shared" si="4"/>
        <v>106.35056083052673</v>
      </c>
      <c r="K54" s="5">
        <f t="shared" si="5"/>
        <v>127.40792515809278</v>
      </c>
      <c r="L54" s="5">
        <f t="shared" si="6"/>
        <v>9.7172608004501555E-4</v>
      </c>
      <c r="AB54">
        <f t="shared" si="11"/>
        <v>4.5999999999999996</v>
      </c>
      <c r="AC54">
        <f t="shared" si="7"/>
        <v>-253.79766868771117</v>
      </c>
      <c r="AD54">
        <f t="shared" si="8"/>
        <v>1070.0626572402225</v>
      </c>
      <c r="AE54">
        <f t="shared" si="9"/>
        <v>-257.98695969747007</v>
      </c>
      <c r="AF54">
        <f t="shared" si="10"/>
        <v>406.03784877137622</v>
      </c>
    </row>
    <row r="55" spans="2:32">
      <c r="B55">
        <v>0.462890625</v>
      </c>
      <c r="C55">
        <v>7.4058771133422893E-2</v>
      </c>
      <c r="D55">
        <v>6.4799550781250002</v>
      </c>
      <c r="E55" s="5">
        <f t="shared" si="0"/>
        <v>6479.955078125</v>
      </c>
      <c r="F55" s="5">
        <v>1.00683027994819E-2</v>
      </c>
      <c r="G55">
        <f t="shared" si="1"/>
        <v>129.59910156250001</v>
      </c>
      <c r="H55">
        <f t="shared" si="2"/>
        <v>1.0068302799481901E-3</v>
      </c>
      <c r="I55">
        <f t="shared" si="3"/>
        <v>3.0063237662955582E-3</v>
      </c>
      <c r="J55">
        <f t="shared" si="4"/>
        <v>110.13710460221735</v>
      </c>
      <c r="K55" s="5">
        <f t="shared" si="5"/>
        <v>129.72958586220722</v>
      </c>
      <c r="L55" s="5">
        <f t="shared" si="6"/>
        <v>1.006323766295558E-3</v>
      </c>
      <c r="AB55">
        <f t="shared" si="11"/>
        <v>4.6999999999999993</v>
      </c>
      <c r="AC55">
        <f t="shared" si="7"/>
        <v>-257.93604110400202</v>
      </c>
      <c r="AD55">
        <f t="shared" si="8"/>
        <v>1070.0626572402225</v>
      </c>
      <c r="AE55">
        <f t="shared" si="9"/>
        <v>-257.98695969747007</v>
      </c>
      <c r="AF55">
        <f t="shared" si="10"/>
        <v>406.03784877137622</v>
      </c>
    </row>
    <row r="56" spans="2:32">
      <c r="B56">
        <v>0.47265625</v>
      </c>
      <c r="C56">
        <v>7.5253847171552493E-2</v>
      </c>
      <c r="D56">
        <v>6.6213325195312498</v>
      </c>
      <c r="E56" s="5">
        <f t="shared" si="0"/>
        <v>6621.33251953125</v>
      </c>
      <c r="F56" s="5">
        <v>1.0265039236401201E-2</v>
      </c>
      <c r="G56">
        <f t="shared" si="1"/>
        <v>132.42665039062501</v>
      </c>
      <c r="H56">
        <f t="shared" si="2"/>
        <v>1.0265039236401201E-3</v>
      </c>
      <c r="I56">
        <f t="shared" si="3"/>
        <v>3.0259774287560689E-3</v>
      </c>
      <c r="J56">
        <f t="shared" si="4"/>
        <v>112.28809969020796</v>
      </c>
      <c r="K56" s="5">
        <f t="shared" si="5"/>
        <v>132.56258686684552</v>
      </c>
      <c r="L56" s="5">
        <f t="shared" si="6"/>
        <v>1.0259774287560688E-3</v>
      </c>
      <c r="AB56">
        <f t="shared" si="11"/>
        <v>4.7999999999999989</v>
      </c>
      <c r="AC56">
        <f t="shared" si="7"/>
        <v>-255.44020438221912</v>
      </c>
      <c r="AD56">
        <f t="shared" si="8"/>
        <v>1070.0626572402225</v>
      </c>
      <c r="AE56">
        <f t="shared" si="9"/>
        <v>-257.98695969747007</v>
      </c>
      <c r="AF56">
        <f t="shared" si="10"/>
        <v>406.03784877137622</v>
      </c>
    </row>
    <row r="57" spans="2:32">
      <c r="B57">
        <v>0.482421875</v>
      </c>
      <c r="C57">
        <v>7.66456141718663E-2</v>
      </c>
      <c r="D57">
        <v>6.7439609374999998</v>
      </c>
      <c r="E57" s="5">
        <f t="shared" si="0"/>
        <v>6743.9609375</v>
      </c>
      <c r="F57" s="5">
        <v>1.05268700281158E-2</v>
      </c>
      <c r="G57">
        <f t="shared" si="1"/>
        <v>134.87921875000001</v>
      </c>
      <c r="H57">
        <f t="shared" si="2"/>
        <v>1.05268700281158E-3</v>
      </c>
      <c r="I57">
        <f t="shared" si="3"/>
        <v>3.0521333163869039E-3</v>
      </c>
      <c r="J57">
        <f t="shared" si="4"/>
        <v>115.15073081196469</v>
      </c>
      <c r="K57" s="5">
        <f t="shared" si="5"/>
        <v>135.02120435052751</v>
      </c>
      <c r="L57" s="5">
        <f t="shared" si="6"/>
        <v>1.0521333163869039E-3</v>
      </c>
      <c r="AB57">
        <f t="shared" si="11"/>
        <v>4.8999999999999986</v>
      </c>
      <c r="AC57">
        <f t="shared" si="7"/>
        <v>-246.33509609787257</v>
      </c>
      <c r="AD57">
        <f t="shared" si="8"/>
        <v>1070.0626572402225</v>
      </c>
      <c r="AE57">
        <f t="shared" si="9"/>
        <v>-257.98695969747007</v>
      </c>
      <c r="AF57">
        <f t="shared" si="10"/>
        <v>406.03784877137622</v>
      </c>
    </row>
    <row r="58" spans="2:32">
      <c r="B58">
        <v>0.4921875</v>
      </c>
      <c r="C58">
        <v>7.9776349593885201E-2</v>
      </c>
      <c r="D58">
        <v>6.8214179687499996</v>
      </c>
      <c r="E58" s="5">
        <f t="shared" si="0"/>
        <v>6821.41796875</v>
      </c>
      <c r="F58" s="5">
        <v>1.0697022844397001E-2</v>
      </c>
      <c r="G58">
        <f t="shared" si="1"/>
        <v>136.42835937500001</v>
      </c>
      <c r="H58">
        <f t="shared" si="2"/>
        <v>1.0697022844397002E-3</v>
      </c>
      <c r="I58">
        <f t="shared" si="3"/>
        <v>3.0691305606308844E-3</v>
      </c>
      <c r="J58">
        <f t="shared" si="4"/>
        <v>117.01099420824714</v>
      </c>
      <c r="K58" s="5">
        <f t="shared" si="5"/>
        <v>136.57429710268582</v>
      </c>
      <c r="L58" s="5">
        <f t="shared" si="6"/>
        <v>1.0691305606308843E-3</v>
      </c>
      <c r="AB58">
        <f t="shared" si="11"/>
        <v>4.9999999999999982</v>
      </c>
      <c r="AC58">
        <f t="shared" si="7"/>
        <v>-230.71169148319086</v>
      </c>
      <c r="AD58">
        <f t="shared" si="8"/>
        <v>1070.0626572402225</v>
      </c>
      <c r="AE58">
        <f t="shared" si="9"/>
        <v>-257.98695969747007</v>
      </c>
      <c r="AF58">
        <f t="shared" si="10"/>
        <v>406.03784877137622</v>
      </c>
    </row>
    <row r="59" spans="2:32">
      <c r="B59">
        <v>0.501953125</v>
      </c>
      <c r="C59">
        <v>8.0634650657884804E-2</v>
      </c>
      <c r="D59">
        <v>6.9427421875000004</v>
      </c>
      <c r="E59" s="5">
        <f t="shared" si="0"/>
        <v>6942.7421875</v>
      </c>
      <c r="F59" s="5">
        <v>1.08825242932653E-2</v>
      </c>
      <c r="G59">
        <f t="shared" si="1"/>
        <v>138.85484374999999</v>
      </c>
      <c r="H59">
        <f t="shared" si="2"/>
        <v>1.0882524293265301E-3</v>
      </c>
      <c r="I59">
        <f t="shared" si="3"/>
        <v>3.087660711904602E-3</v>
      </c>
      <c r="J59">
        <f t="shared" si="4"/>
        <v>119.03902661439916</v>
      </c>
      <c r="K59" s="5">
        <f t="shared" si="5"/>
        <v>139.00595287103468</v>
      </c>
      <c r="L59" s="5">
        <f t="shared" si="6"/>
        <v>1.087660711904602E-3</v>
      </c>
      <c r="AB59">
        <f t="shared" si="11"/>
        <v>5.0999999999999979</v>
      </c>
      <c r="AC59">
        <f t="shared" si="7"/>
        <v>-208.72609443267299</v>
      </c>
      <c r="AD59">
        <f t="shared" si="8"/>
        <v>1070.0626572402225</v>
      </c>
      <c r="AE59">
        <f t="shared" si="9"/>
        <v>-257.98695969747007</v>
      </c>
      <c r="AF59">
        <f t="shared" si="10"/>
        <v>406.03784877137622</v>
      </c>
    </row>
    <row r="60" spans="2:32">
      <c r="B60">
        <v>0.51171875</v>
      </c>
      <c r="C60">
        <v>8.2245467638131203E-2</v>
      </c>
      <c r="D60">
        <v>7.0424560546875004</v>
      </c>
      <c r="E60" s="5">
        <f t="shared" si="0"/>
        <v>7042.4560546875</v>
      </c>
      <c r="F60" s="5">
        <v>1.1095296031271599E-2</v>
      </c>
      <c r="G60">
        <f t="shared" si="1"/>
        <v>140.84912109375</v>
      </c>
      <c r="H60">
        <f t="shared" si="2"/>
        <v>1.1095296031271599E-3</v>
      </c>
      <c r="I60">
        <f t="shared" si="3"/>
        <v>3.1089145300761808E-3</v>
      </c>
      <c r="J60">
        <f t="shared" si="4"/>
        <v>121.36515074418759</v>
      </c>
      <c r="K60" s="5">
        <f t="shared" si="5"/>
        <v>141.00539736317796</v>
      </c>
      <c r="L60" s="5">
        <f t="shared" si="6"/>
        <v>1.1089145300761806E-3</v>
      </c>
      <c r="AB60">
        <f t="shared" si="11"/>
        <v>5.1999999999999975</v>
      </c>
      <c r="AC60">
        <f t="shared" si="7"/>
        <v>-180.59797776457549</v>
      </c>
      <c r="AD60">
        <f t="shared" si="8"/>
        <v>1070.0626572402225</v>
      </c>
      <c r="AE60">
        <f t="shared" si="9"/>
        <v>-257.98695969747007</v>
      </c>
      <c r="AF60">
        <f t="shared" si="10"/>
        <v>406.03784877137622</v>
      </c>
    </row>
    <row r="61" spans="2:32">
      <c r="B61">
        <v>0.521484375</v>
      </c>
      <c r="C61">
        <v>8.37922125356272E-2</v>
      </c>
      <c r="D61">
        <v>7.1635083007812499</v>
      </c>
      <c r="E61" s="5">
        <f t="shared" si="0"/>
        <v>7163.50830078125</v>
      </c>
      <c r="F61" s="5">
        <v>1.1239937521168E-2</v>
      </c>
      <c r="G61">
        <f t="shared" si="1"/>
        <v>143.27016601562499</v>
      </c>
      <c r="H61">
        <f t="shared" si="2"/>
        <v>1.1239937521168E-3</v>
      </c>
      <c r="I61">
        <f t="shared" si="3"/>
        <v>3.1233625440777232E-3</v>
      </c>
      <c r="J61">
        <f t="shared" si="4"/>
        <v>122.94641363658641</v>
      </c>
      <c r="K61" s="5">
        <f t="shared" si="5"/>
        <v>143.43120078709129</v>
      </c>
      <c r="L61" s="5">
        <f t="shared" si="6"/>
        <v>1.1233625440777231E-3</v>
      </c>
      <c r="AB61">
        <f t="shared" si="11"/>
        <v>5.2999999999999972</v>
      </c>
      <c r="AC61">
        <f t="shared" si="7"/>
        <v>-146.60838832272691</v>
      </c>
      <c r="AD61">
        <f t="shared" si="8"/>
        <v>1070.0626572402225</v>
      </c>
      <c r="AE61">
        <f t="shared" si="9"/>
        <v>-257.98695969747007</v>
      </c>
      <c r="AF61">
        <f t="shared" si="10"/>
        <v>406.03784877137622</v>
      </c>
    </row>
    <row r="62" spans="2:32">
      <c r="B62">
        <v>0.53125</v>
      </c>
      <c r="C62">
        <v>8.6745618318673196E-2</v>
      </c>
      <c r="D62">
        <v>7.2930595703124999</v>
      </c>
      <c r="E62" s="5">
        <f t="shared" si="0"/>
        <v>7293.0595703125</v>
      </c>
      <c r="F62" s="5">
        <v>1.15277143777348E-2</v>
      </c>
      <c r="G62">
        <f t="shared" si="1"/>
        <v>145.86119140624999</v>
      </c>
      <c r="H62">
        <f t="shared" si="2"/>
        <v>1.1527714377734799E-3</v>
      </c>
      <c r="I62">
        <f t="shared" si="3"/>
        <v>3.1521075069709326E-3</v>
      </c>
      <c r="J62">
        <f t="shared" si="4"/>
        <v>126.09240610043371</v>
      </c>
      <c r="K62" s="5">
        <f t="shared" si="5"/>
        <v>146.02933602158271</v>
      </c>
      <c r="L62" s="5">
        <f t="shared" si="6"/>
        <v>1.1521075069709326E-3</v>
      </c>
      <c r="AB62">
        <f t="shared" si="11"/>
        <v>5.3999999999999968</v>
      </c>
      <c r="AC62">
        <f t="shared" si="7"/>
        <v>-107.09693884936576</v>
      </c>
      <c r="AD62">
        <f t="shared" si="8"/>
        <v>1070.0626572402225</v>
      </c>
      <c r="AE62">
        <f t="shared" si="9"/>
        <v>-257.98695969747007</v>
      </c>
      <c r="AF62">
        <f t="shared" si="10"/>
        <v>406.03784877137622</v>
      </c>
    </row>
    <row r="63" spans="2:32">
      <c r="B63">
        <v>0.541015625</v>
      </c>
      <c r="C63">
        <v>8.7824460933916298E-2</v>
      </c>
      <c r="D63">
        <v>7.3718149414062504</v>
      </c>
      <c r="E63" s="5">
        <f t="shared" si="0"/>
        <v>7371.81494140625</v>
      </c>
      <c r="F63" s="5">
        <v>1.16689343485632E-2</v>
      </c>
      <c r="G63">
        <f t="shared" si="1"/>
        <v>147.43629882812499</v>
      </c>
      <c r="H63">
        <f t="shared" si="2"/>
        <v>1.16689343485632E-3</v>
      </c>
      <c r="I63">
        <f t="shared" si="3"/>
        <v>3.1662131438787849E-3</v>
      </c>
      <c r="J63">
        <f t="shared" si="4"/>
        <v>127.63619753181361</v>
      </c>
      <c r="K63" s="5">
        <f t="shared" si="5"/>
        <v>147.60834127728705</v>
      </c>
      <c r="L63" s="5">
        <f t="shared" si="6"/>
        <v>1.1662131438787849E-3</v>
      </c>
      <c r="AB63">
        <f t="shared" si="11"/>
        <v>5.4999999999999964</v>
      </c>
      <c r="AC63">
        <f t="shared" si="7"/>
        <v>-62.458414686881156</v>
      </c>
      <c r="AD63">
        <f t="shared" si="8"/>
        <v>1070.0626572402225</v>
      </c>
      <c r="AE63">
        <f t="shared" si="9"/>
        <v>-257.98695969747007</v>
      </c>
      <c r="AF63">
        <f t="shared" si="10"/>
        <v>406.03784877137622</v>
      </c>
    </row>
    <row r="64" spans="2:32">
      <c r="B64">
        <v>0.55078125</v>
      </c>
      <c r="C64">
        <v>8.9487431978341206E-2</v>
      </c>
      <c r="D64">
        <v>7.4845942382812503</v>
      </c>
      <c r="E64" s="5">
        <f t="shared" si="0"/>
        <v>7484.59423828125</v>
      </c>
      <c r="F64" s="5">
        <v>1.18321750051109E-2</v>
      </c>
      <c r="G64">
        <f t="shared" si="1"/>
        <v>149.69188476562499</v>
      </c>
      <c r="H64">
        <f t="shared" si="2"/>
        <v>1.1832175005110899E-3</v>
      </c>
      <c r="I64">
        <f t="shared" si="3"/>
        <v>3.1825180503644024E-3</v>
      </c>
      <c r="J64">
        <f t="shared" si="4"/>
        <v>129.420688022132</v>
      </c>
      <c r="K64" s="5">
        <f t="shared" si="5"/>
        <v>149.86900282336416</v>
      </c>
      <c r="L64" s="5">
        <f t="shared" si="6"/>
        <v>1.1825180503644021E-3</v>
      </c>
      <c r="AB64">
        <f t="shared" si="11"/>
        <v>5.5999999999999961</v>
      </c>
      <c r="AC64">
        <f t="shared" si="7"/>
        <v>-13.138829213170084</v>
      </c>
      <c r="AD64">
        <f t="shared" si="8"/>
        <v>1070.0626572402225</v>
      </c>
      <c r="AE64">
        <f t="shared" si="9"/>
        <v>-257.98695969747007</v>
      </c>
      <c r="AF64">
        <f t="shared" si="10"/>
        <v>406.03784877137622</v>
      </c>
    </row>
    <row r="65" spans="2:32">
      <c r="B65">
        <v>0.560546875</v>
      </c>
      <c r="C65">
        <v>9.1445443104021307E-2</v>
      </c>
      <c r="D65">
        <v>7.5760649414062504</v>
      </c>
      <c r="E65" s="5">
        <f t="shared" si="0"/>
        <v>7576.06494140625</v>
      </c>
      <c r="F65" s="5">
        <v>1.20620088637224E-2</v>
      </c>
      <c r="G65">
        <f t="shared" si="1"/>
        <v>151.521298828125</v>
      </c>
      <c r="H65">
        <f t="shared" si="2"/>
        <v>1.2062008863722401E-3</v>
      </c>
      <c r="I65">
        <f t="shared" si="3"/>
        <v>3.2054740105299101E-3</v>
      </c>
      <c r="J65">
        <f t="shared" si="4"/>
        <v>131.933103082446</v>
      </c>
      <c r="K65" s="5">
        <f t="shared" si="5"/>
        <v>151.70406395307575</v>
      </c>
      <c r="L65" s="5">
        <f t="shared" si="6"/>
        <v>1.2054740105299101E-3</v>
      </c>
      <c r="AB65">
        <f t="shared" si="11"/>
        <v>5.6999999999999957</v>
      </c>
      <c r="AC65">
        <f t="shared" si="7"/>
        <v>40.369032576601228</v>
      </c>
      <c r="AD65">
        <f t="shared" si="8"/>
        <v>1070.0626572402225</v>
      </c>
      <c r="AE65">
        <f t="shared" si="9"/>
        <v>-257.98695969747007</v>
      </c>
      <c r="AF65">
        <f t="shared" si="10"/>
        <v>406.03784877137622</v>
      </c>
    </row>
    <row r="66" spans="2:32">
      <c r="B66">
        <v>0.5703125</v>
      </c>
      <c r="C66">
        <v>9.0707835624925806E-2</v>
      </c>
      <c r="D66">
        <v>7.6761093750000002</v>
      </c>
      <c r="E66" s="5">
        <f t="shared" si="0"/>
        <v>7676.109375</v>
      </c>
      <c r="F66" s="5">
        <v>1.22417559396126E-2</v>
      </c>
      <c r="G66">
        <f t="shared" si="1"/>
        <v>153.5221875</v>
      </c>
      <c r="H66">
        <f t="shared" si="2"/>
        <v>1.22417559396126E-3</v>
      </c>
      <c r="I66">
        <f t="shared" si="3"/>
        <v>3.2234269019768488E-3</v>
      </c>
      <c r="J66">
        <f t="shared" si="4"/>
        <v>133.89795728685618</v>
      </c>
      <c r="K66" s="5">
        <f t="shared" si="5"/>
        <v>153.71012561506905</v>
      </c>
      <c r="L66" s="5">
        <f t="shared" si="6"/>
        <v>1.2234269019768486E-3</v>
      </c>
      <c r="AB66">
        <f t="shared" si="11"/>
        <v>5.7999999999999954</v>
      </c>
      <c r="AC66">
        <f t="shared" si="7"/>
        <v>97.530537814777176</v>
      </c>
      <c r="AD66">
        <f t="shared" si="8"/>
        <v>1070.0626572402225</v>
      </c>
      <c r="AE66">
        <f t="shared" si="9"/>
        <v>-257.98695969747007</v>
      </c>
      <c r="AF66">
        <f t="shared" si="10"/>
        <v>406.03784877137622</v>
      </c>
    </row>
    <row r="67" spans="2:32">
      <c r="B67">
        <v>0.580078125</v>
      </c>
      <c r="C67">
        <v>9.2050431703683003E-2</v>
      </c>
      <c r="D67">
        <v>7.79497412109375</v>
      </c>
      <c r="E67" s="5">
        <f t="shared" si="0"/>
        <v>7794.97412109375</v>
      </c>
      <c r="F67" s="5">
        <v>1.2497190255089699E-2</v>
      </c>
      <c r="G67">
        <f t="shared" si="1"/>
        <v>155.89948242187501</v>
      </c>
      <c r="H67">
        <f t="shared" si="2"/>
        <v>1.24971902550897E-3</v>
      </c>
      <c r="I67">
        <f t="shared" si="3"/>
        <v>3.2489387766811558E-3</v>
      </c>
      <c r="J67">
        <f t="shared" si="4"/>
        <v>136.69010441386908</v>
      </c>
      <c r="K67" s="5">
        <f t="shared" si="5"/>
        <v>156.09431297112462</v>
      </c>
      <c r="L67" s="5">
        <f t="shared" si="6"/>
        <v>1.2489387766811556E-3</v>
      </c>
      <c r="AB67">
        <f t="shared" si="11"/>
        <v>5.899999999999995</v>
      </c>
      <c r="AC67">
        <f t="shared" si="7"/>
        <v>157.77454763609927</v>
      </c>
      <c r="AD67">
        <f t="shared" si="8"/>
        <v>1070.0626572402225</v>
      </c>
      <c r="AE67">
        <f t="shared" si="9"/>
        <v>-257.98695969747007</v>
      </c>
      <c r="AF67">
        <f t="shared" si="10"/>
        <v>406.03784877137622</v>
      </c>
    </row>
    <row r="68" spans="2:32">
      <c r="B68">
        <v>0.58984375</v>
      </c>
      <c r="C68">
        <v>9.5757844974286896E-2</v>
      </c>
      <c r="D68">
        <v>7.8952719726562499</v>
      </c>
      <c r="E68" s="5">
        <f t="shared" si="0"/>
        <v>7895.27197265625</v>
      </c>
      <c r="F68" s="5">
        <v>1.25815067804069E-2</v>
      </c>
      <c r="G68">
        <f t="shared" si="1"/>
        <v>157.90543945312501</v>
      </c>
      <c r="H68">
        <f t="shared" si="2"/>
        <v>1.25815067804069E-3</v>
      </c>
      <c r="I68">
        <f t="shared" si="3"/>
        <v>3.2573598697108914E-3</v>
      </c>
      <c r="J68">
        <f t="shared" si="4"/>
        <v>137.61175094050853</v>
      </c>
      <c r="K68" s="5">
        <f t="shared" si="5"/>
        <v>158.10410828883929</v>
      </c>
      <c r="L68" s="5">
        <f t="shared" si="6"/>
        <v>1.2573598697108916E-3</v>
      </c>
      <c r="AB68">
        <f t="shared" si="11"/>
        <v>5.9999999999999947</v>
      </c>
      <c r="AC68">
        <f t="shared" si="7"/>
        <v>220.49912380845487</v>
      </c>
      <c r="AD68">
        <f t="shared" si="8"/>
        <v>1070.0626572402225</v>
      </c>
      <c r="AE68">
        <f t="shared" si="9"/>
        <v>-257.98695969747007</v>
      </c>
      <c r="AF68">
        <f t="shared" si="10"/>
        <v>406.03784877137622</v>
      </c>
    </row>
    <row r="69" spans="2:32">
      <c r="B69">
        <v>0.599609375</v>
      </c>
      <c r="C69">
        <v>9.7975134849548298E-2</v>
      </c>
      <c r="D69">
        <v>8.0117236328124992</v>
      </c>
      <c r="E69" s="5">
        <f t="shared" si="0"/>
        <v>8011.7236328124991</v>
      </c>
      <c r="F69" s="5">
        <v>1.2771237379638501E-2</v>
      </c>
      <c r="G69">
        <f t="shared" si="1"/>
        <v>160.23447265624998</v>
      </c>
      <c r="H69">
        <f t="shared" si="2"/>
        <v>1.27712373796385E-3</v>
      </c>
      <c r="I69">
        <f t="shared" si="3"/>
        <v>3.2763089091271949E-3</v>
      </c>
      <c r="J69">
        <f t="shared" si="4"/>
        <v>139.68562855942582</v>
      </c>
      <c r="K69" s="5">
        <f t="shared" si="5"/>
        <v>160.4391119049194</v>
      </c>
      <c r="L69" s="5">
        <f t="shared" si="6"/>
        <v>1.2763089091271946E-3</v>
      </c>
      <c r="AB69">
        <f t="shared" si="11"/>
        <v>6.0999999999999943</v>
      </c>
      <c r="AC69">
        <f t="shared" si="7"/>
        <v>285.07754310071806</v>
      </c>
      <c r="AD69">
        <f t="shared" si="8"/>
        <v>1070.0626572402225</v>
      </c>
      <c r="AE69">
        <f t="shared" si="9"/>
        <v>-257.98695969747007</v>
      </c>
      <c r="AF69">
        <f t="shared" si="10"/>
        <v>406.03784877137622</v>
      </c>
    </row>
    <row r="70" spans="2:32">
      <c r="B70">
        <v>0.609375</v>
      </c>
      <c r="C70">
        <v>9.9317730928305495E-2</v>
      </c>
      <c r="D70">
        <v>8.1159296874999995</v>
      </c>
      <c r="E70" s="5">
        <f t="shared" si="0"/>
        <v>8115.9296875</v>
      </c>
      <c r="F70" s="5">
        <v>1.30028865896747E-2</v>
      </c>
      <c r="G70">
        <f t="shared" si="1"/>
        <v>162.31859374999999</v>
      </c>
      <c r="H70">
        <f t="shared" si="2"/>
        <v>1.3002886589674699E-3</v>
      </c>
      <c r="I70">
        <f t="shared" si="3"/>
        <v>3.2994440157765132E-3</v>
      </c>
      <c r="J70">
        <f t="shared" si="4"/>
        <v>142.21765030666049</v>
      </c>
      <c r="K70" s="5">
        <f t="shared" si="5"/>
        <v>162.52965477659265</v>
      </c>
      <c r="L70" s="5">
        <f t="shared" si="6"/>
        <v>1.2994440157765132E-3</v>
      </c>
      <c r="AB70">
        <f t="shared" si="11"/>
        <v>6.199999999999994</v>
      </c>
      <c r="AC70">
        <f t="shared" si="7"/>
        <v>350.86455929410783</v>
      </c>
      <c r="AD70">
        <f t="shared" si="8"/>
        <v>1070.0626572402225</v>
      </c>
      <c r="AE70">
        <f t="shared" si="9"/>
        <v>-257.98695969747007</v>
      </c>
      <c r="AF70">
        <f t="shared" si="10"/>
        <v>406.03784877137622</v>
      </c>
    </row>
    <row r="71" spans="2:32">
      <c r="B71">
        <v>0.619140625</v>
      </c>
      <c r="C71">
        <v>0.100862976978533</v>
      </c>
      <c r="D71">
        <v>8.217904296875</v>
      </c>
      <c r="E71" s="5">
        <f t="shared" si="0"/>
        <v>8217.904296875</v>
      </c>
      <c r="F71" s="5">
        <v>1.31521364892251E-2</v>
      </c>
      <c r="G71">
        <f t="shared" si="1"/>
        <v>164.35808593749999</v>
      </c>
      <c r="H71">
        <f t="shared" si="2"/>
        <v>1.3152136489225099E-3</v>
      </c>
      <c r="I71">
        <f t="shared" si="3"/>
        <v>3.3143495130505633E-3</v>
      </c>
      <c r="J71">
        <f t="shared" si="4"/>
        <v>143.84898245581891</v>
      </c>
      <c r="K71" s="5">
        <f t="shared" si="5"/>
        <v>164.57425193543577</v>
      </c>
      <c r="L71" s="5">
        <f t="shared" si="6"/>
        <v>1.3143495130505634E-3</v>
      </c>
      <c r="AB71">
        <f t="shared" si="11"/>
        <v>6.2999999999999936</v>
      </c>
      <c r="AC71">
        <f t="shared" si="7"/>
        <v>417.2028502691162</v>
      </c>
      <c r="AD71">
        <f t="shared" si="8"/>
        <v>1070.0626572402225</v>
      </c>
      <c r="AE71">
        <f t="shared" si="9"/>
        <v>-257.98695969747007</v>
      </c>
      <c r="AF71">
        <f t="shared" si="10"/>
        <v>406.03784877137622</v>
      </c>
    </row>
    <row r="72" spans="2:32">
      <c r="B72">
        <v>0.62890625</v>
      </c>
      <c r="C72">
        <v>0.101207195257302</v>
      </c>
      <c r="D72">
        <v>8.311916015625</v>
      </c>
      <c r="E72" s="5">
        <f t="shared" si="0"/>
        <v>8311.916015625</v>
      </c>
      <c r="F72" s="5">
        <v>1.3365955055633099E-2</v>
      </c>
      <c r="G72">
        <f t="shared" si="1"/>
        <v>166.23832031250001</v>
      </c>
      <c r="H72">
        <f t="shared" si="2"/>
        <v>1.3365955055633098E-3</v>
      </c>
      <c r="I72">
        <f t="shared" si="3"/>
        <v>3.3357030569306058E-3</v>
      </c>
      <c r="J72">
        <f t="shared" si="4"/>
        <v>146.18602106577015</v>
      </c>
      <c r="K72" s="5">
        <f t="shared" si="5"/>
        <v>166.46051370428208</v>
      </c>
      <c r="L72" s="5">
        <f t="shared" si="6"/>
        <v>1.3357030569306058E-3</v>
      </c>
      <c r="AB72">
        <f t="shared" si="11"/>
        <v>6.3999999999999932</v>
      </c>
      <c r="AC72">
        <f t="shared" si="7"/>
        <v>483.42958575084435</v>
      </c>
      <c r="AD72">
        <f t="shared" si="8"/>
        <v>1070.0626572402225</v>
      </c>
      <c r="AE72">
        <f t="shared" si="9"/>
        <v>-257.98695969747007</v>
      </c>
      <c r="AF72">
        <f t="shared" si="10"/>
        <v>406.03784877137622</v>
      </c>
    </row>
    <row r="73" spans="2:32">
      <c r="B73">
        <v>0.638671875</v>
      </c>
      <c r="C73">
        <v>0.102993843029253</v>
      </c>
      <c r="D73">
        <v>8.4209697265625003</v>
      </c>
      <c r="E73" s="5">
        <f t="shared" ref="E73:E136" si="12" xml:space="preserve"> D73*R$3</f>
        <v>8420.9697265625</v>
      </c>
      <c r="F73" s="5">
        <v>1.3555949408328201E-2</v>
      </c>
      <c r="G73">
        <f t="shared" ref="G73:G136" si="13" xml:space="preserve"> E73/C$3</f>
        <v>168.41939453124999</v>
      </c>
      <c r="H73">
        <f t="shared" ref="H73:H136" si="14" xml:space="preserve"> F73/C$4</f>
        <v>1.35559494083282E-3</v>
      </c>
      <c r="I73">
        <f t="shared" ref="I73:I136" si="15">L73+0.002</f>
        <v>3.3546769515317943E-3</v>
      </c>
      <c r="J73">
        <f t="shared" ref="J73:J136" si="16">L73*G$2</f>
        <v>148.26261896039722</v>
      </c>
      <c r="K73" s="5">
        <f t="shared" ref="K73:K136" si="17" xml:space="preserve"> G73 * (1 + H73)</f>
        <v>168.64770301041469</v>
      </c>
      <c r="L73" s="5">
        <f t="shared" ref="L73:L136" si="18">LN(1 + H73)</f>
        <v>1.3546769515317943E-3</v>
      </c>
      <c r="AB73">
        <f t="shared" si="11"/>
        <v>6.4999999999999929</v>
      </c>
      <c r="AC73">
        <f t="shared" ref="AC73:AC136" si="19">406.038 + 664.025*SIN(AB73)</f>
        <v>548.88305009000715</v>
      </c>
      <c r="AD73">
        <f t="shared" ref="AD73:AD136" si="20">J$2</f>
        <v>1070.0626572402225</v>
      </c>
      <c r="AE73">
        <f t="shared" ref="AE73:AE136" si="21">N$4</f>
        <v>-257.98695969747007</v>
      </c>
      <c r="AF73">
        <f t="shared" ref="AF73:AF136" si="22">W$4</f>
        <v>406.03784877137622</v>
      </c>
    </row>
    <row r="74" spans="2:32">
      <c r="B74">
        <v>0.6484375</v>
      </c>
      <c r="C74">
        <v>0.10479390766704499</v>
      </c>
      <c r="D74">
        <v>8.5376181640625006</v>
      </c>
      <c r="E74" s="5">
        <f t="shared" si="12"/>
        <v>8537.6181640625</v>
      </c>
      <c r="F74" s="5">
        <v>1.37836777867051E-2</v>
      </c>
      <c r="G74">
        <f t="shared" si="13"/>
        <v>170.75236328125001</v>
      </c>
      <c r="H74">
        <f t="shared" si="14"/>
        <v>1.3783677786705099E-3</v>
      </c>
      <c r="I74">
        <f t="shared" si="15"/>
        <v>3.3774187018217336E-3</v>
      </c>
      <c r="J74">
        <f t="shared" si="16"/>
        <v>150.75158982087964</v>
      </c>
      <c r="K74" s="5">
        <f t="shared" si="17"/>
        <v>170.98772283692873</v>
      </c>
      <c r="L74" s="5">
        <f t="shared" si="18"/>
        <v>1.3774187018217338E-3</v>
      </c>
      <c r="AB74">
        <f t="shared" ref="AB74:AB137" si="23">AB73 + 0.1</f>
        <v>6.5999999999999925</v>
      </c>
      <c r="AC74">
        <f t="shared" si="19"/>
        <v>612.90925390696623</v>
      </c>
      <c r="AD74">
        <f t="shared" si="20"/>
        <v>1070.0626572402225</v>
      </c>
      <c r="AE74">
        <f t="shared" si="21"/>
        <v>-257.98695969747007</v>
      </c>
      <c r="AF74">
        <f t="shared" si="22"/>
        <v>406.03784877137622</v>
      </c>
    </row>
    <row r="75" spans="2:32">
      <c r="B75">
        <v>0.658203125</v>
      </c>
      <c r="C75">
        <v>0.107224288512953</v>
      </c>
      <c r="D75">
        <v>8.6474912109375008</v>
      </c>
      <c r="E75" s="5">
        <f t="shared" si="12"/>
        <v>8647.4912109375</v>
      </c>
      <c r="F75" s="5">
        <v>1.3952294466435001E-2</v>
      </c>
      <c r="G75">
        <f t="shared" si="13"/>
        <v>172.94982421875</v>
      </c>
      <c r="H75">
        <f t="shared" si="14"/>
        <v>1.3952294466435E-3</v>
      </c>
      <c r="I75">
        <f t="shared" si="15"/>
        <v>3.3942570184409947E-3</v>
      </c>
      <c r="J75">
        <f t="shared" si="16"/>
        <v>152.59445938327465</v>
      </c>
      <c r="K75" s="5">
        <f t="shared" si="17"/>
        <v>173.19112890629182</v>
      </c>
      <c r="L75" s="5">
        <f t="shared" si="18"/>
        <v>1.3942570184409945E-3</v>
      </c>
      <c r="AB75">
        <f t="shared" si="23"/>
        <v>6.6999999999999922</v>
      </c>
      <c r="AC75">
        <f t="shared" si="19"/>
        <v>674.86846853743191</v>
      </c>
      <c r="AD75">
        <f t="shared" si="20"/>
        <v>1070.0626572402225</v>
      </c>
      <c r="AE75">
        <f t="shared" si="21"/>
        <v>-257.98695969747007</v>
      </c>
      <c r="AF75">
        <f t="shared" si="22"/>
        <v>406.03784877137622</v>
      </c>
    </row>
    <row r="76" spans="2:32">
      <c r="B76">
        <v>0.66796875</v>
      </c>
      <c r="C76">
        <v>0.10817497968673701</v>
      </c>
      <c r="D76">
        <v>8.7341083984375008</v>
      </c>
      <c r="E76" s="5">
        <f t="shared" si="12"/>
        <v>8734.1083984375</v>
      </c>
      <c r="F76" s="5">
        <v>1.40903894134681E-2</v>
      </c>
      <c r="G76">
        <f t="shared" si="13"/>
        <v>174.68216796875001</v>
      </c>
      <c r="H76">
        <f t="shared" si="14"/>
        <v>1.40903894134681E-3</v>
      </c>
      <c r="I76">
        <f t="shared" si="15"/>
        <v>3.4080471774909785E-3</v>
      </c>
      <c r="J76">
        <f t="shared" si="16"/>
        <v>154.10372334050012</v>
      </c>
      <c r="K76" s="5">
        <f t="shared" si="17"/>
        <v>174.92830194577687</v>
      </c>
      <c r="L76" s="5">
        <f t="shared" si="18"/>
        <v>1.4080471774909782E-3</v>
      </c>
      <c r="AB76">
        <f t="shared" si="23"/>
        <v>6.7999999999999918</v>
      </c>
      <c r="AC76">
        <f t="shared" si="19"/>
        <v>734.14161798980967</v>
      </c>
      <c r="AD76">
        <f t="shared" si="20"/>
        <v>1070.0626572402225</v>
      </c>
      <c r="AE76">
        <f t="shared" si="21"/>
        <v>-257.98695969747007</v>
      </c>
      <c r="AF76">
        <f t="shared" si="22"/>
        <v>406.03784877137622</v>
      </c>
    </row>
    <row r="77" spans="2:32">
      <c r="B77">
        <v>0.677734375</v>
      </c>
      <c r="C77">
        <v>0.109441578388214</v>
      </c>
      <c r="D77">
        <v>8.8226376953124994</v>
      </c>
      <c r="E77" s="5">
        <f t="shared" si="12"/>
        <v>8822.6376953125</v>
      </c>
      <c r="F77" s="5">
        <v>1.4293082131189299E-2</v>
      </c>
      <c r="G77">
        <f t="shared" si="13"/>
        <v>176.45275390625</v>
      </c>
      <c r="H77">
        <f t="shared" si="14"/>
        <v>1.4293082131189298E-3</v>
      </c>
      <c r="I77">
        <f t="shared" si="15"/>
        <v>3.4282877244144099E-3</v>
      </c>
      <c r="J77">
        <f t="shared" si="16"/>
        <v>156.31894999853509</v>
      </c>
      <c r="K77" s="5">
        <f t="shared" si="17"/>
        <v>176.70495927663566</v>
      </c>
      <c r="L77" s="5">
        <f t="shared" si="18"/>
        <v>1.4282877244144098E-3</v>
      </c>
      <c r="AB77">
        <f t="shared" si="23"/>
        <v>6.8999999999999915</v>
      </c>
      <c r="AC77">
        <f t="shared" si="19"/>
        <v>790.13646454786976</v>
      </c>
      <c r="AD77">
        <f t="shared" si="20"/>
        <v>1070.0626572402225</v>
      </c>
      <c r="AE77">
        <f t="shared" si="21"/>
        <v>-257.98695969747007</v>
      </c>
      <c r="AF77">
        <f t="shared" si="22"/>
        <v>406.03784877137622</v>
      </c>
    </row>
    <row r="78" spans="2:32">
      <c r="B78">
        <v>0.6875</v>
      </c>
      <c r="C78">
        <v>0.111304223537445</v>
      </c>
      <c r="D78">
        <v>8.9167792968749993</v>
      </c>
      <c r="E78" s="5">
        <f t="shared" si="12"/>
        <v>8916.779296875</v>
      </c>
      <c r="F78" s="5">
        <v>1.43944007504615E-2</v>
      </c>
      <c r="G78">
        <f t="shared" si="13"/>
        <v>178.33558593750001</v>
      </c>
      <c r="H78">
        <f t="shared" si="14"/>
        <v>1.43944007504615E-3</v>
      </c>
      <c r="I78">
        <f t="shared" si="15"/>
        <v>3.4384050742766676E-3</v>
      </c>
      <c r="J78">
        <f t="shared" si="16"/>
        <v>157.4262433542099</v>
      </c>
      <c r="K78" s="5">
        <f t="shared" si="17"/>
        <v>178.5922893267053</v>
      </c>
      <c r="L78" s="5">
        <f t="shared" si="18"/>
        <v>1.4384050742766677E-3</v>
      </c>
      <c r="AB78">
        <f t="shared" si="23"/>
        <v>6.9999999999999911</v>
      </c>
      <c r="AC78">
        <f t="shared" si="19"/>
        <v>842.29352621423948</v>
      </c>
      <c r="AD78">
        <f t="shared" si="20"/>
        <v>1070.0626572402225</v>
      </c>
      <c r="AE78">
        <f t="shared" si="21"/>
        <v>-257.98695969747007</v>
      </c>
      <c r="AF78">
        <f t="shared" si="22"/>
        <v>406.03784877137622</v>
      </c>
    </row>
    <row r="79" spans="2:32">
      <c r="B79">
        <v>0.697265625</v>
      </c>
      <c r="C79">
        <v>0.112596157123335</v>
      </c>
      <c r="D79">
        <v>9.0041621093750006</v>
      </c>
      <c r="E79" s="5">
        <f t="shared" si="12"/>
        <v>9004.162109375</v>
      </c>
      <c r="F79" s="5">
        <v>1.4638318134530001E-2</v>
      </c>
      <c r="G79">
        <f t="shared" si="13"/>
        <v>180.08324218749999</v>
      </c>
      <c r="H79">
        <f t="shared" si="14"/>
        <v>1.4638318134530001E-3</v>
      </c>
      <c r="I79">
        <f t="shared" si="15"/>
        <v>3.4627614560854164E-3</v>
      </c>
      <c r="J79">
        <f t="shared" si="16"/>
        <v>160.09192756126839</v>
      </c>
      <c r="K79" s="5">
        <f t="shared" si="17"/>
        <v>180.3468537664838</v>
      </c>
      <c r="L79" s="5">
        <f t="shared" si="18"/>
        <v>1.4627614560854163E-3</v>
      </c>
      <c r="AB79">
        <f t="shared" si="23"/>
        <v>7.0999999999999908</v>
      </c>
      <c r="AC79">
        <f t="shared" si="19"/>
        <v>890.09166686958065</v>
      </c>
      <c r="AD79">
        <f t="shared" si="20"/>
        <v>1070.0626572402225</v>
      </c>
      <c r="AE79">
        <f t="shared" si="21"/>
        <v>-257.98695969747007</v>
      </c>
      <c r="AF79">
        <f t="shared" si="22"/>
        <v>406.03784877137622</v>
      </c>
    </row>
    <row r="80" spans="2:32">
      <c r="B80">
        <v>0.70703125</v>
      </c>
      <c r="C80">
        <v>0.114002825284842</v>
      </c>
      <c r="D80">
        <v>9.1233437500000001</v>
      </c>
      <c r="E80" s="5">
        <f t="shared" si="12"/>
        <v>9123.34375</v>
      </c>
      <c r="F80" s="5">
        <v>1.4766363165108499E-2</v>
      </c>
      <c r="G80">
        <f t="shared" si="13"/>
        <v>182.46687499999999</v>
      </c>
      <c r="H80">
        <f t="shared" si="14"/>
        <v>1.47663631651085E-3</v>
      </c>
      <c r="I80">
        <f t="shared" si="15"/>
        <v>3.4755471611642897E-3</v>
      </c>
      <c r="J80">
        <f t="shared" si="16"/>
        <v>161.49125905362567</v>
      </c>
      <c r="K80" s="5">
        <f t="shared" si="17"/>
        <v>182.73631221418523</v>
      </c>
      <c r="L80" s="5">
        <f t="shared" si="18"/>
        <v>1.4755471611642896E-3</v>
      </c>
      <c r="AB80">
        <f t="shared" si="23"/>
        <v>7.1999999999999904</v>
      </c>
      <c r="AC80">
        <f t="shared" si="19"/>
        <v>933.05330329242997</v>
      </c>
      <c r="AD80">
        <f t="shared" si="20"/>
        <v>1070.0626572402225</v>
      </c>
      <c r="AE80">
        <f t="shared" si="21"/>
        <v>-257.98695969747007</v>
      </c>
      <c r="AF80">
        <f t="shared" si="22"/>
        <v>406.03784877137622</v>
      </c>
    </row>
    <row r="81" spans="2:32">
      <c r="B81">
        <v>0.716796875</v>
      </c>
      <c r="C81">
        <v>0.115695598651655</v>
      </c>
      <c r="D81">
        <v>9.2397841796875007</v>
      </c>
      <c r="E81" s="5">
        <f t="shared" si="12"/>
        <v>9239.7841796875</v>
      </c>
      <c r="F81" s="5">
        <v>1.5025937500468E-2</v>
      </c>
      <c r="G81">
        <f t="shared" si="13"/>
        <v>184.79568359375</v>
      </c>
      <c r="H81">
        <f t="shared" si="14"/>
        <v>1.5025937500468E-3</v>
      </c>
      <c r="I81">
        <f t="shared" si="15"/>
        <v>3.5014659856311223E-3</v>
      </c>
      <c r="J81">
        <f t="shared" si="16"/>
        <v>164.32794479739817</v>
      </c>
      <c r="K81" s="5">
        <f t="shared" si="17"/>
        <v>185.0733564329536</v>
      </c>
      <c r="L81" s="5">
        <f t="shared" si="18"/>
        <v>1.5014659856311223E-3</v>
      </c>
      <c r="AB81">
        <f t="shared" si="23"/>
        <v>7.2999999999999901</v>
      </c>
      <c r="AC81">
        <f t="shared" si="19"/>
        <v>970.74917701287904</v>
      </c>
      <c r="AD81">
        <f t="shared" si="20"/>
        <v>1070.0626572402225</v>
      </c>
      <c r="AE81">
        <f t="shared" si="21"/>
        <v>-257.98695969747007</v>
      </c>
      <c r="AF81">
        <f t="shared" si="22"/>
        <v>406.03784877137622</v>
      </c>
    </row>
    <row r="82" spans="2:32">
      <c r="B82">
        <v>0.7265625</v>
      </c>
      <c r="C82">
        <v>0.117817522550467</v>
      </c>
      <c r="D82">
        <v>9.3466523437499998</v>
      </c>
      <c r="E82" s="5">
        <f t="shared" si="12"/>
        <v>9346.65234375</v>
      </c>
      <c r="F82" s="5">
        <v>1.52317716128891E-2</v>
      </c>
      <c r="G82">
        <f t="shared" si="13"/>
        <v>186.933046875</v>
      </c>
      <c r="H82">
        <f t="shared" si="14"/>
        <v>1.5231771612889101E-3</v>
      </c>
      <c r="I82">
        <f t="shared" si="15"/>
        <v>3.5220183035710693E-3</v>
      </c>
      <c r="J82">
        <f t="shared" si="16"/>
        <v>166.57729323433571</v>
      </c>
      <c r="K82" s="5">
        <f t="shared" si="17"/>
        <v>187.21777902269014</v>
      </c>
      <c r="L82" s="5">
        <f t="shared" si="18"/>
        <v>1.5220183035710695E-3</v>
      </c>
      <c r="AB82">
        <f t="shared" si="23"/>
        <v>7.3999999999999897</v>
      </c>
      <c r="AC82">
        <f t="shared" si="19"/>
        <v>1002.8026433213124</v>
      </c>
      <c r="AD82">
        <f t="shared" si="20"/>
        <v>1070.0626572402225</v>
      </c>
      <c r="AE82">
        <f t="shared" si="21"/>
        <v>-257.98695969747007</v>
      </c>
      <c r="AF82">
        <f t="shared" si="22"/>
        <v>406.03784877137622</v>
      </c>
    </row>
    <row r="83" spans="2:32">
      <c r="B83">
        <v>0.736328125</v>
      </c>
      <c r="C83">
        <v>0.119520722364541</v>
      </c>
      <c r="D83">
        <v>9.4526337890624994</v>
      </c>
      <c r="E83" s="5">
        <f t="shared" si="12"/>
        <v>9452.6337890625</v>
      </c>
      <c r="F83" s="5">
        <v>1.5391866327263399E-2</v>
      </c>
      <c r="G83">
        <f t="shared" si="13"/>
        <v>189.05267578125</v>
      </c>
      <c r="H83">
        <f t="shared" si="14"/>
        <v>1.53918663272634E-3</v>
      </c>
      <c r="I83">
        <f t="shared" si="15"/>
        <v>3.5380032990731019E-3</v>
      </c>
      <c r="J83">
        <f t="shared" si="16"/>
        <v>168.32677106705566</v>
      </c>
      <c r="K83" s="5">
        <f t="shared" si="17"/>
        <v>189.34366313269365</v>
      </c>
      <c r="L83" s="5">
        <f t="shared" si="18"/>
        <v>1.538003299073102E-3</v>
      </c>
      <c r="AB83">
        <f t="shared" si="23"/>
        <v>7.4999999999999893</v>
      </c>
      <c r="AC83">
        <f t="shared" si="19"/>
        <v>1028.8934345778434</v>
      </c>
      <c r="AD83">
        <f t="shared" si="20"/>
        <v>1070.0626572402225</v>
      </c>
      <c r="AE83">
        <f t="shared" si="21"/>
        <v>-257.98695969747007</v>
      </c>
      <c r="AF83">
        <f t="shared" si="22"/>
        <v>406.03784877137622</v>
      </c>
    </row>
    <row r="84" spans="2:32">
      <c r="B84">
        <v>0.74609375</v>
      </c>
      <c r="C84">
        <v>0.12135058932472</v>
      </c>
      <c r="D84">
        <v>9.5518369140625001</v>
      </c>
      <c r="E84" s="5">
        <f t="shared" si="12"/>
        <v>9551.8369140625</v>
      </c>
      <c r="F84" s="5">
        <v>1.5615310985595E-2</v>
      </c>
      <c r="G84">
        <f t="shared" si="13"/>
        <v>191.03673828125</v>
      </c>
      <c r="H84">
        <f t="shared" si="14"/>
        <v>1.5615310985595001E-3</v>
      </c>
      <c r="I84">
        <f t="shared" si="15"/>
        <v>3.5603131765907852E-3</v>
      </c>
      <c r="J84">
        <f t="shared" si="16"/>
        <v>170.76847561197849</v>
      </c>
      <c r="K84" s="5">
        <f t="shared" si="17"/>
        <v>191.33504808904354</v>
      </c>
      <c r="L84" s="5">
        <f t="shared" si="18"/>
        <v>1.5603131765907852E-3</v>
      </c>
      <c r="AB84">
        <f t="shared" si="23"/>
        <v>7.599999999999989</v>
      </c>
      <c r="AC84">
        <f t="shared" si="19"/>
        <v>1048.760860220706</v>
      </c>
      <c r="AD84">
        <f t="shared" si="20"/>
        <v>1070.0626572402225</v>
      </c>
      <c r="AE84">
        <f t="shared" si="21"/>
        <v>-257.98695969747007</v>
      </c>
      <c r="AF84">
        <f t="shared" si="22"/>
        <v>406.03784877137622</v>
      </c>
    </row>
    <row r="85" spans="2:32">
      <c r="B85">
        <v>0.755859375</v>
      </c>
      <c r="C85">
        <v>0.123073157737963</v>
      </c>
      <c r="D85">
        <v>9.6264521484374992</v>
      </c>
      <c r="E85" s="5">
        <f t="shared" si="12"/>
        <v>9626.4521484375</v>
      </c>
      <c r="F85" s="5">
        <v>1.57763643073849E-2</v>
      </c>
      <c r="G85">
        <f t="shared" si="13"/>
        <v>192.52904296874999</v>
      </c>
      <c r="H85">
        <f t="shared" si="14"/>
        <v>1.5776364307384899E-3</v>
      </c>
      <c r="I85">
        <f t="shared" si="15"/>
        <v>3.5763932697170223E-3</v>
      </c>
      <c r="J85">
        <f t="shared" si="16"/>
        <v>172.52836140417952</v>
      </c>
      <c r="K85" s="5">
        <f t="shared" si="17"/>
        <v>192.83278380091269</v>
      </c>
      <c r="L85" s="5">
        <f t="shared" si="18"/>
        <v>1.5763932697170223E-3</v>
      </c>
      <c r="AB85">
        <f t="shared" si="23"/>
        <v>7.6999999999999886</v>
      </c>
      <c r="AC85">
        <f t="shared" si="19"/>
        <v>1062.206411500174</v>
      </c>
      <c r="AD85">
        <f t="shared" si="20"/>
        <v>1070.0626572402225</v>
      </c>
      <c r="AE85">
        <f t="shared" si="21"/>
        <v>-257.98695969747007</v>
      </c>
      <c r="AF85">
        <f t="shared" si="22"/>
        <v>406.03784877137622</v>
      </c>
    </row>
    <row r="86" spans="2:32">
      <c r="B86">
        <v>0.765625</v>
      </c>
      <c r="C86">
        <v>0.124764439533465</v>
      </c>
      <c r="D86">
        <v>9.7401533203124995</v>
      </c>
      <c r="E86" s="5">
        <f t="shared" si="12"/>
        <v>9740.1533203125</v>
      </c>
      <c r="F86" s="5">
        <v>1.5940675439196601E-2</v>
      </c>
      <c r="G86">
        <f t="shared" si="13"/>
        <v>194.80306640625</v>
      </c>
      <c r="H86">
        <f t="shared" si="14"/>
        <v>1.59406754391966E-3</v>
      </c>
      <c r="I86">
        <f t="shared" si="15"/>
        <v>3.5927983668426816E-3</v>
      </c>
      <c r="J86">
        <f t="shared" si="16"/>
        <v>174.3238172590973</v>
      </c>
      <c r="K86" s="5">
        <f t="shared" si="17"/>
        <v>195.11359565186422</v>
      </c>
      <c r="L86" s="5">
        <f t="shared" si="18"/>
        <v>1.5927983668426818E-3</v>
      </c>
      <c r="AB86">
        <f t="shared" si="23"/>
        <v>7.7999999999999883</v>
      </c>
      <c r="AC86">
        <f t="shared" si="19"/>
        <v>1069.0957449123716</v>
      </c>
      <c r="AD86">
        <f t="shared" si="20"/>
        <v>1070.0626572402225</v>
      </c>
      <c r="AE86">
        <f t="shared" si="21"/>
        <v>-257.98695969747007</v>
      </c>
      <c r="AF86">
        <f t="shared" si="22"/>
        <v>406.03784877137622</v>
      </c>
    </row>
    <row r="87" spans="2:32">
      <c r="B87">
        <v>0.775390625</v>
      </c>
      <c r="C87">
        <v>0.12627989053726199</v>
      </c>
      <c r="D87">
        <v>9.8690771484374995</v>
      </c>
      <c r="E87" s="5">
        <f t="shared" si="12"/>
        <v>9869.0771484375</v>
      </c>
      <c r="F87" s="5">
        <v>1.6207297449000201E-2</v>
      </c>
      <c r="G87">
        <f t="shared" si="13"/>
        <v>197.38154296875001</v>
      </c>
      <c r="H87">
        <f t="shared" si="14"/>
        <v>1.6207297449000201E-3</v>
      </c>
      <c r="I87">
        <f t="shared" si="15"/>
        <v>3.6194177798162816E-3</v>
      </c>
      <c r="J87">
        <f t="shared" si="16"/>
        <v>177.23717891199294</v>
      </c>
      <c r="K87" s="5">
        <f t="shared" si="17"/>
        <v>197.70144510653373</v>
      </c>
      <c r="L87" s="5">
        <f t="shared" si="18"/>
        <v>1.6194177798162816E-3</v>
      </c>
      <c r="AB87">
        <f t="shared" si="23"/>
        <v>7.8999999999999879</v>
      </c>
      <c r="AC87">
        <f t="shared" si="19"/>
        <v>1069.3600245151549</v>
      </c>
      <c r="AD87">
        <f t="shared" si="20"/>
        <v>1070.0626572402225</v>
      </c>
      <c r="AE87">
        <f t="shared" si="21"/>
        <v>-257.98695969747007</v>
      </c>
      <c r="AF87">
        <f t="shared" si="22"/>
        <v>406.03784877137622</v>
      </c>
    </row>
    <row r="88" spans="2:32">
      <c r="B88">
        <v>0.78515625</v>
      </c>
      <c r="C88">
        <v>0.127296152641065</v>
      </c>
      <c r="D88">
        <v>9.9742480468749992</v>
      </c>
      <c r="E88" s="5">
        <f t="shared" si="12"/>
        <v>9974.248046875</v>
      </c>
      <c r="F88" s="5">
        <v>1.63528766279342E-2</v>
      </c>
      <c r="G88">
        <f t="shared" si="13"/>
        <v>199.48496093750001</v>
      </c>
      <c r="H88">
        <f t="shared" si="14"/>
        <v>1.63528766279342E-3</v>
      </c>
      <c r="I88">
        <f t="shared" si="15"/>
        <v>3.6339520358146674E-3</v>
      </c>
      <c r="J88">
        <f t="shared" si="16"/>
        <v>178.82788055973626</v>
      </c>
      <c r="K88" s="5">
        <f t="shared" si="17"/>
        <v>199.81117623303393</v>
      </c>
      <c r="L88" s="5">
        <f t="shared" si="18"/>
        <v>1.6339520358146671E-3</v>
      </c>
      <c r="AB88">
        <f t="shared" si="23"/>
        <v>7.9999999999999876</v>
      </c>
      <c r="AC88">
        <f t="shared" si="19"/>
        <v>1062.9966097140923</v>
      </c>
      <c r="AD88">
        <f t="shared" si="20"/>
        <v>1070.0626572402225</v>
      </c>
      <c r="AE88">
        <f t="shared" si="21"/>
        <v>-257.98695969747007</v>
      </c>
      <c r="AF88">
        <f t="shared" si="22"/>
        <v>406.03784877137622</v>
      </c>
    </row>
    <row r="89" spans="2:32">
      <c r="B89">
        <v>0.794921875</v>
      </c>
      <c r="C89">
        <v>0.130145257571712</v>
      </c>
      <c r="D89">
        <v>10.070918945312499</v>
      </c>
      <c r="E89" s="5">
        <f t="shared" si="12"/>
        <v>10070.9189453125</v>
      </c>
      <c r="F89" s="5">
        <v>1.6536756447749199E-2</v>
      </c>
      <c r="G89">
        <f t="shared" si="13"/>
        <v>201.41837890625001</v>
      </c>
      <c r="H89">
        <f t="shared" si="14"/>
        <v>1.6536756447749199E-3</v>
      </c>
      <c r="I89">
        <f t="shared" si="15"/>
        <v>3.6523098287430137E-3</v>
      </c>
      <c r="J89">
        <f t="shared" si="16"/>
        <v>180.83704920677911</v>
      </c>
      <c r="K89" s="5">
        <f t="shared" si="17"/>
        <v>201.75145957385732</v>
      </c>
      <c r="L89" s="5">
        <f t="shared" si="18"/>
        <v>1.6523098287430135E-3</v>
      </c>
      <c r="AB89">
        <f t="shared" si="23"/>
        <v>8.0999999999999872</v>
      </c>
      <c r="AC89">
        <f t="shared" si="19"/>
        <v>1050.0690816464105</v>
      </c>
      <c r="AD89">
        <f t="shared" si="20"/>
        <v>1070.0626572402225</v>
      </c>
      <c r="AE89">
        <f t="shared" si="21"/>
        <v>-257.98695969747007</v>
      </c>
      <c r="AF89">
        <f t="shared" si="22"/>
        <v>406.03784877137622</v>
      </c>
    </row>
    <row r="90" spans="2:32">
      <c r="B90">
        <v>0.8046875</v>
      </c>
      <c r="C90">
        <v>0.131881242850795</v>
      </c>
      <c r="D90">
        <v>10.1660859375</v>
      </c>
      <c r="E90" s="5">
        <f t="shared" si="12"/>
        <v>10166.0859375</v>
      </c>
      <c r="F90" s="5">
        <v>1.6714280718588301E-2</v>
      </c>
      <c r="G90">
        <f t="shared" si="13"/>
        <v>203.32171875</v>
      </c>
      <c r="H90">
        <f t="shared" si="14"/>
        <v>1.6714280718588301E-3</v>
      </c>
      <c r="I90">
        <f t="shared" si="15"/>
        <v>3.670032790484406E-3</v>
      </c>
      <c r="J90">
        <f t="shared" si="16"/>
        <v>182.7767387545658</v>
      </c>
      <c r="K90" s="5">
        <f t="shared" si="17"/>
        <v>203.66155637833734</v>
      </c>
      <c r="L90" s="5">
        <f t="shared" si="18"/>
        <v>1.6700327904844059E-3</v>
      </c>
      <c r="AB90">
        <f t="shared" si="23"/>
        <v>8.1999999999999869</v>
      </c>
      <c r="AC90">
        <f t="shared" si="19"/>
        <v>1030.7066078992891</v>
      </c>
      <c r="AD90">
        <f t="shared" si="20"/>
        <v>1070.0626572402225</v>
      </c>
      <c r="AE90">
        <f t="shared" si="21"/>
        <v>-257.98695969747007</v>
      </c>
      <c r="AF90">
        <f t="shared" si="22"/>
        <v>406.03784877137622</v>
      </c>
    </row>
    <row r="91" spans="2:32">
      <c r="B91">
        <v>0.814453125</v>
      </c>
      <c r="C91">
        <v>0.13332813978195199</v>
      </c>
      <c r="D91">
        <v>10.2772998046875</v>
      </c>
      <c r="E91" s="5">
        <f t="shared" si="12"/>
        <v>10277.2998046875</v>
      </c>
      <c r="F91" s="5">
        <v>1.69131453731097E-2</v>
      </c>
      <c r="G91">
        <f t="shared" si="13"/>
        <v>205.54599609375001</v>
      </c>
      <c r="H91">
        <f t="shared" si="14"/>
        <v>1.69131453731097E-3</v>
      </c>
      <c r="I91">
        <f t="shared" si="15"/>
        <v>3.6898858755297021E-3</v>
      </c>
      <c r="J91">
        <f t="shared" si="16"/>
        <v>184.94955964734825</v>
      </c>
      <c r="K91" s="5">
        <f t="shared" si="17"/>
        <v>205.89363902502944</v>
      </c>
      <c r="L91" s="5">
        <f t="shared" si="18"/>
        <v>1.6898858755297023E-3</v>
      </c>
      <c r="AB91">
        <f t="shared" si="23"/>
        <v>8.2999999999999865</v>
      </c>
      <c r="AC91">
        <f t="shared" si="19"/>
        <v>1005.1026519100268</v>
      </c>
      <c r="AD91">
        <f t="shared" si="20"/>
        <v>1070.0626572402225</v>
      </c>
      <c r="AE91">
        <f t="shared" si="21"/>
        <v>-257.98695969747007</v>
      </c>
      <c r="AF91">
        <f t="shared" si="22"/>
        <v>406.03784877137622</v>
      </c>
    </row>
    <row r="92" spans="2:32">
      <c r="B92">
        <v>0.82421875</v>
      </c>
      <c r="C92">
        <v>0.13220458640717</v>
      </c>
      <c r="D92">
        <v>10.372012695312501</v>
      </c>
      <c r="E92" s="5">
        <f t="shared" si="12"/>
        <v>10372.0126953125</v>
      </c>
      <c r="F92" s="5">
        <v>1.71119463630021E-2</v>
      </c>
      <c r="G92">
        <f t="shared" si="13"/>
        <v>207.44025390625001</v>
      </c>
      <c r="H92">
        <f t="shared" si="14"/>
        <v>1.7111946363002101E-3</v>
      </c>
      <c r="I92">
        <f t="shared" si="15"/>
        <v>3.7097322108505925E-3</v>
      </c>
      <c r="J92">
        <f t="shared" si="16"/>
        <v>187.12164181654308</v>
      </c>
      <c r="K92" s="5">
        <f t="shared" si="17"/>
        <v>207.79522455608713</v>
      </c>
      <c r="L92" s="5">
        <f t="shared" si="18"/>
        <v>1.7097322108505922E-3</v>
      </c>
      <c r="AB92">
        <f t="shared" si="23"/>
        <v>8.3999999999999861</v>
      </c>
      <c r="AC92">
        <f t="shared" si="19"/>
        <v>973.51303994332534</v>
      </c>
      <c r="AD92">
        <f t="shared" si="20"/>
        <v>1070.0626572402225</v>
      </c>
      <c r="AE92">
        <f t="shared" si="21"/>
        <v>-257.98695969747007</v>
      </c>
      <c r="AF92">
        <f t="shared" si="22"/>
        <v>406.03784877137622</v>
      </c>
    </row>
    <row r="93" spans="2:32">
      <c r="B93">
        <v>0.833984375</v>
      </c>
      <c r="C93">
        <v>0.136931237648241</v>
      </c>
      <c r="D93">
        <v>10.5072265625</v>
      </c>
      <c r="E93" s="5">
        <f t="shared" si="12"/>
        <v>10507.2265625</v>
      </c>
      <c r="F93" s="5">
        <v>1.73050430021249E-2</v>
      </c>
      <c r="G93">
        <f t="shared" si="13"/>
        <v>210.14453125</v>
      </c>
      <c r="H93">
        <f t="shared" si="14"/>
        <v>1.73050430021249E-3</v>
      </c>
      <c r="I93">
        <f t="shared" si="15"/>
        <v>3.7290087028225118E-3</v>
      </c>
      <c r="J93">
        <f t="shared" si="16"/>
        <v>189.23135748040983</v>
      </c>
      <c r="K93" s="5">
        <f t="shared" si="17"/>
        <v>210.50818726499426</v>
      </c>
      <c r="L93" s="5">
        <f t="shared" si="18"/>
        <v>1.729008702822512E-3</v>
      </c>
      <c r="AB93">
        <f t="shared" si="23"/>
        <v>8.4999999999999858</v>
      </c>
      <c r="AC93">
        <f t="shared" si="19"/>
        <v>936.25340495981879</v>
      </c>
      <c r="AD93">
        <f t="shared" si="20"/>
        <v>1070.0626572402225</v>
      </c>
      <c r="AE93">
        <f t="shared" si="21"/>
        <v>-257.98695969747007</v>
      </c>
      <c r="AF93">
        <f t="shared" si="22"/>
        <v>406.03784877137622</v>
      </c>
    </row>
    <row r="94" spans="2:32">
      <c r="B94">
        <v>0.84375</v>
      </c>
      <c r="C94">
        <v>0.136144459247589</v>
      </c>
      <c r="D94">
        <v>10.63954296875</v>
      </c>
      <c r="E94" s="5">
        <f t="shared" si="12"/>
        <v>10639.54296875</v>
      </c>
      <c r="F94" s="5">
        <v>1.7565858797752298E-2</v>
      </c>
      <c r="G94">
        <f t="shared" si="13"/>
        <v>212.790859375</v>
      </c>
      <c r="H94">
        <f t="shared" si="14"/>
        <v>1.7565858797752298E-3</v>
      </c>
      <c r="I94">
        <f t="shared" si="15"/>
        <v>3.7550448871254243E-3</v>
      </c>
      <c r="J94">
        <f t="shared" si="16"/>
        <v>192.08088767144204</v>
      </c>
      <c r="K94" s="5">
        <f t="shared" si="17"/>
        <v>213.16464479392334</v>
      </c>
      <c r="L94" s="5">
        <f t="shared" si="18"/>
        <v>1.755044887125424E-3</v>
      </c>
      <c r="AB94">
        <f t="shared" si="23"/>
        <v>8.5999999999999854</v>
      </c>
      <c r="AC94">
        <f t="shared" si="19"/>
        <v>893.69603291586452</v>
      </c>
      <c r="AD94">
        <f t="shared" si="20"/>
        <v>1070.0626572402225</v>
      </c>
      <c r="AE94">
        <f t="shared" si="21"/>
        <v>-257.98695969747007</v>
      </c>
      <c r="AF94">
        <f t="shared" si="22"/>
        <v>406.03784877137622</v>
      </c>
    </row>
    <row r="95" spans="2:32">
      <c r="B95">
        <v>0.853515625</v>
      </c>
      <c r="C95">
        <v>0.137774652102962</v>
      </c>
      <c r="D95">
        <v>10.73719140625</v>
      </c>
      <c r="E95" s="5">
        <f t="shared" si="12"/>
        <v>10737.19140625</v>
      </c>
      <c r="F95" s="5">
        <v>1.7755524822860001E-2</v>
      </c>
      <c r="G95">
        <f t="shared" si="13"/>
        <v>214.74382812499999</v>
      </c>
      <c r="H95">
        <f t="shared" si="14"/>
        <v>1.7755524822860001E-3</v>
      </c>
      <c r="I95">
        <f t="shared" si="15"/>
        <v>3.773978052357148E-3</v>
      </c>
      <c r="J95">
        <f t="shared" si="16"/>
        <v>194.15302794022807</v>
      </c>
      <c r="K95" s="5">
        <f t="shared" si="17"/>
        <v>215.12511706208292</v>
      </c>
      <c r="L95" s="5">
        <f t="shared" si="18"/>
        <v>1.773978052357148E-3</v>
      </c>
      <c r="AB95">
        <f t="shared" si="23"/>
        <v>8.6999999999999851</v>
      </c>
      <c r="AC95">
        <f t="shared" si="19"/>
        <v>846.26614300532879</v>
      </c>
      <c r="AD95">
        <f t="shared" si="20"/>
        <v>1070.0626572402225</v>
      </c>
      <c r="AE95">
        <f t="shared" si="21"/>
        <v>-257.98695969747007</v>
      </c>
      <c r="AF95">
        <f t="shared" si="22"/>
        <v>406.03784877137622</v>
      </c>
    </row>
    <row r="96" spans="2:32">
      <c r="B96">
        <v>0.86328125</v>
      </c>
      <c r="C96">
        <v>0.14204383478499899</v>
      </c>
      <c r="D96">
        <v>10.834318359375001</v>
      </c>
      <c r="E96" s="5">
        <f t="shared" si="12"/>
        <v>10834.318359375</v>
      </c>
      <c r="F96" s="5">
        <v>1.7977054085349699E-2</v>
      </c>
      <c r="G96">
        <f t="shared" si="13"/>
        <v>216.6863671875</v>
      </c>
      <c r="H96">
        <f t="shared" si="14"/>
        <v>1.7977054085349699E-3</v>
      </c>
      <c r="I96">
        <f t="shared" si="15"/>
        <v>3.7960914701347312E-3</v>
      </c>
      <c r="J96">
        <f t="shared" si="16"/>
        <v>196.57323094889568</v>
      </c>
      <c r="K96" s="5">
        <f t="shared" si="17"/>
        <v>217.07590544174877</v>
      </c>
      <c r="L96" s="5">
        <f t="shared" si="18"/>
        <v>1.7960914701347314E-3</v>
      </c>
      <c r="AB96">
        <f t="shared" si="23"/>
        <v>8.7999999999999847</v>
      </c>
      <c r="AC96">
        <f t="shared" si="19"/>
        <v>794.43763900996066</v>
      </c>
      <c r="AD96">
        <f t="shared" si="20"/>
        <v>1070.0626572402225</v>
      </c>
      <c r="AE96">
        <f t="shared" si="21"/>
        <v>-257.98695969747007</v>
      </c>
      <c r="AF96">
        <f t="shared" si="22"/>
        <v>406.03784877137622</v>
      </c>
    </row>
    <row r="97" spans="2:32">
      <c r="B97">
        <v>0.873046875</v>
      </c>
      <c r="C97">
        <v>0.14297067536972499</v>
      </c>
      <c r="D97">
        <v>10.920134765625001</v>
      </c>
      <c r="E97" s="5">
        <f t="shared" si="12"/>
        <v>10920.134765625</v>
      </c>
      <c r="F97" s="5">
        <v>1.80559527507285E-2</v>
      </c>
      <c r="G97">
        <f t="shared" si="13"/>
        <v>218.40269531249999</v>
      </c>
      <c r="H97">
        <f t="shared" si="14"/>
        <v>1.80559527507285E-3</v>
      </c>
      <c r="I97">
        <f t="shared" si="15"/>
        <v>3.8039671474559148E-3</v>
      </c>
      <c r="J97">
        <f t="shared" si="16"/>
        <v>197.43518445331259</v>
      </c>
      <c r="K97" s="5">
        <f t="shared" si="17"/>
        <v>218.7970421872194</v>
      </c>
      <c r="L97" s="5">
        <f t="shared" si="18"/>
        <v>1.8039671474559147E-3</v>
      </c>
      <c r="AB97">
        <f t="shared" si="23"/>
        <v>8.8999999999999844</v>
      </c>
      <c r="AC97">
        <f t="shared" si="19"/>
        <v>738.72837420945598</v>
      </c>
      <c r="AD97">
        <f t="shared" si="20"/>
        <v>1070.0626572402225</v>
      </c>
      <c r="AE97">
        <f t="shared" si="21"/>
        <v>-257.98695969747007</v>
      </c>
      <c r="AF97">
        <f t="shared" si="22"/>
        <v>406.03784877137622</v>
      </c>
    </row>
    <row r="98" spans="2:32">
      <c r="B98">
        <v>0.8828125</v>
      </c>
      <c r="C98">
        <v>0.14409571303985999</v>
      </c>
      <c r="D98">
        <v>11.030145507812501</v>
      </c>
      <c r="E98" s="5">
        <f t="shared" si="12"/>
        <v>11030.1455078125</v>
      </c>
      <c r="F98" s="5">
        <v>1.83202682819683E-2</v>
      </c>
      <c r="G98">
        <f t="shared" si="13"/>
        <v>220.60291015625</v>
      </c>
      <c r="H98">
        <f t="shared" si="14"/>
        <v>1.83202682819683E-3</v>
      </c>
      <c r="I98">
        <f t="shared" si="15"/>
        <v>3.8303507138592761E-3</v>
      </c>
      <c r="J98">
        <f t="shared" si="16"/>
        <v>200.32273387832851</v>
      </c>
      <c r="K98" s="5">
        <f t="shared" si="17"/>
        <v>221.00706060603454</v>
      </c>
      <c r="L98" s="5">
        <f t="shared" si="18"/>
        <v>1.8303507138592763E-3</v>
      </c>
      <c r="AB98">
        <f t="shared" si="23"/>
        <v>8.999999999999984</v>
      </c>
      <c r="AC98">
        <f t="shared" si="19"/>
        <v>679.6949771626671</v>
      </c>
      <c r="AD98">
        <f t="shared" si="20"/>
        <v>1070.0626572402225</v>
      </c>
      <c r="AE98">
        <f t="shared" si="21"/>
        <v>-257.98695969747007</v>
      </c>
      <c r="AF98">
        <f t="shared" si="22"/>
        <v>406.03784877137622</v>
      </c>
    </row>
    <row r="99" spans="2:32">
      <c r="B99">
        <v>0.892578125</v>
      </c>
      <c r="C99">
        <v>0.14611631922889501</v>
      </c>
      <c r="D99">
        <v>11.157025390625</v>
      </c>
      <c r="E99" s="5">
        <f t="shared" si="12"/>
        <v>11157.025390625</v>
      </c>
      <c r="F99" s="5">
        <v>1.8540396922617199E-2</v>
      </c>
      <c r="G99">
        <f t="shared" si="13"/>
        <v>223.1405078125</v>
      </c>
      <c r="H99">
        <f t="shared" si="14"/>
        <v>1.8540396922617198E-3</v>
      </c>
      <c r="I99">
        <f t="shared" si="15"/>
        <v>3.8523230821195433E-3</v>
      </c>
      <c r="J99">
        <f t="shared" si="16"/>
        <v>202.72749972257341</v>
      </c>
      <c r="K99" s="5">
        <f t="shared" si="17"/>
        <v>223.55421917093582</v>
      </c>
      <c r="L99" s="5">
        <f t="shared" si="18"/>
        <v>1.8523230821195433E-3</v>
      </c>
      <c r="AB99">
        <f t="shared" si="23"/>
        <v>9.0999999999999837</v>
      </c>
      <c r="AC99">
        <f t="shared" si="19"/>
        <v>617.92729005903857</v>
      </c>
      <c r="AD99">
        <f t="shared" si="20"/>
        <v>1070.0626572402225</v>
      </c>
      <c r="AE99">
        <f t="shared" si="21"/>
        <v>-257.98695969747007</v>
      </c>
      <c r="AF99">
        <f t="shared" si="22"/>
        <v>406.03784877137622</v>
      </c>
    </row>
    <row r="100" spans="2:32">
      <c r="B100">
        <v>0.90234375</v>
      </c>
      <c r="C100">
        <v>0.14727414236403999</v>
      </c>
      <c r="D100">
        <v>11.2557451171875</v>
      </c>
      <c r="E100" s="5">
        <f t="shared" si="12"/>
        <v>11255.7451171875</v>
      </c>
      <c r="F100" s="5">
        <v>1.8656748579814999E-2</v>
      </c>
      <c r="G100">
        <f t="shared" si="13"/>
        <v>225.11490234375</v>
      </c>
      <c r="H100">
        <f t="shared" si="14"/>
        <v>1.8656748579815E-3</v>
      </c>
      <c r="I100">
        <f t="shared" si="15"/>
        <v>3.8639366482639713E-3</v>
      </c>
      <c r="J100">
        <f t="shared" si="16"/>
        <v>203.99854646925033</v>
      </c>
      <c r="K100" s="5">
        <f t="shared" si="17"/>
        <v>225.5348935572097</v>
      </c>
      <c r="L100" s="5">
        <f t="shared" si="18"/>
        <v>1.8639366482639712E-3</v>
      </c>
      <c r="AB100">
        <f t="shared" si="23"/>
        <v>9.1999999999999833</v>
      </c>
      <c r="AC100">
        <f t="shared" si="19"/>
        <v>554.04247521042726</v>
      </c>
      <c r="AD100">
        <f t="shared" si="20"/>
        <v>1070.0626572402225</v>
      </c>
      <c r="AE100">
        <f t="shared" si="21"/>
        <v>-257.98695969747007</v>
      </c>
      <c r="AF100">
        <f t="shared" si="22"/>
        <v>406.03784877137622</v>
      </c>
    </row>
    <row r="101" spans="2:32">
      <c r="B101">
        <v>0.912109375</v>
      </c>
      <c r="C101">
        <v>0.14937072410248201</v>
      </c>
      <c r="D101">
        <v>11.348042968750001</v>
      </c>
      <c r="E101" s="5">
        <f t="shared" si="12"/>
        <v>11348.04296875</v>
      </c>
      <c r="F101" s="5">
        <v>1.8873683075071299E-2</v>
      </c>
      <c r="G101">
        <f t="shared" si="13"/>
        <v>226.96085937500001</v>
      </c>
      <c r="H101">
        <f t="shared" si="14"/>
        <v>1.8873683075071299E-3</v>
      </c>
      <c r="I101">
        <f t="shared" si="15"/>
        <v>3.8855894658109931E-3</v>
      </c>
      <c r="J101">
        <f t="shared" si="16"/>
        <v>206.36833908568411</v>
      </c>
      <c r="K101" s="5">
        <f t="shared" si="17"/>
        <v>227.38921810802898</v>
      </c>
      <c r="L101" s="5">
        <f t="shared" si="18"/>
        <v>1.8855894658109929E-3</v>
      </c>
      <c r="AB101">
        <f t="shared" si="23"/>
        <v>9.2999999999999829</v>
      </c>
      <c r="AC101">
        <f t="shared" si="19"/>
        <v>488.67884856928833</v>
      </c>
      <c r="AD101">
        <f t="shared" si="20"/>
        <v>1070.0626572402225</v>
      </c>
      <c r="AE101">
        <f t="shared" si="21"/>
        <v>-257.98695969747007</v>
      </c>
      <c r="AF101">
        <f t="shared" si="22"/>
        <v>406.03784877137622</v>
      </c>
    </row>
    <row r="102" spans="2:32">
      <c r="B102">
        <v>0.921875</v>
      </c>
      <c r="C102">
        <v>0.14982372522354101</v>
      </c>
      <c r="D102">
        <v>11.458376953125001</v>
      </c>
      <c r="E102" s="5">
        <f t="shared" si="12"/>
        <v>11458.376953125</v>
      </c>
      <c r="F102" s="5">
        <v>1.9005721696885299E-2</v>
      </c>
      <c r="G102">
        <f t="shared" si="13"/>
        <v>229.1675390625</v>
      </c>
      <c r="H102">
        <f t="shared" si="14"/>
        <v>1.9005721696885298E-3</v>
      </c>
      <c r="I102">
        <f t="shared" si="15"/>
        <v>3.8987683675449215E-3</v>
      </c>
      <c r="J102">
        <f t="shared" si="16"/>
        <v>207.81070398595392</v>
      </c>
      <c r="K102" s="5">
        <f t="shared" si="17"/>
        <v>229.60308850943818</v>
      </c>
      <c r="L102" s="5">
        <f t="shared" si="18"/>
        <v>1.8987683675449215E-3</v>
      </c>
      <c r="AB102">
        <f t="shared" si="23"/>
        <v>9.3999999999999826</v>
      </c>
      <c r="AC102">
        <f t="shared" si="19"/>
        <v>422.48950188667771</v>
      </c>
      <c r="AD102">
        <f t="shared" si="20"/>
        <v>1070.0626572402225</v>
      </c>
      <c r="AE102">
        <f t="shared" si="21"/>
        <v>-257.98695969747007</v>
      </c>
      <c r="AF102">
        <f t="shared" si="22"/>
        <v>406.03784877137622</v>
      </c>
    </row>
    <row r="103" spans="2:32">
      <c r="B103">
        <v>0.931640625</v>
      </c>
      <c r="C103">
        <v>0.15260279178619399</v>
      </c>
      <c r="D103">
        <v>11.55887109375</v>
      </c>
      <c r="E103" s="5">
        <f t="shared" si="12"/>
        <v>11558.87109375</v>
      </c>
      <c r="F103" s="5">
        <v>1.92304451047676E-2</v>
      </c>
      <c r="G103">
        <f t="shared" si="13"/>
        <v>231.17742187499999</v>
      </c>
      <c r="H103">
        <f t="shared" si="14"/>
        <v>1.9230445104767599E-3</v>
      </c>
      <c r="I103">
        <f t="shared" si="15"/>
        <v>3.9211978275054743E-3</v>
      </c>
      <c r="J103">
        <f t="shared" si="16"/>
        <v>210.26549623133661</v>
      </c>
      <c r="K103" s="5">
        <f t="shared" si="17"/>
        <v>231.62198634708287</v>
      </c>
      <c r="L103" s="5">
        <f t="shared" si="18"/>
        <v>1.921197827505474E-3</v>
      </c>
      <c r="AB103">
        <f t="shared" si="23"/>
        <v>9.4999999999999822</v>
      </c>
      <c r="AC103">
        <f t="shared" si="19"/>
        <v>356.13577723535883</v>
      </c>
      <c r="AD103">
        <f t="shared" si="20"/>
        <v>1070.0626572402225</v>
      </c>
      <c r="AE103">
        <f t="shared" si="21"/>
        <v>-257.98695969747007</v>
      </c>
      <c r="AF103">
        <f t="shared" si="22"/>
        <v>406.03784877137622</v>
      </c>
    </row>
    <row r="104" spans="2:32">
      <c r="B104">
        <v>0.94140625</v>
      </c>
      <c r="C104">
        <v>0.15454590902663801</v>
      </c>
      <c r="D104">
        <v>11.677215820312499</v>
      </c>
      <c r="E104" s="5">
        <f t="shared" si="12"/>
        <v>11677.2158203125</v>
      </c>
      <c r="F104" s="5">
        <v>1.94756776181748E-2</v>
      </c>
      <c r="G104">
        <f t="shared" si="13"/>
        <v>233.54431640625</v>
      </c>
      <c r="H104">
        <f t="shared" si="14"/>
        <v>1.9475677618174801E-3</v>
      </c>
      <c r="I104">
        <f t="shared" si="15"/>
        <v>3.9456737105208351E-3</v>
      </c>
      <c r="J104">
        <f t="shared" si="16"/>
        <v>212.94425924795283</v>
      </c>
      <c r="K104" s="5">
        <f t="shared" si="17"/>
        <v>233.99915978783852</v>
      </c>
      <c r="L104" s="5">
        <f t="shared" si="18"/>
        <v>1.9456737105208355E-3</v>
      </c>
      <c r="AB104">
        <f t="shared" si="23"/>
        <v>9.5999999999999819</v>
      </c>
      <c r="AC104">
        <f t="shared" si="19"/>
        <v>290.28065909842257</v>
      </c>
      <c r="AD104">
        <f t="shared" si="20"/>
        <v>1070.0626572402225</v>
      </c>
      <c r="AE104">
        <f t="shared" si="21"/>
        <v>-257.98695969747007</v>
      </c>
      <c r="AF104">
        <f t="shared" si="22"/>
        <v>406.03784877137622</v>
      </c>
    </row>
    <row r="105" spans="2:32">
      <c r="B105">
        <v>0.951171875</v>
      </c>
      <c r="C105">
        <v>0.15599727339576899</v>
      </c>
      <c r="D105">
        <v>11.7536875</v>
      </c>
      <c r="E105" s="5">
        <f t="shared" si="12"/>
        <v>11753.6875</v>
      </c>
      <c r="F105" s="5">
        <v>1.9589600924518901E-2</v>
      </c>
      <c r="G105">
        <f t="shared" si="13"/>
        <v>235.07374999999999</v>
      </c>
      <c r="H105">
        <f t="shared" si="14"/>
        <v>1.9589600924518899E-3</v>
      </c>
      <c r="I105">
        <f t="shared" si="15"/>
        <v>3.9570438323066346E-3</v>
      </c>
      <c r="J105">
        <f t="shared" si="16"/>
        <v>214.18866222679961</v>
      </c>
      <c r="K105" s="5">
        <f t="shared" si="17"/>
        <v>235.534250095033</v>
      </c>
      <c r="L105" s="5">
        <f t="shared" si="18"/>
        <v>1.9570438323066345E-3</v>
      </c>
      <c r="AB105">
        <f t="shared" si="23"/>
        <v>9.6999999999999815</v>
      </c>
      <c r="AC105">
        <f t="shared" si="19"/>
        <v>225.5821500474853</v>
      </c>
      <c r="AD105">
        <f t="shared" si="20"/>
        <v>1070.0626572402225</v>
      </c>
      <c r="AE105">
        <f t="shared" si="21"/>
        <v>-257.98695969747007</v>
      </c>
      <c r="AF105">
        <f t="shared" si="22"/>
        <v>406.03784877137622</v>
      </c>
    </row>
    <row r="106" spans="2:32">
      <c r="B106">
        <v>0.9609375</v>
      </c>
      <c r="C106">
        <v>0.15596896992065001</v>
      </c>
      <c r="D106">
        <v>11.8645654296875</v>
      </c>
      <c r="E106" s="5">
        <f t="shared" si="12"/>
        <v>11864.5654296875</v>
      </c>
      <c r="F106" s="5">
        <v>1.9819855879177301E-2</v>
      </c>
      <c r="G106">
        <f t="shared" si="13"/>
        <v>237.29130859374999</v>
      </c>
      <c r="H106">
        <f t="shared" si="14"/>
        <v>1.98198558791773E-3</v>
      </c>
      <c r="I106">
        <f t="shared" si="15"/>
        <v>3.9800240458867722E-3</v>
      </c>
      <c r="J106">
        <f t="shared" si="16"/>
        <v>216.70373170207773</v>
      </c>
      <c r="K106" s="5">
        <f t="shared" si="17"/>
        <v>237.76161654752093</v>
      </c>
      <c r="L106" s="5">
        <f t="shared" si="18"/>
        <v>1.9800240458867717E-3</v>
      </c>
      <c r="AB106">
        <f t="shared" si="23"/>
        <v>9.7999999999999812</v>
      </c>
      <c r="AC106">
        <f t="shared" si="19"/>
        <v>162.68669619850033</v>
      </c>
      <c r="AD106">
        <f t="shared" si="20"/>
        <v>1070.0626572402225</v>
      </c>
      <c r="AE106">
        <f t="shared" si="21"/>
        <v>-257.98695969747007</v>
      </c>
      <c r="AF106">
        <f t="shared" si="22"/>
        <v>406.03784877137622</v>
      </c>
    </row>
    <row r="107" spans="2:32">
      <c r="B107">
        <v>0.970703125</v>
      </c>
      <c r="C107">
        <v>0.15871375217102501</v>
      </c>
      <c r="D107">
        <v>11.974939453125</v>
      </c>
      <c r="E107" s="5">
        <f t="shared" si="12"/>
        <v>11974.939453125</v>
      </c>
      <c r="F107" s="5">
        <v>1.9953993614763001E-2</v>
      </c>
      <c r="G107">
        <f t="shared" si="13"/>
        <v>239.49878906250001</v>
      </c>
      <c r="H107">
        <f t="shared" si="14"/>
        <v>1.9953993614763E-3</v>
      </c>
      <c r="I107">
        <f t="shared" si="15"/>
        <v>3.9934111965198183E-3</v>
      </c>
      <c r="J107">
        <f t="shared" si="16"/>
        <v>218.16888840311157</v>
      </c>
      <c r="K107" s="5">
        <f t="shared" si="17"/>
        <v>239.97668479326967</v>
      </c>
      <c r="L107" s="5">
        <f t="shared" si="18"/>
        <v>1.9934111965198187E-3</v>
      </c>
      <c r="AB107">
        <f t="shared" si="23"/>
        <v>9.8999999999999808</v>
      </c>
      <c r="AC107">
        <f t="shared" si="19"/>
        <v>102.2227281358538</v>
      </c>
      <c r="AD107">
        <f t="shared" si="20"/>
        <v>1070.0626572402225</v>
      </c>
      <c r="AE107">
        <f t="shared" si="21"/>
        <v>-257.98695969747007</v>
      </c>
      <c r="AF107">
        <f t="shared" si="22"/>
        <v>406.03784877137622</v>
      </c>
    </row>
    <row r="108" spans="2:32">
      <c r="B108">
        <v>0.98046875</v>
      </c>
      <c r="C108">
        <v>0.16269534535240401</v>
      </c>
      <c r="D108">
        <v>12.082109375</v>
      </c>
      <c r="E108" s="5">
        <f t="shared" si="12"/>
        <v>12082.109375</v>
      </c>
      <c r="F108" s="5">
        <v>2.02200390049256E-2</v>
      </c>
      <c r="G108">
        <f t="shared" si="13"/>
        <v>241.64218750000001</v>
      </c>
      <c r="H108">
        <f t="shared" si="14"/>
        <v>2.0220039004925599E-3</v>
      </c>
      <c r="I108">
        <f t="shared" si="15"/>
        <v>4.019962402087714E-3</v>
      </c>
      <c r="J108">
        <f t="shared" si="16"/>
        <v>221.0747850964899</v>
      </c>
      <c r="K108" s="5">
        <f t="shared" si="17"/>
        <v>242.13078894564856</v>
      </c>
      <c r="L108" s="5">
        <f t="shared" si="18"/>
        <v>2.0199624020877144E-3</v>
      </c>
      <c r="AB108">
        <f t="shared" si="23"/>
        <v>9.9999999999999805</v>
      </c>
      <c r="AC108">
        <f t="shared" si="19"/>
        <v>44.794381841697088</v>
      </c>
      <c r="AD108">
        <f t="shared" si="20"/>
        <v>1070.0626572402225</v>
      </c>
      <c r="AE108">
        <f t="shared" si="21"/>
        <v>-257.98695969747007</v>
      </c>
      <c r="AF108">
        <f t="shared" si="22"/>
        <v>406.03784877137622</v>
      </c>
    </row>
    <row r="109" spans="2:32">
      <c r="B109">
        <v>0.990234375</v>
      </c>
      <c r="C109">
        <v>0.164678698638454</v>
      </c>
      <c r="D109">
        <v>12.18482421875</v>
      </c>
      <c r="E109" s="5">
        <f t="shared" si="12"/>
        <v>12184.82421875</v>
      </c>
      <c r="F109" s="5">
        <v>2.04068946914049E-2</v>
      </c>
      <c r="G109">
        <f t="shared" si="13"/>
        <v>243.69648437500001</v>
      </c>
      <c r="H109">
        <f t="shared" si="14"/>
        <v>2.04068946914049E-3</v>
      </c>
      <c r="I109">
        <f t="shared" si="15"/>
        <v>4.0386100908155042E-3</v>
      </c>
      <c r="J109">
        <f t="shared" si="16"/>
        <v>223.11568138930281</v>
      </c>
      <c r="K109" s="5">
        <f t="shared" si="17"/>
        <v>244.19379322433065</v>
      </c>
      <c r="L109" s="5">
        <f t="shared" si="18"/>
        <v>2.0386100908155037E-3</v>
      </c>
      <c r="AB109">
        <f t="shared" si="23"/>
        <v>10.09999999999998</v>
      </c>
      <c r="AC109">
        <f t="shared" si="19"/>
        <v>-9.0245376310858205</v>
      </c>
      <c r="AD109">
        <f t="shared" si="20"/>
        <v>1070.0626572402225</v>
      </c>
      <c r="AE109">
        <f t="shared" si="21"/>
        <v>-257.98695969747007</v>
      </c>
      <c r="AF109">
        <f t="shared" si="22"/>
        <v>406.03784877137622</v>
      </c>
    </row>
    <row r="110" spans="2:32">
      <c r="B110" t="s">
        <v>7</v>
      </c>
      <c r="C110">
        <v>0.165575736900792</v>
      </c>
      <c r="D110">
        <v>12.279920898437499</v>
      </c>
      <c r="E110" s="5">
        <f t="shared" si="12"/>
        <v>12279.9208984375</v>
      </c>
      <c r="F110" s="5">
        <v>2.0577017494360899E-2</v>
      </c>
      <c r="G110">
        <f t="shared" si="13"/>
        <v>245.59841796875</v>
      </c>
      <c r="H110">
        <f t="shared" si="14"/>
        <v>2.0577017494360899E-3</v>
      </c>
      <c r="I110">
        <f t="shared" si="15"/>
        <v>4.0555875809133498E-3</v>
      </c>
      <c r="J110">
        <f t="shared" si="16"/>
        <v>224.97378279306162</v>
      </c>
      <c r="K110" s="5">
        <f t="shared" si="17"/>
        <v>246.10378626306303</v>
      </c>
      <c r="L110" s="5">
        <f t="shared" si="18"/>
        <v>2.0555875809133502E-3</v>
      </c>
      <c r="AB110">
        <f t="shared" si="23"/>
        <v>10.19999999999998</v>
      </c>
      <c r="AC110">
        <f t="shared" si="19"/>
        <v>-58.696289429292676</v>
      </c>
      <c r="AD110">
        <f t="shared" si="20"/>
        <v>1070.0626572402225</v>
      </c>
      <c r="AE110">
        <f t="shared" si="21"/>
        <v>-257.98695969747007</v>
      </c>
      <c r="AF110">
        <f t="shared" si="22"/>
        <v>406.03784877137622</v>
      </c>
    </row>
    <row r="111" spans="2:32">
      <c r="B111">
        <v>1.009765625</v>
      </c>
      <c r="C111">
        <v>0.164583325386047</v>
      </c>
      <c r="D111">
        <v>12.3592548828125</v>
      </c>
      <c r="E111" s="5">
        <f t="shared" si="12"/>
        <v>12359.2548828125</v>
      </c>
      <c r="F111" s="5">
        <v>2.0714749553008002E-2</v>
      </c>
      <c r="G111">
        <f t="shared" si="13"/>
        <v>247.18509765625001</v>
      </c>
      <c r="H111">
        <f t="shared" si="14"/>
        <v>2.0714749553008001E-3</v>
      </c>
      <c r="I111">
        <f t="shared" si="15"/>
        <v>4.0693324093655486E-3</v>
      </c>
      <c r="J111">
        <f t="shared" si="16"/>
        <v>226.47808554301241</v>
      </c>
      <c r="K111" s="5">
        <f t="shared" si="17"/>
        <v>247.69713539536852</v>
      </c>
      <c r="L111" s="5">
        <f t="shared" si="18"/>
        <v>2.0693324093655481E-3</v>
      </c>
      <c r="AB111">
        <f t="shared" si="23"/>
        <v>10.299999999999979</v>
      </c>
      <c r="AC111">
        <f t="shared" si="19"/>
        <v>-103.72456982825378</v>
      </c>
      <c r="AD111">
        <f t="shared" si="20"/>
        <v>1070.0626572402225</v>
      </c>
      <c r="AE111">
        <f t="shared" si="21"/>
        <v>-257.98695969747007</v>
      </c>
      <c r="AF111">
        <f t="shared" si="22"/>
        <v>406.03784877137622</v>
      </c>
    </row>
    <row r="112" spans="2:32">
      <c r="B112">
        <v>1.01953125</v>
      </c>
      <c r="C112">
        <v>0.16842185868881601</v>
      </c>
      <c r="D112">
        <v>12.488956054687501</v>
      </c>
      <c r="E112" s="5">
        <f t="shared" si="12"/>
        <v>12488.9560546875</v>
      </c>
      <c r="F112" s="5">
        <v>2.0958827008143999E-2</v>
      </c>
      <c r="G112">
        <f t="shared" si="13"/>
        <v>249.77912109375001</v>
      </c>
      <c r="H112">
        <f t="shared" si="14"/>
        <v>2.0958827008143999E-3</v>
      </c>
      <c r="I112">
        <f t="shared" si="15"/>
        <v>4.0936894027289675E-3</v>
      </c>
      <c r="J112">
        <f t="shared" si="16"/>
        <v>229.1438366816719</v>
      </c>
      <c r="K112" s="5">
        <f t="shared" si="17"/>
        <v>250.30262883267503</v>
      </c>
      <c r="L112" s="5">
        <f t="shared" si="18"/>
        <v>2.0936894027289679E-3</v>
      </c>
      <c r="AB112">
        <f t="shared" si="23"/>
        <v>10.399999999999979</v>
      </c>
      <c r="AC112">
        <f t="shared" si="19"/>
        <v>-143.65947113459322</v>
      </c>
      <c r="AD112">
        <f t="shared" si="20"/>
        <v>1070.0626572402225</v>
      </c>
      <c r="AE112">
        <f t="shared" si="21"/>
        <v>-257.98695969747007</v>
      </c>
      <c r="AF112">
        <f t="shared" si="22"/>
        <v>406.03784877137622</v>
      </c>
    </row>
    <row r="113" spans="2:32">
      <c r="B113">
        <v>1.029296875</v>
      </c>
      <c r="C113">
        <v>0.169616934726946</v>
      </c>
      <c r="D113">
        <v>12.5865107421875</v>
      </c>
      <c r="E113" s="5">
        <f t="shared" si="12"/>
        <v>12586.5107421875</v>
      </c>
      <c r="F113" s="5">
        <v>2.1102854589116801E-2</v>
      </c>
      <c r="G113">
        <f t="shared" si="13"/>
        <v>251.73021484374999</v>
      </c>
      <c r="H113">
        <f t="shared" si="14"/>
        <v>2.1102854589116803E-3</v>
      </c>
      <c r="I113">
        <f t="shared" si="15"/>
        <v>4.1080619341844005E-3</v>
      </c>
      <c r="J113">
        <f t="shared" si="16"/>
        <v>230.7168383868117</v>
      </c>
      <c r="K113" s="5">
        <f t="shared" si="17"/>
        <v>252.26143745570346</v>
      </c>
      <c r="L113" s="5">
        <f t="shared" si="18"/>
        <v>2.1080619341844005E-3</v>
      </c>
      <c r="AB113">
        <f t="shared" si="23"/>
        <v>10.499999999999979</v>
      </c>
      <c r="AC113">
        <f t="shared" si="19"/>
        <v>-178.10197701518143</v>
      </c>
      <c r="AD113">
        <f t="shared" si="20"/>
        <v>1070.0626572402225</v>
      </c>
      <c r="AE113">
        <f t="shared" si="21"/>
        <v>-257.98695969747007</v>
      </c>
      <c r="AF113">
        <f t="shared" si="22"/>
        <v>406.03784877137622</v>
      </c>
    </row>
    <row r="114" spans="2:32">
      <c r="B114">
        <v>1.0390625</v>
      </c>
      <c r="C114">
        <v>0.16974657773971599</v>
      </c>
      <c r="D114">
        <v>12.682596679687499</v>
      </c>
      <c r="E114" s="5">
        <f t="shared" si="12"/>
        <v>12682.5966796875</v>
      </c>
      <c r="F114" s="5">
        <v>2.1264197130221901E-2</v>
      </c>
      <c r="G114">
        <f t="shared" si="13"/>
        <v>253.65193359374999</v>
      </c>
      <c r="H114">
        <f t="shared" si="14"/>
        <v>2.12641971302219E-3</v>
      </c>
      <c r="I114">
        <f t="shared" si="15"/>
        <v>4.1241620825044328E-3</v>
      </c>
      <c r="J114">
        <f t="shared" si="16"/>
        <v>232.47891911969759</v>
      </c>
      <c r="K114" s="5">
        <f t="shared" si="17"/>
        <v>254.19130406558992</v>
      </c>
      <c r="L114" s="5">
        <f t="shared" si="18"/>
        <v>2.1241620825044323E-3</v>
      </c>
      <c r="AB114">
        <f t="shared" si="23"/>
        <v>10.599999999999978</v>
      </c>
      <c r="AC114">
        <f t="shared" si="19"/>
        <v>-206.70794933643845</v>
      </c>
      <c r="AD114">
        <f t="shared" si="20"/>
        <v>1070.0626572402225</v>
      </c>
      <c r="AE114">
        <f t="shared" si="21"/>
        <v>-257.98695969747007</v>
      </c>
      <c r="AF114">
        <f t="shared" si="22"/>
        <v>406.03784877137622</v>
      </c>
    </row>
    <row r="115" spans="2:32">
      <c r="B115">
        <v>1.048828125</v>
      </c>
      <c r="C115">
        <v>0.17131418280769101</v>
      </c>
      <c r="D115">
        <v>12.802591796874999</v>
      </c>
      <c r="E115" s="5">
        <f t="shared" si="12"/>
        <v>12802.591796875</v>
      </c>
      <c r="F115" s="5">
        <v>2.14926840271801E-2</v>
      </c>
      <c r="G115">
        <f t="shared" si="13"/>
        <v>256.05183593750002</v>
      </c>
      <c r="H115">
        <f t="shared" si="14"/>
        <v>2.1492684027180102E-3</v>
      </c>
      <c r="I115">
        <f t="shared" si="15"/>
        <v>4.1469620294701023E-3</v>
      </c>
      <c r="J115">
        <f t="shared" si="16"/>
        <v>234.97425931535534</v>
      </c>
      <c r="K115" s="5">
        <f t="shared" si="17"/>
        <v>256.60216005793842</v>
      </c>
      <c r="L115" s="5">
        <f t="shared" si="18"/>
        <v>2.1469620294701022E-3</v>
      </c>
      <c r="AB115">
        <f t="shared" si="23"/>
        <v>10.699999999999978</v>
      </c>
      <c r="AC115">
        <f t="shared" si="19"/>
        <v>-229.19156667880736</v>
      </c>
      <c r="AD115">
        <f t="shared" si="20"/>
        <v>1070.0626572402225</v>
      </c>
      <c r="AE115">
        <f t="shared" si="21"/>
        <v>-257.98695969747007</v>
      </c>
      <c r="AF115">
        <f t="shared" si="22"/>
        <v>406.03784877137622</v>
      </c>
    </row>
    <row r="116" spans="2:32">
      <c r="B116">
        <v>1.05859375</v>
      </c>
      <c r="C116">
        <v>0.17402022785972801</v>
      </c>
      <c r="D116">
        <v>12.890404296874999</v>
      </c>
      <c r="E116" s="5">
        <f t="shared" si="12"/>
        <v>12890.404296875</v>
      </c>
      <c r="F116" s="5">
        <v>2.1653742805938202E-2</v>
      </c>
      <c r="G116">
        <f t="shared" si="13"/>
        <v>257.80808593749998</v>
      </c>
      <c r="H116">
        <f t="shared" si="14"/>
        <v>2.1653742805938202E-3</v>
      </c>
      <c r="I116">
        <f t="shared" si="15"/>
        <v>4.1630332365881623E-3</v>
      </c>
      <c r="J116">
        <f t="shared" si="16"/>
        <v>236.73317257839147</v>
      </c>
      <c r="K116" s="5">
        <f t="shared" si="17"/>
        <v>258.36633693611816</v>
      </c>
      <c r="L116" s="5">
        <f t="shared" si="18"/>
        <v>2.1630332365881627E-3</v>
      </c>
      <c r="AB116">
        <f t="shared" si="23"/>
        <v>10.799999999999978</v>
      </c>
      <c r="AC116">
        <f t="shared" si="19"/>
        <v>-245.32818016989904</v>
      </c>
      <c r="AD116">
        <f t="shared" si="20"/>
        <v>1070.0626572402225</v>
      </c>
      <c r="AE116">
        <f t="shared" si="21"/>
        <v>-257.98695969747007</v>
      </c>
      <c r="AF116">
        <f t="shared" si="22"/>
        <v>406.03784877137622</v>
      </c>
    </row>
    <row r="117" spans="2:32">
      <c r="B117">
        <v>1.068359375</v>
      </c>
      <c r="C117">
        <v>0.17614811076782599</v>
      </c>
      <c r="D117">
        <v>12.989391601562501</v>
      </c>
      <c r="E117" s="5">
        <f t="shared" si="12"/>
        <v>12989.3916015625</v>
      </c>
      <c r="F117" s="5">
        <v>2.18167115235701E-2</v>
      </c>
      <c r="G117">
        <f t="shared" si="13"/>
        <v>259.78783203124999</v>
      </c>
      <c r="H117">
        <f t="shared" si="14"/>
        <v>2.1816711523570099E-3</v>
      </c>
      <c r="I117">
        <f t="shared" si="15"/>
        <v>4.1792947635534462E-3</v>
      </c>
      <c r="J117">
        <f t="shared" si="16"/>
        <v>238.51291539710695</v>
      </c>
      <c r="K117" s="5">
        <f t="shared" si="17"/>
        <v>260.35460365012591</v>
      </c>
      <c r="L117" s="5">
        <f t="shared" si="18"/>
        <v>2.1792947635534466E-3</v>
      </c>
      <c r="AB117">
        <f t="shared" si="23"/>
        <v>10.899999999999977</v>
      </c>
      <c r="AC117">
        <f t="shared" si="19"/>
        <v>-254.95655810176572</v>
      </c>
      <c r="AD117">
        <f t="shared" si="20"/>
        <v>1070.0626572402225</v>
      </c>
      <c r="AE117">
        <f t="shared" si="21"/>
        <v>-257.98695969747007</v>
      </c>
      <c r="AF117">
        <f t="shared" si="22"/>
        <v>406.03784877137622</v>
      </c>
    </row>
    <row r="118" spans="2:32">
      <c r="B118">
        <v>1.078125</v>
      </c>
      <c r="C118">
        <v>0.17749816470313801</v>
      </c>
      <c r="D118">
        <v>13.113545898437501</v>
      </c>
      <c r="E118" s="5">
        <f t="shared" si="12"/>
        <v>13113.5458984375</v>
      </c>
      <c r="F118" s="5">
        <v>2.2095180611359001E-2</v>
      </c>
      <c r="G118">
        <f t="shared" si="13"/>
        <v>262.27091796874998</v>
      </c>
      <c r="H118">
        <f t="shared" si="14"/>
        <v>2.2095180611358999E-3</v>
      </c>
      <c r="I118">
        <f t="shared" si="15"/>
        <v>4.2070806657570998E-3</v>
      </c>
      <c r="J118">
        <f t="shared" si="16"/>
        <v>241.55394346378577</v>
      </c>
      <c r="K118" s="5">
        <f t="shared" si="17"/>
        <v>262.85041029891261</v>
      </c>
      <c r="L118" s="5">
        <f t="shared" si="18"/>
        <v>2.2070806657570998E-3</v>
      </c>
      <c r="AB118">
        <f t="shared" si="23"/>
        <v>10.999999999999977</v>
      </c>
      <c r="AC118">
        <f t="shared" si="19"/>
        <v>-257.98049690483094</v>
      </c>
      <c r="AD118">
        <f t="shared" si="20"/>
        <v>1070.0626572402225</v>
      </c>
      <c r="AE118">
        <f t="shared" si="21"/>
        <v>-257.98695969747007</v>
      </c>
      <c r="AF118">
        <f t="shared" si="22"/>
        <v>406.03784877137622</v>
      </c>
    </row>
    <row r="119" spans="2:32">
      <c r="B119">
        <v>1.087890625</v>
      </c>
      <c r="C119">
        <v>0.17939209647011001</v>
      </c>
      <c r="D119">
        <v>13.2172783203125</v>
      </c>
      <c r="E119" s="5">
        <f t="shared" si="12"/>
        <v>13217.2783203125</v>
      </c>
      <c r="F119" s="5">
        <v>2.22563758143224E-2</v>
      </c>
      <c r="G119">
        <f t="shared" si="13"/>
        <v>264.34556640624999</v>
      </c>
      <c r="H119">
        <f t="shared" si="14"/>
        <v>2.22563758143224E-3</v>
      </c>
      <c r="I119">
        <f t="shared" si="15"/>
        <v>4.2231645188578731E-3</v>
      </c>
      <c r="J119">
        <f t="shared" si="16"/>
        <v>243.31424076639991</v>
      </c>
      <c r="K119" s="5">
        <f t="shared" si="17"/>
        <v>264.93390383332871</v>
      </c>
      <c r="L119" s="5">
        <f t="shared" si="18"/>
        <v>2.223164518857873E-3</v>
      </c>
      <c r="AB119">
        <f t="shared" si="23"/>
        <v>11.099999999999977</v>
      </c>
      <c r="AC119">
        <f t="shared" si="19"/>
        <v>-254.36978238215545</v>
      </c>
      <c r="AD119">
        <f t="shared" si="20"/>
        <v>1070.0626572402225</v>
      </c>
      <c r="AE119">
        <f t="shared" si="21"/>
        <v>-257.98695969747007</v>
      </c>
      <c r="AF119">
        <f t="shared" si="22"/>
        <v>406.03784877137622</v>
      </c>
    </row>
    <row r="120" spans="2:32">
      <c r="B120">
        <v>1.09765625</v>
      </c>
      <c r="C120">
        <v>0.180201226612553</v>
      </c>
      <c r="D120">
        <v>13.309008789062499</v>
      </c>
      <c r="E120" s="5">
        <f t="shared" si="12"/>
        <v>13309.0087890625</v>
      </c>
      <c r="F120" s="5">
        <v>2.2430678654927799E-2</v>
      </c>
      <c r="G120">
        <f t="shared" si="13"/>
        <v>266.18017578125</v>
      </c>
      <c r="H120">
        <f t="shared" si="14"/>
        <v>2.2430678654927799E-3</v>
      </c>
      <c r="I120">
        <f t="shared" si="15"/>
        <v>4.2405559443399595E-3</v>
      </c>
      <c r="J120">
        <f t="shared" si="16"/>
        <v>245.21764532828686</v>
      </c>
      <c r="K120" s="5">
        <f t="shared" si="17"/>
        <v>266.77723597997613</v>
      </c>
      <c r="L120" s="5">
        <f t="shared" si="18"/>
        <v>2.2405559443399595E-3</v>
      </c>
      <c r="AB120">
        <f t="shared" si="23"/>
        <v>11.199999999999976</v>
      </c>
      <c r="AC120">
        <f t="shared" si="19"/>
        <v>-244.16049159970657</v>
      </c>
      <c r="AD120">
        <f t="shared" si="20"/>
        <v>1070.0626572402225</v>
      </c>
      <c r="AE120">
        <f t="shared" si="21"/>
        <v>-257.98695969747007</v>
      </c>
      <c r="AF120">
        <f t="shared" si="22"/>
        <v>406.03784877137622</v>
      </c>
    </row>
    <row r="121" spans="2:32">
      <c r="B121">
        <v>1.107421875</v>
      </c>
      <c r="C121">
        <v>0.18208027177024599</v>
      </c>
      <c r="D121">
        <v>13.413020507812501</v>
      </c>
      <c r="E121" s="5">
        <f t="shared" si="12"/>
        <v>13413.0205078125</v>
      </c>
      <c r="F121" s="5">
        <v>2.2586529667023601E-2</v>
      </c>
      <c r="G121">
        <f t="shared" si="13"/>
        <v>268.26041015624997</v>
      </c>
      <c r="H121">
        <f t="shared" si="14"/>
        <v>2.25865296670236E-3</v>
      </c>
      <c r="I121">
        <f t="shared" si="15"/>
        <v>4.2561060444450613E-3</v>
      </c>
      <c r="J121">
        <f t="shared" si="16"/>
        <v>246.91952603428973</v>
      </c>
      <c r="K121" s="5">
        <f t="shared" si="17"/>
        <v>268.86631732749817</v>
      </c>
      <c r="L121" s="5">
        <f t="shared" si="18"/>
        <v>2.2561060444450613E-3</v>
      </c>
      <c r="AB121">
        <f t="shared" si="23"/>
        <v>11.299999999999976</v>
      </c>
      <c r="AC121">
        <f t="shared" si="19"/>
        <v>-227.45463241623952</v>
      </c>
      <c r="AD121">
        <f t="shared" si="20"/>
        <v>1070.0626572402225</v>
      </c>
      <c r="AE121">
        <f t="shared" si="21"/>
        <v>-257.98695969747007</v>
      </c>
      <c r="AF121">
        <f t="shared" si="22"/>
        <v>406.03784877137622</v>
      </c>
    </row>
    <row r="122" spans="2:32">
      <c r="B122">
        <v>1.1171875</v>
      </c>
      <c r="C122">
        <v>0.183734300662763</v>
      </c>
      <c r="D122">
        <v>13.5023173828125</v>
      </c>
      <c r="E122" s="5">
        <f t="shared" si="12"/>
        <v>13502.3173828125</v>
      </c>
      <c r="F122" s="5">
        <v>2.2782880478189299E-2</v>
      </c>
      <c r="G122">
        <f t="shared" si="13"/>
        <v>270.04634765625002</v>
      </c>
      <c r="H122">
        <f t="shared" si="14"/>
        <v>2.2782880478189301E-3</v>
      </c>
      <c r="I122">
        <f t="shared" si="15"/>
        <v>4.2756966847724643E-3</v>
      </c>
      <c r="J122">
        <f t="shared" si="16"/>
        <v>249.06362366492235</v>
      </c>
      <c r="K122" s="5">
        <f t="shared" si="17"/>
        <v>270.66159102247241</v>
      </c>
      <c r="L122" s="5">
        <f t="shared" si="18"/>
        <v>2.2756966847724642E-3</v>
      </c>
      <c r="AB122">
        <f t="shared" si="23"/>
        <v>11.399999999999975</v>
      </c>
      <c r="AC122">
        <f t="shared" si="19"/>
        <v>-204.41912425449277</v>
      </c>
      <c r="AD122">
        <f t="shared" si="20"/>
        <v>1070.0626572402225</v>
      </c>
      <c r="AE122">
        <f t="shared" si="21"/>
        <v>-257.98695969747007</v>
      </c>
      <c r="AF122">
        <f t="shared" si="22"/>
        <v>406.03784877137622</v>
      </c>
    </row>
    <row r="123" spans="2:32">
      <c r="B123">
        <v>1.126953125</v>
      </c>
      <c r="C123">
        <v>0.18488764180801801</v>
      </c>
      <c r="D123">
        <v>13.617615234375</v>
      </c>
      <c r="E123" s="5">
        <f t="shared" si="12"/>
        <v>13617.615234375</v>
      </c>
      <c r="F123" s="5">
        <v>2.3000877263257301E-2</v>
      </c>
      <c r="G123">
        <f t="shared" si="13"/>
        <v>272.35230468750001</v>
      </c>
      <c r="H123">
        <f t="shared" si="14"/>
        <v>2.3000877263257302E-3</v>
      </c>
      <c r="I123">
        <f t="shared" si="15"/>
        <v>4.2974465736978461E-3</v>
      </c>
      <c r="J123">
        <f t="shared" si="16"/>
        <v>251.4440402583607</v>
      </c>
      <c r="K123" s="5">
        <f t="shared" si="17"/>
        <v>272.97873888074827</v>
      </c>
      <c r="L123" s="5">
        <f t="shared" si="18"/>
        <v>2.2974465736978456E-3</v>
      </c>
      <c r="AB123">
        <f t="shared" si="23"/>
        <v>11.499999999999975</v>
      </c>
      <c r="AC123">
        <f t="shared" si="19"/>
        <v>-175.28413029749163</v>
      </c>
      <c r="AD123">
        <f t="shared" si="20"/>
        <v>1070.0626572402225</v>
      </c>
      <c r="AE123">
        <f t="shared" si="21"/>
        <v>-257.98695969747007</v>
      </c>
      <c r="AF123">
        <f t="shared" si="22"/>
        <v>406.03784877137622</v>
      </c>
    </row>
    <row r="124" spans="2:32">
      <c r="B124">
        <v>1.13671875</v>
      </c>
      <c r="C124">
        <v>0.18714964971877601</v>
      </c>
      <c r="D124">
        <v>13.722509765625</v>
      </c>
      <c r="E124" s="5">
        <f t="shared" si="12"/>
        <v>13722.509765625</v>
      </c>
      <c r="F124" s="5">
        <v>2.3142238205764401E-2</v>
      </c>
      <c r="G124">
        <f t="shared" si="13"/>
        <v>274.4501953125</v>
      </c>
      <c r="H124">
        <f t="shared" si="14"/>
        <v>2.3142238205764399E-3</v>
      </c>
      <c r="I124">
        <f t="shared" si="15"/>
        <v>4.3115501288501007E-3</v>
      </c>
      <c r="J124">
        <f t="shared" si="16"/>
        <v>252.98760385199927</v>
      </c>
      <c r="K124" s="5">
        <f t="shared" si="17"/>
        <v>275.08533449205402</v>
      </c>
      <c r="L124" s="5">
        <f t="shared" si="18"/>
        <v>2.3115501288501006E-3</v>
      </c>
      <c r="AB124">
        <f t="shared" si="23"/>
        <v>11.599999999999975</v>
      </c>
      <c r="AC124">
        <f t="shared" si="19"/>
        <v>-140.34075777410624</v>
      </c>
      <c r="AD124">
        <f t="shared" si="20"/>
        <v>1070.0626572402225</v>
      </c>
      <c r="AE124">
        <f t="shared" si="21"/>
        <v>-257.98695969747007</v>
      </c>
      <c r="AF124">
        <f t="shared" si="22"/>
        <v>406.03784877137622</v>
      </c>
    </row>
    <row r="125" spans="2:32">
      <c r="B125">
        <v>1.146484375</v>
      </c>
      <c r="C125">
        <v>0.18849820480682</v>
      </c>
      <c r="D125">
        <v>13.815632812500001</v>
      </c>
      <c r="E125" s="5">
        <f t="shared" si="12"/>
        <v>13815.6328125</v>
      </c>
      <c r="F125" s="5">
        <v>2.3379378035315299E-2</v>
      </c>
      <c r="G125">
        <f t="shared" si="13"/>
        <v>276.31265624999997</v>
      </c>
      <c r="H125">
        <f t="shared" si="14"/>
        <v>2.3379378035315299E-3</v>
      </c>
      <c r="I125">
        <f t="shared" si="15"/>
        <v>4.3352090791759076E-3</v>
      </c>
      <c r="J125">
        <f t="shared" si="16"/>
        <v>255.57695767040721</v>
      </c>
      <c r="K125" s="5">
        <f t="shared" si="17"/>
        <v>276.95865805464103</v>
      </c>
      <c r="L125" s="5">
        <f t="shared" si="18"/>
        <v>2.3352090791759076E-3</v>
      </c>
      <c r="AB125">
        <f t="shared" si="23"/>
        <v>11.699999999999974</v>
      </c>
      <c r="AC125">
        <f t="shared" si="19"/>
        <v>-99.938149311846757</v>
      </c>
      <c r="AD125">
        <f t="shared" si="20"/>
        <v>1070.0626572402225</v>
      </c>
      <c r="AE125">
        <f t="shared" si="21"/>
        <v>-257.98695969747007</v>
      </c>
      <c r="AF125">
        <f t="shared" si="22"/>
        <v>406.03784877137622</v>
      </c>
    </row>
    <row r="126" spans="2:32">
      <c r="B126">
        <v>1.15625</v>
      </c>
      <c r="C126">
        <v>0.19051283015869599</v>
      </c>
      <c r="D126">
        <v>13.943260742187499</v>
      </c>
      <c r="E126" s="5">
        <f t="shared" si="12"/>
        <v>13943.2607421875</v>
      </c>
      <c r="F126" s="5">
        <v>2.35849729506299E-2</v>
      </c>
      <c r="G126">
        <f t="shared" si="13"/>
        <v>278.86521484374998</v>
      </c>
      <c r="H126">
        <f t="shared" si="14"/>
        <v>2.3584972950629899E-3</v>
      </c>
      <c r="I126">
        <f t="shared" si="15"/>
        <v>4.3557204056512977E-3</v>
      </c>
      <c r="J126">
        <f t="shared" si="16"/>
        <v>257.82181979650625</v>
      </c>
      <c r="K126" s="5">
        <f t="shared" si="17"/>
        <v>279.5229176986461</v>
      </c>
      <c r="L126" s="5">
        <f t="shared" si="18"/>
        <v>2.3557204056512972E-3</v>
      </c>
      <c r="AB126">
        <f t="shared" si="23"/>
        <v>11.799999999999974</v>
      </c>
      <c r="AC126">
        <f t="shared" si="19"/>
        <v>-54.479994419141406</v>
      </c>
      <c r="AD126">
        <f t="shared" si="20"/>
        <v>1070.0626572402225</v>
      </c>
      <c r="AE126">
        <f t="shared" si="21"/>
        <v>-257.98695969747007</v>
      </c>
      <c r="AF126">
        <f t="shared" si="22"/>
        <v>406.03784877137622</v>
      </c>
    </row>
    <row r="127" spans="2:32">
      <c r="B127">
        <v>1.166015625</v>
      </c>
      <c r="C127">
        <v>0.19199847884010501</v>
      </c>
      <c r="D127">
        <v>14.04038671875</v>
      </c>
      <c r="E127" s="5">
        <f t="shared" si="12"/>
        <v>14040.38671875</v>
      </c>
      <c r="F127" s="5">
        <v>2.3752072593197199E-2</v>
      </c>
      <c r="G127">
        <f t="shared" si="13"/>
        <v>280.807734375</v>
      </c>
      <c r="H127">
        <f t="shared" si="14"/>
        <v>2.3752072593197201E-3</v>
      </c>
      <c r="I127">
        <f t="shared" si="15"/>
        <v>4.3723909132794767E-3</v>
      </c>
      <c r="J127">
        <f t="shared" si="16"/>
        <v>259.64632350387228</v>
      </c>
      <c r="K127" s="5">
        <f t="shared" si="17"/>
        <v>281.47471094416062</v>
      </c>
      <c r="L127" s="5">
        <f t="shared" si="18"/>
        <v>2.3723909132794762E-3</v>
      </c>
      <c r="AB127">
        <f t="shared" si="23"/>
        <v>11.899999999999974</v>
      </c>
      <c r="AC127">
        <f t="shared" si="19"/>
        <v>-4.4204959532099224</v>
      </c>
      <c r="AD127">
        <f t="shared" si="20"/>
        <v>1070.0626572402225</v>
      </c>
      <c r="AE127">
        <f t="shared" si="21"/>
        <v>-257.98695969747007</v>
      </c>
      <c r="AF127">
        <f t="shared" si="22"/>
        <v>406.03784877137622</v>
      </c>
    </row>
    <row r="128" spans="2:32">
      <c r="B128">
        <v>1.17578125</v>
      </c>
      <c r="C128">
        <v>0.19400865130592099</v>
      </c>
      <c r="D128">
        <v>14.134283203124999</v>
      </c>
      <c r="E128" s="5">
        <f t="shared" si="12"/>
        <v>14134.283203125</v>
      </c>
      <c r="F128" s="5">
        <v>2.3903554392745701E-2</v>
      </c>
      <c r="G128">
        <f t="shared" si="13"/>
        <v>282.6856640625</v>
      </c>
      <c r="H128">
        <f t="shared" si="14"/>
        <v>2.3903554392745701E-3</v>
      </c>
      <c r="I128">
        <f t="shared" si="15"/>
        <v>4.3875030842355119E-3</v>
      </c>
      <c r="J128">
        <f t="shared" si="16"/>
        <v>261.30027505415563</v>
      </c>
      <c r="K128" s="5">
        <f t="shared" si="17"/>
        <v>283.36138327719675</v>
      </c>
      <c r="L128" s="5">
        <f t="shared" si="18"/>
        <v>2.3875030842355122E-3</v>
      </c>
      <c r="AB128">
        <f t="shared" si="23"/>
        <v>11.999999999999973</v>
      </c>
      <c r="AC128">
        <f t="shared" si="19"/>
        <v>49.740168124746219</v>
      </c>
      <c r="AD128">
        <f t="shared" si="20"/>
        <v>1070.0626572402225</v>
      </c>
      <c r="AE128">
        <f t="shared" si="21"/>
        <v>-257.98695969747007</v>
      </c>
      <c r="AF128">
        <f t="shared" si="22"/>
        <v>406.03784877137622</v>
      </c>
    </row>
    <row r="129" spans="2:32">
      <c r="B129">
        <v>1.185546875</v>
      </c>
      <c r="C129">
        <v>0.19444078498054301</v>
      </c>
      <c r="D129">
        <v>14.229318359375</v>
      </c>
      <c r="E129" s="5">
        <f t="shared" si="12"/>
        <v>14229.318359375</v>
      </c>
      <c r="F129" s="5">
        <v>2.4080838556983501E-2</v>
      </c>
      <c r="G129">
        <f t="shared" si="13"/>
        <v>284.5863671875</v>
      </c>
      <c r="H129">
        <f t="shared" si="14"/>
        <v>2.4080838556983499E-3</v>
      </c>
      <c r="I129">
        <f t="shared" si="15"/>
        <v>4.4051890680997813E-3</v>
      </c>
      <c r="J129">
        <f t="shared" si="16"/>
        <v>263.23591755818052</v>
      </c>
      <c r="K129" s="5">
        <f t="shared" si="17"/>
        <v>285.27167502387607</v>
      </c>
      <c r="L129" s="5">
        <f t="shared" si="18"/>
        <v>2.4051890680997809E-3</v>
      </c>
      <c r="AB129">
        <f t="shared" si="23"/>
        <v>12.099999999999973</v>
      </c>
      <c r="AC129">
        <f t="shared" si="19"/>
        <v>107.46084236239545</v>
      </c>
      <c r="AD129">
        <f t="shared" si="20"/>
        <v>1070.0626572402225</v>
      </c>
      <c r="AE129">
        <f t="shared" si="21"/>
        <v>-257.98695969747007</v>
      </c>
      <c r="AF129">
        <f t="shared" si="22"/>
        <v>406.03784877137622</v>
      </c>
    </row>
    <row r="130" spans="2:32">
      <c r="B130">
        <v>1.1953125</v>
      </c>
      <c r="C130">
        <v>0.19682198762893699</v>
      </c>
      <c r="D130">
        <v>14.3150546875</v>
      </c>
      <c r="E130" s="5">
        <f t="shared" si="12"/>
        <v>14315.0546875</v>
      </c>
      <c r="F130" s="5">
        <v>2.43259109993232E-2</v>
      </c>
      <c r="G130">
        <f t="shared" si="13"/>
        <v>286.30109375000001</v>
      </c>
      <c r="H130">
        <f t="shared" si="14"/>
        <v>2.4325910999323198E-3</v>
      </c>
      <c r="I130">
        <f t="shared" si="15"/>
        <v>4.4296371397508968E-3</v>
      </c>
      <c r="J130">
        <f t="shared" si="16"/>
        <v>265.91163676003691</v>
      </c>
      <c r="K130" s="5">
        <f t="shared" si="17"/>
        <v>286.99754724255718</v>
      </c>
      <c r="L130" s="5">
        <f t="shared" si="18"/>
        <v>2.4296371397508972E-3</v>
      </c>
      <c r="AB130">
        <f t="shared" si="23"/>
        <v>12.199999999999973</v>
      </c>
      <c r="AC130">
        <f t="shared" si="19"/>
        <v>168.16480086267333</v>
      </c>
      <c r="AD130">
        <f t="shared" si="20"/>
        <v>1070.0626572402225</v>
      </c>
      <c r="AE130">
        <f t="shared" si="21"/>
        <v>-257.98695969747007</v>
      </c>
      <c r="AF130">
        <f t="shared" si="22"/>
        <v>406.03784877137622</v>
      </c>
    </row>
    <row r="131" spans="2:32">
      <c r="B131">
        <v>1.205078125</v>
      </c>
      <c r="C131">
        <v>0.19918828911613701</v>
      </c>
      <c r="D131">
        <v>14.448604492187499</v>
      </c>
      <c r="E131" s="5">
        <f t="shared" si="12"/>
        <v>14448.6044921875</v>
      </c>
      <c r="F131" s="5">
        <v>2.45039573201211E-2</v>
      </c>
      <c r="G131">
        <f t="shared" si="13"/>
        <v>288.97208984374998</v>
      </c>
      <c r="H131">
        <f t="shared" si="14"/>
        <v>2.45039573201211E-3</v>
      </c>
      <c r="I131">
        <f t="shared" si="15"/>
        <v>4.4473984078121226E-3</v>
      </c>
      <c r="J131">
        <f t="shared" si="16"/>
        <v>267.85551874299773</v>
      </c>
      <c r="K131" s="5">
        <f t="shared" si="17"/>
        <v>289.68018581937372</v>
      </c>
      <c r="L131" s="5">
        <f t="shared" si="18"/>
        <v>2.4473984078121221E-3</v>
      </c>
      <c r="AB131">
        <f t="shared" si="23"/>
        <v>12.299999999999972</v>
      </c>
      <c r="AC131">
        <f t="shared" si="19"/>
        <v>231.24550973830583</v>
      </c>
      <c r="AD131">
        <f t="shared" si="20"/>
        <v>1070.0626572402225</v>
      </c>
      <c r="AE131">
        <f t="shared" si="21"/>
        <v>-257.98695969747007</v>
      </c>
      <c r="AF131">
        <f t="shared" si="22"/>
        <v>406.03784877137622</v>
      </c>
    </row>
    <row r="132" spans="2:32">
      <c r="B132">
        <v>1.21484375</v>
      </c>
      <c r="C132">
        <v>0.20009427680634001</v>
      </c>
      <c r="D132">
        <v>14.542310546874999</v>
      </c>
      <c r="E132" s="5">
        <f t="shared" si="12"/>
        <v>14542.310546875</v>
      </c>
      <c r="F132" s="5">
        <v>2.4702936570975002E-2</v>
      </c>
      <c r="G132">
        <f t="shared" si="13"/>
        <v>290.84621093750002</v>
      </c>
      <c r="H132">
        <f t="shared" si="14"/>
        <v>2.4702936570975003E-3</v>
      </c>
      <c r="I132">
        <f t="shared" si="15"/>
        <v>4.4672474972961597E-3</v>
      </c>
      <c r="J132">
        <f t="shared" si="16"/>
        <v>270.02790234157817</v>
      </c>
      <c r="K132" s="5">
        <f t="shared" si="17"/>
        <v>291.56468648756976</v>
      </c>
      <c r="L132" s="5">
        <f t="shared" si="18"/>
        <v>2.4672474972961597E-3</v>
      </c>
      <c r="AB132">
        <f t="shared" si="23"/>
        <v>12.399999999999972</v>
      </c>
      <c r="AC132">
        <f t="shared" si="19"/>
        <v>296.07268739791778</v>
      </c>
      <c r="AD132">
        <f t="shared" si="20"/>
        <v>1070.0626572402225</v>
      </c>
      <c r="AE132">
        <f t="shared" si="21"/>
        <v>-257.98695969747007</v>
      </c>
      <c r="AF132">
        <f t="shared" si="22"/>
        <v>406.03784877137622</v>
      </c>
    </row>
    <row r="133" spans="2:32">
      <c r="B133">
        <v>1.224609375</v>
      </c>
      <c r="C133">
        <v>0.20126700110267801</v>
      </c>
      <c r="D133">
        <v>14.63164453125</v>
      </c>
      <c r="E133" s="5">
        <f t="shared" si="12"/>
        <v>14631.64453125</v>
      </c>
      <c r="F133" s="5">
        <v>2.4870842025848099E-2</v>
      </c>
      <c r="G133">
        <f t="shared" si="13"/>
        <v>292.63289062500002</v>
      </c>
      <c r="H133">
        <f t="shared" si="14"/>
        <v>2.4870842025848097E-3</v>
      </c>
      <c r="I133">
        <f t="shared" si="15"/>
        <v>4.4839965271489812E-3</v>
      </c>
      <c r="J133">
        <f t="shared" si="16"/>
        <v>271.86099991382025</v>
      </c>
      <c r="K133" s="5">
        <f t="shared" si="17"/>
        <v>293.36069326443021</v>
      </c>
      <c r="L133" s="5">
        <f t="shared" si="18"/>
        <v>2.4839965271489812E-3</v>
      </c>
      <c r="AB133">
        <f t="shared" si="23"/>
        <v>12.499999999999972</v>
      </c>
      <c r="AC133">
        <f t="shared" si="19"/>
        <v>361.99860211135012</v>
      </c>
      <c r="AD133">
        <f t="shared" si="20"/>
        <v>1070.0626572402225</v>
      </c>
      <c r="AE133">
        <f t="shared" si="21"/>
        <v>-257.98695969747007</v>
      </c>
      <c r="AF133">
        <f t="shared" si="22"/>
        <v>406.03784877137622</v>
      </c>
    </row>
    <row r="134" spans="2:32">
      <c r="B134">
        <v>1.234375</v>
      </c>
      <c r="C134">
        <v>0.20436049089767</v>
      </c>
      <c r="D134">
        <v>14.7450908203125</v>
      </c>
      <c r="E134" s="5">
        <f t="shared" si="12"/>
        <v>14745.0908203125</v>
      </c>
      <c r="F134" s="5">
        <v>2.50004522968084E-2</v>
      </c>
      <c r="G134">
        <f t="shared" si="13"/>
        <v>294.90181640625002</v>
      </c>
      <c r="H134">
        <f t="shared" si="14"/>
        <v>2.5000452296808401E-3</v>
      </c>
      <c r="I134">
        <f t="shared" si="15"/>
        <v>4.4969253154747962E-3</v>
      </c>
      <c r="J134">
        <f t="shared" si="16"/>
        <v>273.275991152139</v>
      </c>
      <c r="K134" s="5">
        <f t="shared" si="17"/>
        <v>295.63908428558068</v>
      </c>
      <c r="L134" s="5">
        <f t="shared" si="18"/>
        <v>2.4969253154747957E-3</v>
      </c>
      <c r="AB134">
        <f t="shared" si="23"/>
        <v>12.599999999999971</v>
      </c>
      <c r="AC134">
        <f t="shared" si="19"/>
        <v>428.36454393099643</v>
      </c>
      <c r="AD134">
        <f t="shared" si="20"/>
        <v>1070.0626572402225</v>
      </c>
      <c r="AE134">
        <f t="shared" si="21"/>
        <v>-257.98695969747007</v>
      </c>
      <c r="AF134">
        <f t="shared" si="22"/>
        <v>406.03784877137622</v>
      </c>
    </row>
    <row r="135" spans="2:32">
      <c r="B135">
        <v>1.244140625</v>
      </c>
      <c r="C135">
        <v>0.20546614541672201</v>
      </c>
      <c r="D135">
        <v>14.831957031250001</v>
      </c>
      <c r="E135" s="5">
        <f t="shared" si="12"/>
        <v>14831.95703125</v>
      </c>
      <c r="F135" s="5">
        <v>2.5269748221035102E-2</v>
      </c>
      <c r="G135">
        <f t="shared" si="13"/>
        <v>296.63914062499998</v>
      </c>
      <c r="H135">
        <f t="shared" si="14"/>
        <v>2.5269748221035102E-3</v>
      </c>
      <c r="I135">
        <f t="shared" si="15"/>
        <v>4.5237873898059423E-3</v>
      </c>
      <c r="J135">
        <f t="shared" si="16"/>
        <v>276.21591087731139</v>
      </c>
      <c r="K135" s="5">
        <f t="shared" si="17"/>
        <v>297.38874026460979</v>
      </c>
      <c r="L135" s="5">
        <f t="shared" si="18"/>
        <v>2.5237873898059427E-3</v>
      </c>
      <c r="AB135">
        <f t="shared" si="23"/>
        <v>12.699999999999971</v>
      </c>
      <c r="AC135">
        <f t="shared" si="19"/>
        <v>494.50740630385843</v>
      </c>
      <c r="AD135">
        <f t="shared" si="20"/>
        <v>1070.0626572402225</v>
      </c>
      <c r="AE135">
        <f t="shared" si="21"/>
        <v>-257.98695969747007</v>
      </c>
      <c r="AF135">
        <f t="shared" si="22"/>
        <v>406.03784877137622</v>
      </c>
    </row>
    <row r="136" spans="2:32">
      <c r="B136">
        <v>1.25390625</v>
      </c>
      <c r="C136">
        <v>0.20616799884010101</v>
      </c>
      <c r="D136">
        <v>14.929064453124999</v>
      </c>
      <c r="E136" s="5">
        <f t="shared" si="12"/>
        <v>14929.064453125</v>
      </c>
      <c r="F136" s="5">
        <v>2.54845472227316E-2</v>
      </c>
      <c r="G136">
        <f t="shared" si="13"/>
        <v>298.58128906249999</v>
      </c>
      <c r="H136">
        <f t="shared" si="14"/>
        <v>2.54845472227316E-3</v>
      </c>
      <c r="I136">
        <f t="shared" si="15"/>
        <v>4.5452129180967712E-3</v>
      </c>
      <c r="J136">
        <f t="shared" si="16"/>
        <v>278.5608278211011</v>
      </c>
      <c r="K136" s="5">
        <f t="shared" si="17"/>
        <v>299.34220995859374</v>
      </c>
      <c r="L136" s="5">
        <f t="shared" si="18"/>
        <v>2.5452129180967712E-3</v>
      </c>
      <c r="AB136">
        <f t="shared" si="23"/>
        <v>12.799999999999971</v>
      </c>
      <c r="AC136">
        <f t="shared" si="19"/>
        <v>559.76631161302987</v>
      </c>
      <c r="AD136">
        <f t="shared" si="20"/>
        <v>1070.0626572402225</v>
      </c>
      <c r="AE136">
        <f t="shared" si="21"/>
        <v>-257.98695969747007</v>
      </c>
      <c r="AF136">
        <f t="shared" si="22"/>
        <v>406.03784877137622</v>
      </c>
    </row>
    <row r="137" spans="2:32">
      <c r="B137">
        <v>1.263671875</v>
      </c>
      <c r="C137">
        <v>0.207118690013886</v>
      </c>
      <c r="D137">
        <v>15.0511025390625</v>
      </c>
      <c r="E137" s="5">
        <f t="shared" ref="E137:E200" si="24" xml:space="preserve"> D137*R$3</f>
        <v>15051.1025390625</v>
      </c>
      <c r="F137" s="5">
        <v>2.5591598387109098E-2</v>
      </c>
      <c r="G137">
        <f t="shared" ref="G137:G200" si="25" xml:space="preserve"> E137/C$3</f>
        <v>301.02205078125002</v>
      </c>
      <c r="H137">
        <f t="shared" ref="H137:H200" si="26" xml:space="preserve"> F137/C$4</f>
        <v>2.5591598387109098E-3</v>
      </c>
      <c r="I137">
        <f t="shared" ref="I137:I200" si="27">L137+0.002</f>
        <v>4.5558907653705134E-3</v>
      </c>
      <c r="J137">
        <f t="shared" ref="J137:J200" si="28">L137*G$2</f>
        <v>279.7294648159758</v>
      </c>
      <c r="K137" s="5">
        <f t="shared" ref="K137:K200" si="29" xml:space="preserve"> G137 * (1 + H137)</f>
        <v>301.79241432417581</v>
      </c>
      <c r="L137" s="5">
        <f t="shared" ref="L137:L200" si="30">LN(1 + H137)</f>
        <v>2.555890765370513E-3</v>
      </c>
      <c r="AB137">
        <f t="shared" si="23"/>
        <v>12.89999999999997</v>
      </c>
      <c r="AC137">
        <f t="shared" ref="AC137:AC148" si="31">406.038 + 664.025*SIN(AB137)</f>
        <v>623.48921444838766</v>
      </c>
      <c r="AD137">
        <f t="shared" ref="AD137:AD153" si="32">J$2</f>
        <v>1070.0626572402225</v>
      </c>
      <c r="AE137">
        <f t="shared" ref="AE137:AE153" si="33">N$4</f>
        <v>-257.98695969747007</v>
      </c>
      <c r="AF137">
        <f t="shared" ref="AF137:AF153" si="34">W$4</f>
        <v>406.03784877137622</v>
      </c>
    </row>
    <row r="138" spans="2:32">
      <c r="B138">
        <v>1.2734375</v>
      </c>
      <c r="C138">
        <v>0.20946710719726999</v>
      </c>
      <c r="D138">
        <v>15.158398437500001</v>
      </c>
      <c r="E138" s="5">
        <f t="shared" si="24"/>
        <v>15158.3984375</v>
      </c>
      <c r="F138" s="5">
        <v>2.5800760340644002E-2</v>
      </c>
      <c r="G138">
        <f t="shared" si="25"/>
        <v>303.16796875</v>
      </c>
      <c r="H138">
        <f t="shared" si="26"/>
        <v>2.5800760340644003E-3</v>
      </c>
      <c r="I138">
        <f t="shared" si="27"/>
        <v>4.5767533518483519E-3</v>
      </c>
      <c r="J138">
        <f t="shared" si="28"/>
        <v>282.01277059304289</v>
      </c>
      <c r="K138" s="5">
        <f t="shared" si="29"/>
        <v>303.95016516046786</v>
      </c>
      <c r="L138" s="5">
        <f t="shared" si="30"/>
        <v>2.5767533518483519E-3</v>
      </c>
      <c r="AB138">
        <f t="shared" ref="AB138:AB153" si="35">AB137 + 0.1</f>
        <v>12.99999999999997</v>
      </c>
      <c r="AC138">
        <f t="shared" si="31"/>
        <v>685.03941662879197</v>
      </c>
      <c r="AD138">
        <f t="shared" si="32"/>
        <v>1070.0626572402225</v>
      </c>
      <c r="AE138">
        <f t="shared" si="33"/>
        <v>-257.98695969747007</v>
      </c>
      <c r="AF138">
        <f t="shared" si="34"/>
        <v>406.03784877137622</v>
      </c>
    </row>
    <row r="139" spans="2:32">
      <c r="B139">
        <v>1.283203125</v>
      </c>
      <c r="C139">
        <v>0.211150938412175</v>
      </c>
      <c r="D139">
        <v>15.254434570312499</v>
      </c>
      <c r="E139" s="5">
        <f t="shared" si="24"/>
        <v>15254.4345703125</v>
      </c>
      <c r="F139" s="5">
        <v>2.5952604119083799E-2</v>
      </c>
      <c r="G139">
        <f t="shared" si="25"/>
        <v>305.08869140625001</v>
      </c>
      <c r="H139">
        <f t="shared" si="26"/>
        <v>2.5952604119083801E-3</v>
      </c>
      <c r="I139">
        <f t="shared" si="27"/>
        <v>4.5918985389731678E-3</v>
      </c>
      <c r="J139">
        <f t="shared" si="28"/>
        <v>283.67033559791832</v>
      </c>
      <c r="K139" s="5">
        <f t="shared" si="29"/>
        <v>305.88047600917758</v>
      </c>
      <c r="L139" s="5">
        <f t="shared" si="30"/>
        <v>2.5918985389731678E-3</v>
      </c>
      <c r="AB139">
        <f t="shared" si="35"/>
        <v>13.099999999999969</v>
      </c>
      <c r="AC139">
        <f t="shared" si="31"/>
        <v>743.80192887984822</v>
      </c>
      <c r="AD139">
        <f t="shared" si="32"/>
        <v>1070.0626572402225</v>
      </c>
      <c r="AE139">
        <f t="shared" si="33"/>
        <v>-257.98695969747007</v>
      </c>
      <c r="AF139">
        <f t="shared" si="34"/>
        <v>406.03784877137622</v>
      </c>
    </row>
    <row r="140" spans="2:32">
      <c r="B140">
        <v>1.29296875</v>
      </c>
      <c r="C140">
        <v>0.21316409402061301</v>
      </c>
      <c r="D140">
        <v>15.334423828125001</v>
      </c>
      <c r="E140" s="5">
        <f t="shared" si="24"/>
        <v>15334.423828125</v>
      </c>
      <c r="F140" s="5">
        <v>2.6133866413147199E-2</v>
      </c>
      <c r="G140">
        <f t="shared" si="25"/>
        <v>306.6884765625</v>
      </c>
      <c r="H140">
        <f t="shared" si="26"/>
        <v>2.6133866413147197E-3</v>
      </c>
      <c r="I140">
        <f t="shared" si="27"/>
        <v>4.6099776844361253E-3</v>
      </c>
      <c r="J140">
        <f t="shared" si="28"/>
        <v>285.64900767311178</v>
      </c>
      <c r="K140" s="5">
        <f t="shared" si="29"/>
        <v>307.48997213019362</v>
      </c>
      <c r="L140" s="5">
        <f t="shared" si="30"/>
        <v>2.6099776844361257E-3</v>
      </c>
      <c r="AB140">
        <f t="shared" si="35"/>
        <v>13.199999999999969</v>
      </c>
      <c r="AC140">
        <f t="shared" si="31"/>
        <v>799.18961560344769</v>
      </c>
      <c r="AD140">
        <f t="shared" si="32"/>
        <v>1070.0626572402225</v>
      </c>
      <c r="AE140">
        <f t="shared" si="33"/>
        <v>-257.98695969747007</v>
      </c>
      <c r="AF140">
        <f t="shared" si="34"/>
        <v>406.03784877137622</v>
      </c>
    </row>
    <row r="141" spans="2:32">
      <c r="B141">
        <v>1.302734375</v>
      </c>
      <c r="C141">
        <v>0.21578223095275501</v>
      </c>
      <c r="D141">
        <v>15.4244990234375</v>
      </c>
      <c r="E141" s="5">
        <f t="shared" si="24"/>
        <v>15424.4990234375</v>
      </c>
      <c r="F141" s="5">
        <v>2.6278517907485401E-2</v>
      </c>
      <c r="G141">
        <f t="shared" si="25"/>
        <v>308.48998046874999</v>
      </c>
      <c r="H141">
        <f t="shared" si="26"/>
        <v>2.6278517907485401E-3</v>
      </c>
      <c r="I141">
        <f t="shared" si="27"/>
        <v>4.6244050253034814E-3</v>
      </c>
      <c r="J141">
        <f t="shared" si="28"/>
        <v>287.22800799433952</v>
      </c>
      <c r="K141" s="5">
        <f t="shared" si="29"/>
        <v>309.30064641635278</v>
      </c>
      <c r="L141" s="5">
        <f t="shared" si="30"/>
        <v>2.6244050253034813E-3</v>
      </c>
      <c r="AB141">
        <f t="shared" si="35"/>
        <v>13.299999999999969</v>
      </c>
      <c r="AC141">
        <f t="shared" si="31"/>
        <v>850.64906134258308</v>
      </c>
      <c r="AD141">
        <f t="shared" si="32"/>
        <v>1070.0626572402225</v>
      </c>
      <c r="AE141">
        <f t="shared" si="33"/>
        <v>-257.98695969747007</v>
      </c>
      <c r="AF141">
        <f t="shared" si="34"/>
        <v>406.03784877137622</v>
      </c>
    </row>
    <row r="142" spans="2:32">
      <c r="B142">
        <v>1.3125</v>
      </c>
      <c r="C142">
        <v>0.21627396927215201</v>
      </c>
      <c r="D142">
        <v>15.517453124999999</v>
      </c>
      <c r="E142" s="5">
        <f t="shared" si="24"/>
        <v>15517.453125</v>
      </c>
      <c r="F142" s="5">
        <v>2.6441497539053699E-2</v>
      </c>
      <c r="G142">
        <f t="shared" si="25"/>
        <v>310.3490625</v>
      </c>
      <c r="H142">
        <f t="shared" si="26"/>
        <v>2.6441497539053697E-3</v>
      </c>
      <c r="I142">
        <f t="shared" si="27"/>
        <v>4.6406601399658666E-3</v>
      </c>
      <c r="J142">
        <f t="shared" si="28"/>
        <v>289.0070490185642</v>
      </c>
      <c r="K142" s="5">
        <f t="shared" si="29"/>
        <v>311.16967189723414</v>
      </c>
      <c r="L142" s="5">
        <f t="shared" si="30"/>
        <v>2.6406601399658661E-3</v>
      </c>
      <c r="AB142">
        <f t="shared" si="35"/>
        <v>13.399999999999968</v>
      </c>
      <c r="AC142">
        <f t="shared" si="31"/>
        <v>897.66610032566041</v>
      </c>
      <c r="AD142">
        <f t="shared" si="32"/>
        <v>1070.0626572402225</v>
      </c>
      <c r="AE142">
        <f t="shared" si="33"/>
        <v>-257.98695969747007</v>
      </c>
      <c r="AF142">
        <f t="shared" si="34"/>
        <v>406.03784877137622</v>
      </c>
    </row>
    <row r="143" spans="2:32">
      <c r="B143">
        <v>1.322265625</v>
      </c>
      <c r="C143">
        <v>0.217634442378767</v>
      </c>
      <c r="D143">
        <v>15.5919873046875</v>
      </c>
      <c r="E143" s="5">
        <f t="shared" si="24"/>
        <v>15591.9873046875</v>
      </c>
      <c r="F143" s="5">
        <v>2.6699299269239401E-2</v>
      </c>
      <c r="G143">
        <f t="shared" si="25"/>
        <v>311.83974609375002</v>
      </c>
      <c r="H143">
        <f t="shared" si="26"/>
        <v>2.6699299269239401E-3</v>
      </c>
      <c r="I143">
        <f t="shared" si="27"/>
        <v>4.6663719955611742E-3</v>
      </c>
      <c r="J143">
        <f t="shared" si="28"/>
        <v>291.82108305419268</v>
      </c>
      <c r="K143" s="5">
        <f t="shared" si="29"/>
        <v>312.6723363642501</v>
      </c>
      <c r="L143" s="5">
        <f t="shared" si="30"/>
        <v>2.6663719955611737E-3</v>
      </c>
      <c r="AB143">
        <f t="shared" si="35"/>
        <v>13.499999999999968</v>
      </c>
      <c r="AC143">
        <f t="shared" si="31"/>
        <v>939.7709538409274</v>
      </c>
      <c r="AD143">
        <f t="shared" si="32"/>
        <v>1070.0626572402225</v>
      </c>
      <c r="AE143">
        <f t="shared" si="33"/>
        <v>-257.98695969747007</v>
      </c>
      <c r="AF143">
        <f t="shared" si="34"/>
        <v>406.03784877137622</v>
      </c>
    </row>
    <row r="144" spans="2:32">
      <c r="B144">
        <v>1.33203125</v>
      </c>
      <c r="C144">
        <v>0.21922439918853301</v>
      </c>
      <c r="D144">
        <v>15.694736328125</v>
      </c>
      <c r="E144" s="5">
        <f t="shared" si="24"/>
        <v>15694.736328125</v>
      </c>
      <c r="F144" s="5">
        <v>2.6829793569049801E-2</v>
      </c>
      <c r="G144">
        <f t="shared" si="25"/>
        <v>313.89472656250001</v>
      </c>
      <c r="H144">
        <f t="shared" si="26"/>
        <v>2.6829793569049802E-3</v>
      </c>
      <c r="I144">
        <f t="shared" si="27"/>
        <v>4.6793865925638355E-3</v>
      </c>
      <c r="J144">
        <f t="shared" si="28"/>
        <v>293.24546562314896</v>
      </c>
      <c r="K144" s="5">
        <f t="shared" si="29"/>
        <v>314.73689963410851</v>
      </c>
      <c r="L144" s="5">
        <f t="shared" si="30"/>
        <v>2.6793865925638354E-3</v>
      </c>
      <c r="AB144">
        <f t="shared" si="35"/>
        <v>13.599999999999968</v>
      </c>
      <c r="AC144">
        <f t="shared" si="31"/>
        <v>976.54292411007373</v>
      </c>
      <c r="AD144">
        <f t="shared" si="32"/>
        <v>1070.0626572402225</v>
      </c>
      <c r="AE144">
        <f t="shared" si="33"/>
        <v>-257.98695969747007</v>
      </c>
      <c r="AF144">
        <f t="shared" si="34"/>
        <v>406.03784877137622</v>
      </c>
    </row>
    <row r="145" spans="2:32">
      <c r="B145">
        <v>1.341796875</v>
      </c>
      <c r="C145">
        <v>0.221782916923985</v>
      </c>
      <c r="D145">
        <v>15.8056796875</v>
      </c>
      <c r="E145" s="5">
        <f t="shared" si="24"/>
        <v>15805.6796875</v>
      </c>
      <c r="F145" s="5">
        <v>2.7007714379578801E-2</v>
      </c>
      <c r="G145">
        <f t="shared" si="25"/>
        <v>316.11359375000001</v>
      </c>
      <c r="H145">
        <f t="shared" si="26"/>
        <v>2.7007714379578803E-3</v>
      </c>
      <c r="I145">
        <f t="shared" si="27"/>
        <v>4.6971309081306869E-3</v>
      </c>
      <c r="J145">
        <f t="shared" si="28"/>
        <v>295.18749224036304</v>
      </c>
      <c r="K145" s="5">
        <f t="shared" si="29"/>
        <v>316.96734431515023</v>
      </c>
      <c r="L145" s="5">
        <f t="shared" si="30"/>
        <v>2.6971309081306868E-3</v>
      </c>
      <c r="AB145">
        <f t="shared" si="35"/>
        <v>13.699999999999967</v>
      </c>
      <c r="AC145">
        <f t="shared" si="31"/>
        <v>1007.6145977613673</v>
      </c>
      <c r="AD145">
        <f t="shared" si="32"/>
        <v>1070.0626572402225</v>
      </c>
      <c r="AE145">
        <f t="shared" si="33"/>
        <v>-257.98695969747007</v>
      </c>
      <c r="AF145">
        <f t="shared" si="34"/>
        <v>406.03784877137622</v>
      </c>
    </row>
    <row r="146" spans="2:32">
      <c r="B146">
        <v>1.3515625</v>
      </c>
      <c r="C146">
        <v>0.22157133207656399</v>
      </c>
      <c r="D146">
        <v>15.921259765625001</v>
      </c>
      <c r="E146" s="5">
        <f t="shared" si="24"/>
        <v>15921.259765625</v>
      </c>
      <c r="F146" s="5">
        <v>2.72340803348925E-2</v>
      </c>
      <c r="G146">
        <f t="shared" si="25"/>
        <v>318.42519531250002</v>
      </c>
      <c r="H146">
        <f t="shared" si="26"/>
        <v>2.7234080334892501E-3</v>
      </c>
      <c r="I146">
        <f t="shared" si="27"/>
        <v>4.7197062772361834E-3</v>
      </c>
      <c r="J146">
        <f t="shared" si="28"/>
        <v>297.65825351211407</v>
      </c>
      <c r="K146" s="5">
        <f t="shared" si="29"/>
        <v>319.29239704747948</v>
      </c>
      <c r="L146" s="5">
        <f t="shared" si="30"/>
        <v>2.7197062772361833E-3</v>
      </c>
      <c r="AB146">
        <f t="shared" si="35"/>
        <v>13.799999999999967</v>
      </c>
      <c r="AC146">
        <f t="shared" si="31"/>
        <v>1032.6755169026142</v>
      </c>
      <c r="AD146">
        <f t="shared" si="32"/>
        <v>1070.0626572402225</v>
      </c>
      <c r="AE146">
        <f t="shared" si="33"/>
        <v>-257.98695969747007</v>
      </c>
      <c r="AF146">
        <f t="shared" si="34"/>
        <v>406.03784877137622</v>
      </c>
    </row>
    <row r="147" spans="2:32">
      <c r="B147">
        <v>1.361328125</v>
      </c>
      <c r="C147">
        <v>0.22493154392577699</v>
      </c>
      <c r="D147">
        <v>16.025945312499999</v>
      </c>
      <c r="E147" s="5">
        <f t="shared" si="24"/>
        <v>16025.9453125</v>
      </c>
      <c r="F147" s="5">
        <v>2.73875157290604E-2</v>
      </c>
      <c r="G147">
        <f t="shared" si="25"/>
        <v>320.51890624999999</v>
      </c>
      <c r="H147">
        <f t="shared" si="26"/>
        <v>2.7387515729060401E-3</v>
      </c>
      <c r="I147">
        <f t="shared" si="27"/>
        <v>4.7350080263553005E-3</v>
      </c>
      <c r="J147">
        <f t="shared" si="28"/>
        <v>299.33295344445582</v>
      </c>
      <c r="K147" s="5">
        <f t="shared" si="29"/>
        <v>321.3967279086383</v>
      </c>
      <c r="L147" s="5">
        <f t="shared" si="30"/>
        <v>2.7350080263553E-3</v>
      </c>
      <c r="AB147">
        <f t="shared" si="35"/>
        <v>13.899999999999967</v>
      </c>
      <c r="AC147">
        <f t="shared" si="31"/>
        <v>1051.4752811137937</v>
      </c>
      <c r="AD147">
        <f t="shared" si="32"/>
        <v>1070.0626572402225</v>
      </c>
      <c r="AE147">
        <f t="shared" si="33"/>
        <v>-257.98695969747007</v>
      </c>
      <c r="AF147">
        <f t="shared" si="34"/>
        <v>406.03784877137622</v>
      </c>
    </row>
    <row r="148" spans="2:32">
      <c r="B148">
        <v>1.37109375</v>
      </c>
      <c r="C148">
        <v>0.226075950195082</v>
      </c>
      <c r="D148">
        <v>16.09903515625</v>
      </c>
      <c r="E148" s="5">
        <f t="shared" si="24"/>
        <v>16099.03515625</v>
      </c>
      <c r="F148" s="5">
        <v>2.75280308414949E-2</v>
      </c>
      <c r="G148">
        <f t="shared" si="25"/>
        <v>321.98070312499999</v>
      </c>
      <c r="H148">
        <f t="shared" si="26"/>
        <v>2.7528030841494902E-3</v>
      </c>
      <c r="I148">
        <f t="shared" si="27"/>
        <v>4.7490210609263525E-3</v>
      </c>
      <c r="J148">
        <f t="shared" si="28"/>
        <v>300.86661001308465</v>
      </c>
      <c r="K148" s="5">
        <f t="shared" si="29"/>
        <v>322.86705259759913</v>
      </c>
      <c r="L148" s="5">
        <f t="shared" si="30"/>
        <v>2.7490210609263524E-3</v>
      </c>
      <c r="AB148">
        <f t="shared" si="35"/>
        <v>13.999999999999966</v>
      </c>
      <c r="AC148">
        <f t="shared" si="31"/>
        <v>1063.8260493652833</v>
      </c>
      <c r="AD148">
        <f t="shared" si="32"/>
        <v>1070.0626572402225</v>
      </c>
      <c r="AE148">
        <f t="shared" si="33"/>
        <v>-257.98695969747007</v>
      </c>
      <c r="AF148">
        <f t="shared" si="34"/>
        <v>406.03784877137622</v>
      </c>
    </row>
    <row r="149" spans="2:32">
      <c r="B149">
        <v>1.380859375</v>
      </c>
      <c r="C149">
        <v>0.22742003784515</v>
      </c>
      <c r="D149">
        <v>16.180646484375</v>
      </c>
      <c r="E149" s="5">
        <f t="shared" si="24"/>
        <v>16180.646484375</v>
      </c>
      <c r="F149" s="5">
        <v>2.77075469057309E-2</v>
      </c>
      <c r="G149">
        <f t="shared" si="25"/>
        <v>323.61292968750001</v>
      </c>
      <c r="H149">
        <f t="shared" si="26"/>
        <v>2.7707546905730899E-3</v>
      </c>
      <c r="I149">
        <f t="shared" si="27"/>
        <v>4.766923225530185E-3</v>
      </c>
      <c r="J149">
        <f t="shared" si="28"/>
        <v>302.82591241815106</v>
      </c>
      <c r="K149" s="5">
        <f t="shared" si="29"/>
        <v>324.50958173036173</v>
      </c>
      <c r="L149" s="5">
        <f t="shared" si="30"/>
        <v>2.7669232255301849E-3</v>
      </c>
      <c r="AB149">
        <f t="shared" si="35"/>
        <v>14.099999999999966</v>
      </c>
      <c r="AC149">
        <f>406.038 + 664.025*SIN(AB149)</f>
        <v>1069.6044168633352</v>
      </c>
      <c r="AD149">
        <f t="shared" si="32"/>
        <v>1070.0626572402225</v>
      </c>
      <c r="AE149">
        <f t="shared" si="33"/>
        <v>-257.98695969747007</v>
      </c>
      <c r="AF149">
        <f t="shared" si="34"/>
        <v>406.03784877137622</v>
      </c>
    </row>
    <row r="150" spans="2:32">
      <c r="B150">
        <v>1.390625</v>
      </c>
      <c r="C150">
        <v>0.227855140110478</v>
      </c>
      <c r="D150">
        <v>16.3123603515625</v>
      </c>
      <c r="E150" s="5">
        <f t="shared" si="24"/>
        <v>16312.3603515625</v>
      </c>
      <c r="F150" s="5">
        <v>2.79092710115947E-2</v>
      </c>
      <c r="G150">
        <f t="shared" si="25"/>
        <v>326.24720703125001</v>
      </c>
      <c r="H150">
        <f t="shared" si="26"/>
        <v>2.79092710115947E-3</v>
      </c>
      <c r="I150">
        <f t="shared" si="27"/>
        <v>4.7870396954151125E-3</v>
      </c>
      <c r="J150">
        <f t="shared" si="28"/>
        <v>305.02755946470694</v>
      </c>
      <c r="K150" s="5">
        <f t="shared" si="29"/>
        <v>327.1577392030311</v>
      </c>
      <c r="L150" s="5">
        <f t="shared" si="30"/>
        <v>2.787039695415112E-3</v>
      </c>
      <c r="AB150">
        <f t="shared" si="35"/>
        <v>14.199999999999966</v>
      </c>
      <c r="AC150">
        <f t="shared" ref="AC150:AC153" si="36">406.038 + 664.025*SIN(AB150)</f>
        <v>1068.7526480699835</v>
      </c>
      <c r="AD150">
        <f t="shared" si="32"/>
        <v>1070.0626572402225</v>
      </c>
      <c r="AE150">
        <f t="shared" si="33"/>
        <v>-257.98695969747007</v>
      </c>
      <c r="AF150">
        <f t="shared" si="34"/>
        <v>406.03784877137622</v>
      </c>
    </row>
    <row r="151" spans="2:32">
      <c r="B151">
        <v>1.400390625</v>
      </c>
      <c r="C151">
        <v>0.22983252711128399</v>
      </c>
      <c r="D151">
        <v>16.416324218749999</v>
      </c>
      <c r="E151" s="5">
        <f t="shared" si="24"/>
        <v>16416.32421875</v>
      </c>
      <c r="F151" s="5">
        <v>2.8169377401354698E-2</v>
      </c>
      <c r="G151">
        <f t="shared" si="25"/>
        <v>328.32648437500001</v>
      </c>
      <c r="H151">
        <f t="shared" si="26"/>
        <v>2.8169377401354697E-3</v>
      </c>
      <c r="I151">
        <f t="shared" si="27"/>
        <v>4.8129776062434786E-3</v>
      </c>
      <c r="J151">
        <f t="shared" si="28"/>
        <v>307.8663341153175</v>
      </c>
      <c r="K151" s="5">
        <f t="shared" si="29"/>
        <v>329.25135963992193</v>
      </c>
      <c r="L151" s="5">
        <f t="shared" si="30"/>
        <v>2.8129776062434785E-3</v>
      </c>
      <c r="AB151">
        <f t="shared" si="35"/>
        <v>14.299999999999965</v>
      </c>
      <c r="AC151">
        <f t="shared" si="36"/>
        <v>1061.2792535774538</v>
      </c>
      <c r="AD151">
        <f t="shared" si="32"/>
        <v>1070.0626572402225</v>
      </c>
      <c r="AE151">
        <f t="shared" si="33"/>
        <v>-257.98695969747007</v>
      </c>
      <c r="AF151">
        <f t="shared" si="34"/>
        <v>406.03784877137622</v>
      </c>
    </row>
    <row r="152" spans="2:32">
      <c r="B152">
        <v>1.41015625</v>
      </c>
      <c r="C152">
        <v>0.231388214160688</v>
      </c>
      <c r="D152">
        <v>16.520181640625001</v>
      </c>
      <c r="E152" s="5">
        <f t="shared" si="24"/>
        <v>16520.181640625</v>
      </c>
      <c r="F152" s="5">
        <v>2.8318432669038902E-2</v>
      </c>
      <c r="G152">
        <f t="shared" si="25"/>
        <v>330.40363281250001</v>
      </c>
      <c r="H152">
        <f t="shared" si="26"/>
        <v>2.8318432669038902E-3</v>
      </c>
      <c r="I152">
        <f t="shared" si="27"/>
        <v>4.827841152553124E-3</v>
      </c>
      <c r="J152">
        <f t="shared" si="28"/>
        <v>309.49307494117659</v>
      </c>
      <c r="K152" s="5">
        <f t="shared" si="29"/>
        <v>331.33928411544065</v>
      </c>
      <c r="L152" s="5">
        <f t="shared" si="30"/>
        <v>2.8278411525531236E-3</v>
      </c>
      <c r="AB152">
        <f t="shared" si="35"/>
        <v>14.399999999999965</v>
      </c>
      <c r="AC152">
        <f t="shared" si="36"/>
        <v>1047.2589050731401</v>
      </c>
      <c r="AD152">
        <f t="shared" si="32"/>
        <v>1070.0626572402225</v>
      </c>
      <c r="AE152">
        <f t="shared" si="33"/>
        <v>-257.98695969747007</v>
      </c>
      <c r="AF152">
        <f t="shared" si="34"/>
        <v>406.03784877137622</v>
      </c>
    </row>
    <row r="153" spans="2:32">
      <c r="B153">
        <v>1.419921875</v>
      </c>
      <c r="C153">
        <v>0.23559927649330301</v>
      </c>
      <c r="D153">
        <v>16.628955078124999</v>
      </c>
      <c r="E153" s="5">
        <f t="shared" si="24"/>
        <v>16628.955078125</v>
      </c>
      <c r="F153" s="5">
        <v>2.8492064302554399E-2</v>
      </c>
      <c r="G153">
        <f t="shared" si="25"/>
        <v>332.5791015625</v>
      </c>
      <c r="H153">
        <f t="shared" si="26"/>
        <v>2.8492064302554397E-3</v>
      </c>
      <c r="I153">
        <f t="shared" si="27"/>
        <v>4.8451551351074307E-3</v>
      </c>
      <c r="J153">
        <f t="shared" si="28"/>
        <v>311.38800376183281</v>
      </c>
      <c r="K153" s="5">
        <f t="shared" si="29"/>
        <v>333.52668807724046</v>
      </c>
      <c r="L153" s="5">
        <f t="shared" si="30"/>
        <v>2.8451551351074311E-3</v>
      </c>
      <c r="AB153">
        <f t="shared" si="35"/>
        <v>14.499999999999964</v>
      </c>
      <c r="AC153">
        <f t="shared" si="36"/>
        <v>1026.831689244786</v>
      </c>
      <c r="AD153">
        <f t="shared" si="32"/>
        <v>1070.0626572402225</v>
      </c>
      <c r="AE153">
        <f t="shared" si="33"/>
        <v>-257.98695969747007</v>
      </c>
      <c r="AF153">
        <f t="shared" si="34"/>
        <v>406.03784877137622</v>
      </c>
    </row>
    <row r="154" spans="2:32">
      <c r="B154">
        <v>1.4296875</v>
      </c>
      <c r="C154">
        <v>0.23458301438949999</v>
      </c>
      <c r="D154">
        <v>16.712869140624999</v>
      </c>
      <c r="E154" s="5">
        <f t="shared" si="24"/>
        <v>16712.869140625</v>
      </c>
      <c r="F154" s="5">
        <v>2.8672304324572899E-2</v>
      </c>
      <c r="G154">
        <f t="shared" si="25"/>
        <v>334.2573828125</v>
      </c>
      <c r="H154">
        <f t="shared" si="26"/>
        <v>2.8672304324572897E-3</v>
      </c>
      <c r="I154">
        <f t="shared" si="27"/>
        <v>4.8631277676003202E-3</v>
      </c>
      <c r="J154">
        <f t="shared" si="28"/>
        <v>313.35501852501704</v>
      </c>
      <c r="K154" s="5">
        <f t="shared" si="29"/>
        <v>335.21577575277354</v>
      </c>
      <c r="L154" s="5">
        <f t="shared" si="30"/>
        <v>2.8631277676003201E-3</v>
      </c>
    </row>
    <row r="155" spans="2:32">
      <c r="B155">
        <v>1.439453125</v>
      </c>
      <c r="C155">
        <v>0.238679349422455</v>
      </c>
      <c r="D155">
        <v>16.83801171875</v>
      </c>
      <c r="E155" s="5">
        <f t="shared" si="24"/>
        <v>16838.01171875</v>
      </c>
      <c r="F155" s="5">
        <v>2.8880418540211401E-2</v>
      </c>
      <c r="G155">
        <f t="shared" si="25"/>
        <v>336.76023437499998</v>
      </c>
      <c r="H155">
        <f t="shared" si="26"/>
        <v>2.8880418540211403E-3</v>
      </c>
      <c r="I155">
        <f t="shared" si="27"/>
        <v>4.8838794733065422E-3</v>
      </c>
      <c r="J155">
        <f t="shared" si="28"/>
        <v>315.62618895603447</v>
      </c>
      <c r="K155" s="5">
        <f t="shared" si="29"/>
        <v>337.73281202664492</v>
      </c>
      <c r="L155" s="5">
        <f t="shared" si="30"/>
        <v>2.8838794733065417E-3</v>
      </c>
    </row>
    <row r="156" spans="2:32">
      <c r="B156">
        <v>1.44921875</v>
      </c>
      <c r="C156">
        <v>0.238804524997249</v>
      </c>
      <c r="D156">
        <v>16.92921875</v>
      </c>
      <c r="E156" s="5">
        <f t="shared" si="24"/>
        <v>16929.21875</v>
      </c>
      <c r="F156" s="5">
        <v>2.9084496418363401E-2</v>
      </c>
      <c r="G156">
        <f t="shared" si="25"/>
        <v>338.58437500000002</v>
      </c>
      <c r="H156">
        <f t="shared" si="26"/>
        <v>2.9084496418363402E-3</v>
      </c>
      <c r="I156">
        <f t="shared" si="27"/>
        <v>4.9042282852647147E-3</v>
      </c>
      <c r="J156">
        <f t="shared" si="28"/>
        <v>317.85326468079671</v>
      </c>
      <c r="K156" s="5">
        <f t="shared" si="29"/>
        <v>339.56913060420015</v>
      </c>
      <c r="L156" s="5">
        <f t="shared" si="30"/>
        <v>2.9042282852647146E-3</v>
      </c>
    </row>
    <row r="157" spans="2:32">
      <c r="B157">
        <v>1.458984375</v>
      </c>
      <c r="C157">
        <v>0.239983201026917</v>
      </c>
      <c r="D157">
        <v>17.007683593749999</v>
      </c>
      <c r="E157" s="5">
        <f t="shared" si="24"/>
        <v>17007.68359375</v>
      </c>
      <c r="F157" s="5">
        <v>2.92165132123046E-2</v>
      </c>
      <c r="G157">
        <f t="shared" si="25"/>
        <v>340.15367187499999</v>
      </c>
      <c r="H157">
        <f t="shared" si="26"/>
        <v>2.9216513212304601E-3</v>
      </c>
      <c r="I157">
        <f t="shared" si="27"/>
        <v>4.9173915929526055E-3</v>
      </c>
      <c r="J157">
        <f t="shared" si="28"/>
        <v>319.29392289069796</v>
      </c>
      <c r="K157" s="5">
        <f t="shared" si="29"/>
        <v>341.14748229985497</v>
      </c>
      <c r="L157" s="5">
        <f t="shared" si="30"/>
        <v>2.9173915929526059E-3</v>
      </c>
    </row>
    <row r="158" spans="2:32">
      <c r="B158">
        <v>1.46875</v>
      </c>
      <c r="C158">
        <v>0.243335962295532</v>
      </c>
      <c r="D158">
        <v>17.13000390625</v>
      </c>
      <c r="E158" s="5">
        <f t="shared" si="24"/>
        <v>17130.00390625</v>
      </c>
      <c r="F158" s="5">
        <v>2.9437014745781202E-2</v>
      </c>
      <c r="G158">
        <f t="shared" si="25"/>
        <v>342.60007812499998</v>
      </c>
      <c r="H158">
        <f t="shared" si="26"/>
        <v>2.9437014745781202E-3</v>
      </c>
      <c r="I158">
        <f t="shared" si="27"/>
        <v>4.9393772694266702E-3</v>
      </c>
      <c r="J158">
        <f t="shared" si="28"/>
        <v>321.70014525240197</v>
      </c>
      <c r="K158" s="5">
        <f t="shared" si="29"/>
        <v>343.60859048016709</v>
      </c>
      <c r="L158" s="5">
        <f t="shared" si="30"/>
        <v>2.9393772694266706E-3</v>
      </c>
    </row>
    <row r="159" spans="2:32">
      <c r="B159">
        <v>1.478515625</v>
      </c>
      <c r="C159">
        <v>0.24361311807297201</v>
      </c>
      <c r="D159">
        <v>17.208406249999999</v>
      </c>
      <c r="E159" s="5">
        <f t="shared" si="24"/>
        <v>17208.40625</v>
      </c>
      <c r="F159" s="5">
        <v>2.9595676096505499E-2</v>
      </c>
      <c r="G159">
        <f t="shared" si="25"/>
        <v>344.16812499999997</v>
      </c>
      <c r="H159">
        <f t="shared" si="26"/>
        <v>2.9595676096505498E-3</v>
      </c>
      <c r="I159">
        <f t="shared" si="27"/>
        <v>4.9551967112883939E-3</v>
      </c>
      <c r="J159">
        <f t="shared" si="28"/>
        <v>323.43150406695827</v>
      </c>
      <c r="K159" s="5">
        <f t="shared" si="29"/>
        <v>345.18671383502414</v>
      </c>
      <c r="L159" s="5">
        <f t="shared" si="30"/>
        <v>2.9551967112883938E-3</v>
      </c>
    </row>
    <row r="160" spans="2:32">
      <c r="B160">
        <v>1.48828125</v>
      </c>
      <c r="C160">
        <v>0.24577527074143299</v>
      </c>
      <c r="D160">
        <v>17.299296875</v>
      </c>
      <c r="E160" s="5">
        <f t="shared" si="24"/>
        <v>17299.296875</v>
      </c>
      <c r="F160" s="5">
        <v>2.97373535431689E-2</v>
      </c>
      <c r="G160">
        <f t="shared" si="25"/>
        <v>345.98593749999998</v>
      </c>
      <c r="H160">
        <f t="shared" si="26"/>
        <v>2.97373535431689E-3</v>
      </c>
      <c r="I160">
        <f t="shared" si="27"/>
        <v>4.969322549516055E-3</v>
      </c>
      <c r="J160">
        <f t="shared" si="28"/>
        <v>324.97750643178466</v>
      </c>
      <c r="K160" s="5">
        <f t="shared" si="29"/>
        <v>347.0148081144402</v>
      </c>
      <c r="L160" s="5">
        <f t="shared" si="30"/>
        <v>2.969322549516055E-3</v>
      </c>
    </row>
    <row r="161" spans="2:12">
      <c r="B161">
        <v>1.498046875</v>
      </c>
      <c r="C161">
        <v>0.24716852931305799</v>
      </c>
      <c r="D161">
        <v>17.413517578124999</v>
      </c>
      <c r="E161" s="5">
        <f t="shared" si="24"/>
        <v>17413.517578125</v>
      </c>
      <c r="F161" s="5">
        <v>2.9897939384682101E-2</v>
      </c>
      <c r="G161">
        <f t="shared" si="25"/>
        <v>348.27035156250003</v>
      </c>
      <c r="H161">
        <f t="shared" si="26"/>
        <v>2.98979393846821E-3</v>
      </c>
      <c r="I161">
        <f t="shared" si="27"/>
        <v>4.9853333931003637E-3</v>
      </c>
      <c r="J161">
        <f t="shared" si="28"/>
        <v>326.72981320786931</v>
      </c>
      <c r="K161" s="5">
        <f t="shared" si="29"/>
        <v>349.31160814854979</v>
      </c>
      <c r="L161" s="5">
        <f t="shared" si="30"/>
        <v>2.9853333931003636E-3</v>
      </c>
    </row>
    <row r="162" spans="2:12">
      <c r="B162">
        <v>1.5078125</v>
      </c>
      <c r="C162">
        <v>0.24913251399993899</v>
      </c>
      <c r="D162">
        <v>17.509537109375</v>
      </c>
      <c r="E162" s="5">
        <f t="shared" si="24"/>
        <v>17509.537109375</v>
      </c>
      <c r="F162" s="5">
        <v>3.01661639241502E-2</v>
      </c>
      <c r="G162">
        <f t="shared" si="25"/>
        <v>350.19074218750001</v>
      </c>
      <c r="H162">
        <f t="shared" si="26"/>
        <v>3.0166163924150199E-3</v>
      </c>
      <c r="I162">
        <f t="shared" si="27"/>
        <v>5.0120755349103499E-3</v>
      </c>
      <c r="J162">
        <f t="shared" si="28"/>
        <v>329.65660691826326</v>
      </c>
      <c r="K162" s="5">
        <f t="shared" si="29"/>
        <v>351.2471333208548</v>
      </c>
      <c r="L162" s="5">
        <f t="shared" si="30"/>
        <v>3.0120755349103499E-3</v>
      </c>
    </row>
    <row r="163" spans="2:12">
      <c r="B163">
        <v>1.517578125</v>
      </c>
      <c r="C163">
        <v>0.25080292834900297</v>
      </c>
      <c r="D163">
        <v>17.596546875000001</v>
      </c>
      <c r="E163" s="5">
        <f t="shared" si="24"/>
        <v>17596.546875</v>
      </c>
      <c r="F163" s="5">
        <v>3.0292585506685999E-2</v>
      </c>
      <c r="G163">
        <f t="shared" si="25"/>
        <v>351.93093750000003</v>
      </c>
      <c r="H163">
        <f t="shared" si="26"/>
        <v>3.0292585506686001E-3</v>
      </c>
      <c r="I163">
        <f t="shared" si="27"/>
        <v>5.0246795918879698E-3</v>
      </c>
      <c r="J163">
        <f t="shared" si="28"/>
        <v>331.03605793417893</v>
      </c>
      <c r="K163" s="5">
        <f t="shared" si="29"/>
        <v>352.99702730166672</v>
      </c>
      <c r="L163" s="5">
        <f t="shared" si="30"/>
        <v>3.0246795918879702E-3</v>
      </c>
    </row>
    <row r="164" spans="2:12">
      <c r="B164">
        <v>1.52734375</v>
      </c>
      <c r="C164">
        <v>0.25369375362060997</v>
      </c>
      <c r="D164">
        <v>17.700693359374998</v>
      </c>
      <c r="E164" s="5">
        <f t="shared" si="24"/>
        <v>17700.693359375</v>
      </c>
      <c r="F164" s="5">
        <v>3.05085104628233E-2</v>
      </c>
      <c r="G164">
        <f t="shared" si="25"/>
        <v>354.01386718750001</v>
      </c>
      <c r="H164">
        <f t="shared" si="26"/>
        <v>3.0508510462823298E-3</v>
      </c>
      <c r="I164">
        <f t="shared" si="27"/>
        <v>5.0462066440842088E-3</v>
      </c>
      <c r="J164">
        <f t="shared" si="28"/>
        <v>333.39208616179627</v>
      </c>
      <c r="K164" s="5">
        <f t="shared" si="29"/>
        <v>355.09391076460747</v>
      </c>
      <c r="L164" s="5">
        <f t="shared" si="30"/>
        <v>3.0462066440842092E-3</v>
      </c>
    </row>
    <row r="165" spans="2:12">
      <c r="B165">
        <v>1.537109375</v>
      </c>
      <c r="C165">
        <v>0.25468171224929398</v>
      </c>
      <c r="D165">
        <v>17.802564453125001</v>
      </c>
      <c r="E165" s="5">
        <f t="shared" si="24"/>
        <v>17802.564453125</v>
      </c>
      <c r="F165" s="5">
        <v>3.0665916710859199E-2</v>
      </c>
      <c r="G165">
        <f t="shared" si="25"/>
        <v>356.05128906250002</v>
      </c>
      <c r="H165">
        <f t="shared" si="26"/>
        <v>3.0665916710859199E-3</v>
      </c>
      <c r="I165">
        <f t="shared" si="27"/>
        <v>5.0618992695195229E-3</v>
      </c>
      <c r="J165">
        <f t="shared" si="28"/>
        <v>335.10956555256422</v>
      </c>
      <c r="K165" s="5">
        <f t="shared" si="29"/>
        <v>357.1431529800185</v>
      </c>
      <c r="L165" s="5">
        <f t="shared" si="30"/>
        <v>3.0618992695195233E-3</v>
      </c>
    </row>
    <row r="166" spans="2:12">
      <c r="B166">
        <v>1.546875</v>
      </c>
      <c r="C166">
        <v>0.25617779465392199</v>
      </c>
      <c r="D166">
        <v>17.909673828125001</v>
      </c>
      <c r="E166" s="5">
        <f t="shared" si="24"/>
        <v>17909.673828125</v>
      </c>
      <c r="F166" s="5">
        <v>3.0866460292600099E-2</v>
      </c>
      <c r="G166">
        <f t="shared" si="25"/>
        <v>358.1934765625</v>
      </c>
      <c r="H166">
        <f t="shared" si="26"/>
        <v>3.08664602926001E-3</v>
      </c>
      <c r="I166">
        <f t="shared" si="27"/>
        <v>5.0818921173218668E-3</v>
      </c>
      <c r="J166">
        <f t="shared" si="28"/>
        <v>337.29768278029178</v>
      </c>
      <c r="K166" s="5">
        <f t="shared" si="29"/>
        <v>359.29909303463847</v>
      </c>
      <c r="L166" s="5">
        <f t="shared" si="30"/>
        <v>3.0818921173218672E-3</v>
      </c>
    </row>
    <row r="167" spans="2:12">
      <c r="B167">
        <v>1.556640625</v>
      </c>
      <c r="C167">
        <v>0.257807958405465</v>
      </c>
      <c r="D167">
        <v>17.986412109374999</v>
      </c>
      <c r="E167" s="5">
        <f t="shared" si="24"/>
        <v>17986.412109375</v>
      </c>
      <c r="F167" s="5">
        <v>3.1015384593047202E-2</v>
      </c>
      <c r="G167">
        <f t="shared" si="25"/>
        <v>359.72824218749997</v>
      </c>
      <c r="H167">
        <f t="shared" si="26"/>
        <v>3.1015384593047202E-3</v>
      </c>
      <c r="I167">
        <f t="shared" si="27"/>
        <v>5.0967386109460741E-3</v>
      </c>
      <c r="J167">
        <f t="shared" si="28"/>
        <v>338.9225572749931</v>
      </c>
      <c r="K167" s="5">
        <f t="shared" si="29"/>
        <v>360.84395316554259</v>
      </c>
      <c r="L167" s="5">
        <f t="shared" si="30"/>
        <v>3.096738610946074E-3</v>
      </c>
    </row>
    <row r="168" spans="2:12">
      <c r="B168">
        <v>1.56640625</v>
      </c>
      <c r="C168">
        <v>0.25885849026963098</v>
      </c>
      <c r="D168">
        <v>18.084412109374998</v>
      </c>
      <c r="E168" s="5">
        <f t="shared" si="24"/>
        <v>18084.412109375</v>
      </c>
      <c r="F168" s="5">
        <v>3.1233277695719201E-2</v>
      </c>
      <c r="G168">
        <f t="shared" si="25"/>
        <v>361.68824218750001</v>
      </c>
      <c r="H168">
        <f t="shared" si="26"/>
        <v>3.12332776957192E-3</v>
      </c>
      <c r="I168">
        <f t="shared" si="27"/>
        <v>5.1184603138666532E-3</v>
      </c>
      <c r="J168">
        <f t="shared" si="28"/>
        <v>341.29988905113589</v>
      </c>
      <c r="K168" s="5">
        <f t="shared" si="29"/>
        <v>362.81791311825191</v>
      </c>
      <c r="L168" s="5">
        <f t="shared" si="30"/>
        <v>3.1184603138666536E-3</v>
      </c>
    </row>
    <row r="169" spans="2:12">
      <c r="B169">
        <v>1.576171875</v>
      </c>
      <c r="C169">
        <v>0.25997310876846302</v>
      </c>
      <c r="D169">
        <v>18.158785156250001</v>
      </c>
      <c r="E169" s="5">
        <f t="shared" si="24"/>
        <v>18158.78515625</v>
      </c>
      <c r="F169" s="5">
        <v>3.1353880331153099E-2</v>
      </c>
      <c r="G169">
        <f t="shared" si="25"/>
        <v>363.17570312499998</v>
      </c>
      <c r="H169">
        <f t="shared" si="26"/>
        <v>3.1353880331153098E-3</v>
      </c>
      <c r="I169">
        <f t="shared" si="27"/>
        <v>5.1304829542654622E-3</v>
      </c>
      <c r="J169">
        <f t="shared" si="28"/>
        <v>342.61570692958344</v>
      </c>
      <c r="K169" s="5">
        <f t="shared" si="29"/>
        <v>364.31439987849632</v>
      </c>
      <c r="L169" s="5">
        <f t="shared" si="30"/>
        <v>3.1304829542654618E-3</v>
      </c>
    </row>
    <row r="170" spans="2:12">
      <c r="B170">
        <v>1.5859375</v>
      </c>
      <c r="C170">
        <v>0.26249288930557702</v>
      </c>
      <c r="D170">
        <v>18.246828125</v>
      </c>
      <c r="E170" s="5">
        <f t="shared" si="24"/>
        <v>18246.828125</v>
      </c>
      <c r="F170" s="5">
        <v>3.1497034797212102E-2</v>
      </c>
      <c r="G170">
        <f t="shared" si="25"/>
        <v>364.93656249999998</v>
      </c>
      <c r="H170">
        <f t="shared" si="26"/>
        <v>3.14970347972121E-3</v>
      </c>
      <c r="I170">
        <f t="shared" si="27"/>
        <v>5.1447535548562826E-3</v>
      </c>
      <c r="J170">
        <f t="shared" si="28"/>
        <v>344.17755281124585</v>
      </c>
      <c r="K170" s="5">
        <f t="shared" si="29"/>
        <v>366.08600446078373</v>
      </c>
      <c r="L170" s="5">
        <f t="shared" si="30"/>
        <v>3.1447535548562826E-3</v>
      </c>
    </row>
    <row r="171" spans="2:12">
      <c r="B171">
        <v>1.595703125</v>
      </c>
      <c r="C171">
        <v>0.26436895132064803</v>
      </c>
      <c r="D171">
        <v>18.369205078124999</v>
      </c>
      <c r="E171" s="5">
        <f t="shared" si="24"/>
        <v>18369.205078125</v>
      </c>
      <c r="F171" s="5">
        <v>3.1737868994241601E-2</v>
      </c>
      <c r="G171">
        <f t="shared" si="25"/>
        <v>367.38410156250001</v>
      </c>
      <c r="H171">
        <f t="shared" si="26"/>
        <v>3.1737868994241602E-3</v>
      </c>
      <c r="I171">
        <f t="shared" si="27"/>
        <v>5.1687610689182869E-3</v>
      </c>
      <c r="J171">
        <f t="shared" si="28"/>
        <v>346.80505518776198</v>
      </c>
      <c r="K171" s="5">
        <f t="shared" si="29"/>
        <v>368.5501004110958</v>
      </c>
      <c r="L171" s="5">
        <f t="shared" si="30"/>
        <v>3.1687610689182873E-3</v>
      </c>
    </row>
    <row r="172" spans="2:12">
      <c r="B172">
        <v>1.60546875</v>
      </c>
      <c r="C172">
        <v>0.26590228662826099</v>
      </c>
      <c r="D172">
        <v>18.481130859375</v>
      </c>
      <c r="E172" s="5">
        <f t="shared" si="24"/>
        <v>18481.130859375</v>
      </c>
      <c r="F172" s="5">
        <v>3.1870760722085799E-2</v>
      </c>
      <c r="G172">
        <f t="shared" si="25"/>
        <v>369.6226171875</v>
      </c>
      <c r="H172">
        <f t="shared" si="26"/>
        <v>3.1870760722085799E-3</v>
      </c>
      <c r="I172">
        <f t="shared" si="27"/>
        <v>5.1820081103950994E-3</v>
      </c>
      <c r="J172">
        <f t="shared" si="28"/>
        <v>348.25487764219167</v>
      </c>
      <c r="K172" s="5">
        <f t="shared" si="29"/>
        <v>370.80063258648539</v>
      </c>
      <c r="L172" s="5">
        <f t="shared" si="30"/>
        <v>3.1820081103950998E-3</v>
      </c>
    </row>
    <row r="173" spans="2:12">
      <c r="B173">
        <v>1.615234375</v>
      </c>
      <c r="C173">
        <v>0.267866242211312</v>
      </c>
      <c r="D173">
        <v>18.5744609375</v>
      </c>
      <c r="E173" s="5">
        <f t="shared" si="24"/>
        <v>18574.4609375</v>
      </c>
      <c r="F173" s="5">
        <v>3.2157509849639603E-2</v>
      </c>
      <c r="G173">
        <f t="shared" si="25"/>
        <v>371.48921875000002</v>
      </c>
      <c r="H173">
        <f t="shared" si="26"/>
        <v>3.2157509849639601E-3</v>
      </c>
      <c r="I173">
        <f t="shared" si="27"/>
        <v>5.2105915158515087E-3</v>
      </c>
      <c r="J173">
        <f t="shared" si="28"/>
        <v>351.38318845236836</v>
      </c>
      <c r="K173" s="5">
        <f t="shared" si="29"/>
        <v>372.68383557109883</v>
      </c>
      <c r="L173" s="5">
        <f t="shared" si="30"/>
        <v>3.2105915158515087E-3</v>
      </c>
    </row>
    <row r="174" spans="2:12">
      <c r="B174">
        <v>1.625</v>
      </c>
      <c r="C174">
        <v>0.270074611762539</v>
      </c>
      <c r="D174">
        <v>18.674908203125</v>
      </c>
      <c r="E174" s="5">
        <f t="shared" si="24"/>
        <v>18674.908203125</v>
      </c>
      <c r="F174" s="5">
        <v>3.2262461900245398E-2</v>
      </c>
      <c r="G174">
        <f t="shared" si="25"/>
        <v>373.4981640625</v>
      </c>
      <c r="H174">
        <f t="shared" si="26"/>
        <v>3.2262461900245398E-3</v>
      </c>
      <c r="I174">
        <f t="shared" si="27"/>
        <v>5.2210530244079E-3</v>
      </c>
      <c r="J174">
        <f t="shared" si="28"/>
        <v>352.52814825632259</v>
      </c>
      <c r="K174" s="5">
        <f t="shared" si="29"/>
        <v>374.70316109128777</v>
      </c>
      <c r="L174" s="5">
        <f t="shared" si="30"/>
        <v>3.2210530244078999E-3</v>
      </c>
    </row>
    <row r="175" spans="2:12">
      <c r="B175">
        <v>1.634765625</v>
      </c>
      <c r="C175">
        <v>0.26977955712936802</v>
      </c>
      <c r="D175">
        <v>18.726359375000001</v>
      </c>
      <c r="E175" s="5">
        <f t="shared" si="24"/>
        <v>18726.359375</v>
      </c>
      <c r="F175" s="5">
        <v>3.2402338547399302E-2</v>
      </c>
      <c r="G175">
        <f t="shared" si="25"/>
        <v>374.52718750000003</v>
      </c>
      <c r="H175">
        <f t="shared" si="26"/>
        <v>3.2402338547399302E-3</v>
      </c>
      <c r="I175">
        <f t="shared" si="27"/>
        <v>5.2349956093997027E-3</v>
      </c>
      <c r="J175">
        <f t="shared" si="28"/>
        <v>354.05409447075044</v>
      </c>
      <c r="K175" s="5">
        <f t="shared" si="29"/>
        <v>375.74074317245805</v>
      </c>
      <c r="L175" s="5">
        <f t="shared" si="30"/>
        <v>3.2349956093997026E-3</v>
      </c>
    </row>
    <row r="176" spans="2:12">
      <c r="B176">
        <v>1.64453125</v>
      </c>
      <c r="C176">
        <v>0.27209817199036501</v>
      </c>
      <c r="D176">
        <v>18.840009765624998</v>
      </c>
      <c r="E176" s="5">
        <f t="shared" si="24"/>
        <v>18840.009765625</v>
      </c>
      <c r="F176" s="5">
        <v>3.2587449823040501E-2</v>
      </c>
      <c r="G176">
        <f t="shared" si="25"/>
        <v>376.80019531250002</v>
      </c>
      <c r="H176">
        <f t="shared" si="26"/>
        <v>3.2587449823040502E-3</v>
      </c>
      <c r="I176">
        <f t="shared" si="27"/>
        <v>5.2534467800804657E-3</v>
      </c>
      <c r="J176">
        <f t="shared" si="28"/>
        <v>356.0734828459066</v>
      </c>
      <c r="K176" s="5">
        <f t="shared" si="29"/>
        <v>378.02809105830585</v>
      </c>
      <c r="L176" s="5">
        <f t="shared" si="30"/>
        <v>3.2534467800804661E-3</v>
      </c>
    </row>
    <row r="177" spans="2:12">
      <c r="B177">
        <v>1.654296875</v>
      </c>
      <c r="C177">
        <v>0.273875892162323</v>
      </c>
      <c r="D177">
        <v>18.945082031249999</v>
      </c>
      <c r="E177" s="5">
        <f t="shared" si="24"/>
        <v>18945.08203125</v>
      </c>
      <c r="F177" s="5">
        <v>3.2709278457332402E-2</v>
      </c>
      <c r="G177">
        <f t="shared" si="25"/>
        <v>378.90164062500003</v>
      </c>
      <c r="H177">
        <f t="shared" si="26"/>
        <v>3.2709278457332402E-3</v>
      </c>
      <c r="I177">
        <f t="shared" si="27"/>
        <v>5.2655899978901162E-3</v>
      </c>
      <c r="J177">
        <f t="shared" si="28"/>
        <v>357.40249731908375</v>
      </c>
      <c r="K177" s="5">
        <f t="shared" si="29"/>
        <v>380.14100055211435</v>
      </c>
      <c r="L177" s="5">
        <f t="shared" si="30"/>
        <v>3.2655899978901162E-3</v>
      </c>
    </row>
    <row r="178" spans="2:12">
      <c r="B178">
        <v>1.6640625</v>
      </c>
      <c r="C178">
        <v>0.27623324422165801</v>
      </c>
      <c r="D178">
        <v>19.054935546875001</v>
      </c>
      <c r="E178" s="5">
        <f t="shared" si="24"/>
        <v>19054.935546875</v>
      </c>
      <c r="F178" s="5">
        <v>3.3050560887204497E-2</v>
      </c>
      <c r="G178">
        <f t="shared" si="25"/>
        <v>381.09871093750002</v>
      </c>
      <c r="H178">
        <f t="shared" si="26"/>
        <v>3.3050560887204496E-3</v>
      </c>
      <c r="I178">
        <f t="shared" si="27"/>
        <v>5.2996063952393769E-3</v>
      </c>
      <c r="J178">
        <f t="shared" si="28"/>
        <v>361.12542192697362</v>
      </c>
      <c r="K178" s="5">
        <f t="shared" si="29"/>
        <v>382.35826355248753</v>
      </c>
      <c r="L178" s="5">
        <f t="shared" si="30"/>
        <v>3.2996063952393769E-3</v>
      </c>
    </row>
    <row r="179" spans="2:12">
      <c r="B179">
        <v>1.673828125</v>
      </c>
      <c r="C179">
        <v>0.27478783158585401</v>
      </c>
      <c r="D179">
        <v>19.151921874999999</v>
      </c>
      <c r="E179" s="5">
        <f t="shared" si="24"/>
        <v>19151.921875</v>
      </c>
      <c r="F179" s="5">
        <v>3.3134027034975602E-2</v>
      </c>
      <c r="G179">
        <f t="shared" si="25"/>
        <v>383.03843749999999</v>
      </c>
      <c r="H179">
        <f t="shared" si="26"/>
        <v>3.3134027034975601E-3</v>
      </c>
      <c r="I179">
        <f t="shared" si="27"/>
        <v>5.3079254802558505E-3</v>
      </c>
      <c r="J179">
        <f t="shared" si="28"/>
        <v>362.0359041866015</v>
      </c>
      <c r="K179" s="5">
        <f t="shared" si="29"/>
        <v>384.30759809435597</v>
      </c>
      <c r="L179" s="5">
        <f t="shared" si="30"/>
        <v>3.30792548025585E-3</v>
      </c>
    </row>
    <row r="180" spans="2:12">
      <c r="B180">
        <v>1.68359375</v>
      </c>
      <c r="C180">
        <v>0.280462205410004</v>
      </c>
      <c r="D180">
        <v>19.258578125</v>
      </c>
      <c r="E180" s="5">
        <f t="shared" si="24"/>
        <v>19258.578125</v>
      </c>
      <c r="F180" s="5">
        <v>3.3346801501466003E-2</v>
      </c>
      <c r="G180">
        <f t="shared" si="25"/>
        <v>385.17156249999999</v>
      </c>
      <c r="H180">
        <f t="shared" si="26"/>
        <v>3.3346801501466005E-3</v>
      </c>
      <c r="I180">
        <f t="shared" si="27"/>
        <v>5.3291324341125292E-3</v>
      </c>
      <c r="J180">
        <f t="shared" si="28"/>
        <v>364.35689925144572</v>
      </c>
      <c r="K180" s="5">
        <f t="shared" si="29"/>
        <v>386.45598646386969</v>
      </c>
      <c r="L180" s="5">
        <f t="shared" si="30"/>
        <v>3.3291324341125287E-3</v>
      </c>
    </row>
    <row r="181" spans="2:12">
      <c r="B181">
        <v>1.693359375</v>
      </c>
      <c r="C181">
        <v>0.27859956026077298</v>
      </c>
      <c r="D181">
        <v>19.335755859374999</v>
      </c>
      <c r="E181" s="5">
        <f t="shared" si="24"/>
        <v>19335.755859375</v>
      </c>
      <c r="F181" s="5">
        <v>3.3574193366803201E-2</v>
      </c>
      <c r="G181">
        <f t="shared" si="25"/>
        <v>386.71511718750003</v>
      </c>
      <c r="H181">
        <f t="shared" si="26"/>
        <v>3.3574193366803203E-3</v>
      </c>
      <c r="I181">
        <f t="shared" si="27"/>
        <v>5.3517957879379765E-3</v>
      </c>
      <c r="J181">
        <f t="shared" si="28"/>
        <v>366.83729001087181</v>
      </c>
      <c r="K181" s="5">
        <f t="shared" si="29"/>
        <v>388.01348199973194</v>
      </c>
      <c r="L181" s="5">
        <f t="shared" si="30"/>
        <v>3.351795787937976E-3</v>
      </c>
    </row>
    <row r="182" spans="2:12">
      <c r="B182">
        <v>1.703125</v>
      </c>
      <c r="C182">
        <v>0.28171838494017698</v>
      </c>
      <c r="D182">
        <v>19.446406249999999</v>
      </c>
      <c r="E182" s="5">
        <f t="shared" si="24"/>
        <v>19446.40625</v>
      </c>
      <c r="F182" s="5">
        <v>3.3696120226522901E-2</v>
      </c>
      <c r="G182">
        <f t="shared" si="25"/>
        <v>388.92812500000002</v>
      </c>
      <c r="H182">
        <f t="shared" si="26"/>
        <v>3.3696120226522899E-3</v>
      </c>
      <c r="I182">
        <f t="shared" si="27"/>
        <v>5.3639476010960002E-3</v>
      </c>
      <c r="J182">
        <f t="shared" si="28"/>
        <v>368.1672452019518</v>
      </c>
      <c r="K182" s="5">
        <f t="shared" si="29"/>
        <v>390.23866188594764</v>
      </c>
      <c r="L182" s="5">
        <f t="shared" si="30"/>
        <v>3.3639476010960006E-3</v>
      </c>
    </row>
    <row r="183" spans="2:12">
      <c r="B183">
        <v>1.712890625</v>
      </c>
      <c r="C183">
        <v>0.28318614931777097</v>
      </c>
      <c r="D183">
        <v>19.538078124999998</v>
      </c>
      <c r="E183" s="5">
        <f t="shared" si="24"/>
        <v>19538.078125</v>
      </c>
      <c r="F183" s="5">
        <v>3.39075886586215E-2</v>
      </c>
      <c r="G183">
        <f t="shared" si="25"/>
        <v>390.76156250000003</v>
      </c>
      <c r="H183">
        <f t="shared" si="26"/>
        <v>3.39075886586215E-3</v>
      </c>
      <c r="I183">
        <f t="shared" si="27"/>
        <v>5.3850232048575824E-3</v>
      </c>
      <c r="J183">
        <f t="shared" si="28"/>
        <v>370.47386465563812</v>
      </c>
      <c r="K183" s="5">
        <f t="shared" si="29"/>
        <v>392.08654073248505</v>
      </c>
      <c r="L183" s="5">
        <f t="shared" si="30"/>
        <v>3.3850232048575823E-3</v>
      </c>
    </row>
    <row r="184" spans="2:12">
      <c r="B184">
        <v>1.72265625</v>
      </c>
      <c r="C184">
        <v>0.28524547815322898</v>
      </c>
      <c r="D184">
        <v>19.624675781250001</v>
      </c>
      <c r="E184" s="5">
        <f t="shared" si="24"/>
        <v>19624.67578125</v>
      </c>
      <c r="F184" s="5">
        <v>3.40259830409195E-2</v>
      </c>
      <c r="G184">
        <f t="shared" si="25"/>
        <v>392.49351562499999</v>
      </c>
      <c r="H184">
        <f t="shared" si="26"/>
        <v>3.4025983040919501E-3</v>
      </c>
      <c r="I184">
        <f t="shared" si="27"/>
        <v>5.3968225644554562E-3</v>
      </c>
      <c r="J184">
        <f t="shared" si="28"/>
        <v>371.76524556682739</v>
      </c>
      <c r="K184" s="5">
        <f t="shared" si="29"/>
        <v>393.82901339563267</v>
      </c>
      <c r="L184" s="5">
        <f t="shared" si="30"/>
        <v>3.3968225644554562E-3</v>
      </c>
    </row>
    <row r="185" spans="2:12">
      <c r="B185">
        <v>1.732421875</v>
      </c>
      <c r="C185">
        <v>0.28726755408570198</v>
      </c>
      <c r="D185">
        <v>19.744031249999999</v>
      </c>
      <c r="E185" s="5">
        <f t="shared" si="24"/>
        <v>19744.03125</v>
      </c>
      <c r="F185" s="5">
        <v>3.4257849620189497E-2</v>
      </c>
      <c r="G185">
        <f t="shared" si="25"/>
        <v>394.88062500000001</v>
      </c>
      <c r="H185">
        <f t="shared" si="26"/>
        <v>3.4257849620189496E-3</v>
      </c>
      <c r="I185">
        <f t="shared" si="27"/>
        <v>5.4199303280503628E-3</v>
      </c>
      <c r="J185">
        <f t="shared" si="28"/>
        <v>374.29427475347194</v>
      </c>
      <c r="K185" s="5">
        <f t="shared" si="29"/>
        <v>396.23340110691765</v>
      </c>
      <c r="L185" s="5">
        <f t="shared" si="30"/>
        <v>3.4199303280503628E-3</v>
      </c>
    </row>
    <row r="186" spans="2:12">
      <c r="B186">
        <v>1.7421875</v>
      </c>
      <c r="C186">
        <v>0.28882623882964298</v>
      </c>
      <c r="D186">
        <v>19.809876953124999</v>
      </c>
      <c r="E186" s="5">
        <f t="shared" si="24"/>
        <v>19809.876953125</v>
      </c>
      <c r="F186" s="5">
        <v>3.4433604014338898E-2</v>
      </c>
      <c r="G186">
        <f t="shared" si="25"/>
        <v>396.19753906250003</v>
      </c>
      <c r="H186">
        <f t="shared" si="26"/>
        <v>3.4433604014338899E-3</v>
      </c>
      <c r="I186">
        <f t="shared" si="27"/>
        <v>5.4374456099570041E-3</v>
      </c>
      <c r="J186">
        <f t="shared" si="28"/>
        <v>376.21123478174428</v>
      </c>
      <c r="K186" s="5">
        <f t="shared" si="29"/>
        <v>397.56178997965338</v>
      </c>
      <c r="L186" s="5">
        <f t="shared" si="30"/>
        <v>3.4374456099570037E-3</v>
      </c>
    </row>
    <row r="187" spans="2:12">
      <c r="B187">
        <v>1.751953125</v>
      </c>
      <c r="C187">
        <v>0.29044001712463802</v>
      </c>
      <c r="D187">
        <v>19.915488281249999</v>
      </c>
      <c r="E187" s="5">
        <f t="shared" si="24"/>
        <v>19915.48828125</v>
      </c>
      <c r="F187" s="5">
        <v>3.4546814276836799E-2</v>
      </c>
      <c r="G187">
        <f t="shared" si="25"/>
        <v>398.30976562500001</v>
      </c>
      <c r="H187">
        <f t="shared" si="26"/>
        <v>3.4546814276836799E-3</v>
      </c>
      <c r="I187">
        <f t="shared" si="27"/>
        <v>5.4487277239597563E-3</v>
      </c>
      <c r="J187">
        <f t="shared" si="28"/>
        <v>377.44600574877552</v>
      </c>
      <c r="K187" s="5">
        <f t="shared" si="29"/>
        <v>399.68579897476974</v>
      </c>
      <c r="L187" s="5">
        <f t="shared" si="30"/>
        <v>3.4487277239597562E-3</v>
      </c>
    </row>
    <row r="188" spans="2:12">
      <c r="B188">
        <v>1.76171875</v>
      </c>
      <c r="C188">
        <v>0.29198228730820103</v>
      </c>
      <c r="D188">
        <v>20.0033984375</v>
      </c>
      <c r="E188" s="5">
        <f t="shared" si="24"/>
        <v>20003.3984375</v>
      </c>
      <c r="F188" s="5">
        <v>3.4789227356668603E-2</v>
      </c>
      <c r="G188">
        <f t="shared" si="25"/>
        <v>400.06796874999998</v>
      </c>
      <c r="H188">
        <f t="shared" si="26"/>
        <v>3.4789227356668605E-3</v>
      </c>
      <c r="I188">
        <f t="shared" si="27"/>
        <v>5.4728852824699791E-3</v>
      </c>
      <c r="J188">
        <f t="shared" si="28"/>
        <v>380.08992973992684</v>
      </c>
      <c r="K188" s="5">
        <f t="shared" si="29"/>
        <v>401.45977430229641</v>
      </c>
      <c r="L188" s="5">
        <f t="shared" si="30"/>
        <v>3.472885282469979E-3</v>
      </c>
    </row>
    <row r="189" spans="2:12">
      <c r="B189">
        <v>1.771484375</v>
      </c>
      <c r="C189">
        <v>0.29356926097534602</v>
      </c>
      <c r="D189">
        <v>20.109957031250001</v>
      </c>
      <c r="E189" s="5">
        <f t="shared" si="24"/>
        <v>20109.95703125</v>
      </c>
      <c r="F189" s="5">
        <v>3.4954635339090601E-2</v>
      </c>
      <c r="G189">
        <f t="shared" si="25"/>
        <v>402.19914062499998</v>
      </c>
      <c r="H189">
        <f t="shared" si="26"/>
        <v>3.4954635339090601E-3</v>
      </c>
      <c r="I189">
        <f t="shared" si="27"/>
        <v>5.4893686002001306E-3</v>
      </c>
      <c r="J189">
        <f t="shared" si="28"/>
        <v>381.89394644890325</v>
      </c>
      <c r="K189" s="5">
        <f t="shared" si="29"/>
        <v>403.60501305442421</v>
      </c>
      <c r="L189" s="5">
        <f t="shared" si="30"/>
        <v>3.4893686002001301E-3</v>
      </c>
    </row>
    <row r="190" spans="2:12">
      <c r="B190">
        <v>1.78125</v>
      </c>
      <c r="C190">
        <v>0.29423087835311901</v>
      </c>
      <c r="D190">
        <v>20.208017578124998</v>
      </c>
      <c r="E190" s="5">
        <f t="shared" si="24"/>
        <v>20208.017578125</v>
      </c>
      <c r="F190" s="5">
        <v>3.5065029805991799E-2</v>
      </c>
      <c r="G190">
        <f t="shared" si="25"/>
        <v>404.16035156250001</v>
      </c>
      <c r="H190">
        <f t="shared" si="26"/>
        <v>3.5065029805991799E-3</v>
      </c>
      <c r="I190">
        <f t="shared" si="27"/>
        <v>5.500369532809482E-3</v>
      </c>
      <c r="J190">
        <f t="shared" si="28"/>
        <v>383.09794351833369</v>
      </c>
      <c r="K190" s="5">
        <f t="shared" si="29"/>
        <v>405.57754103989396</v>
      </c>
      <c r="L190" s="5">
        <f t="shared" si="30"/>
        <v>3.5003695328094816E-3</v>
      </c>
    </row>
    <row r="191" spans="2:12">
      <c r="B191">
        <v>1.791015625</v>
      </c>
      <c r="C191">
        <v>0.296682119369507</v>
      </c>
      <c r="D191">
        <v>20.285630859375001</v>
      </c>
      <c r="E191" s="5">
        <f t="shared" si="24"/>
        <v>20285.630859375</v>
      </c>
      <c r="F191" s="5">
        <v>3.52879796992056E-2</v>
      </c>
      <c r="G191">
        <f t="shared" si="25"/>
        <v>405.71261718749997</v>
      </c>
      <c r="H191">
        <f t="shared" si="26"/>
        <v>3.5287979699205599E-3</v>
      </c>
      <c r="I191">
        <f t="shared" si="27"/>
        <v>5.5225863710601491E-3</v>
      </c>
      <c r="J191">
        <f t="shared" si="28"/>
        <v>385.52946538067795</v>
      </c>
      <c r="K191" s="5">
        <f t="shared" si="29"/>
        <v>407.14429504740235</v>
      </c>
      <c r="L191" s="5">
        <f t="shared" si="30"/>
        <v>3.5225863710601486E-3</v>
      </c>
    </row>
    <row r="192" spans="2:12">
      <c r="B192">
        <v>1.80078125</v>
      </c>
      <c r="C192">
        <v>0.297780323307961</v>
      </c>
      <c r="D192">
        <v>20.390509765625001</v>
      </c>
      <c r="E192" s="5">
        <f t="shared" si="24"/>
        <v>20390.509765625</v>
      </c>
      <c r="F192" s="5">
        <v>3.5477776691550403E-2</v>
      </c>
      <c r="G192">
        <f t="shared" si="25"/>
        <v>407.81019531250001</v>
      </c>
      <c r="H192">
        <f t="shared" si="26"/>
        <v>3.5477776691550402E-3</v>
      </c>
      <c r="I192">
        <f t="shared" si="27"/>
        <v>5.5414991514347589E-3</v>
      </c>
      <c r="J192">
        <f t="shared" si="28"/>
        <v>387.59937462877724</v>
      </c>
      <c r="K192" s="5">
        <f t="shared" si="29"/>
        <v>409.25701521668344</v>
      </c>
      <c r="L192" s="5">
        <f t="shared" si="30"/>
        <v>3.5414991514347593E-3</v>
      </c>
    </row>
    <row r="193" spans="2:12">
      <c r="B193">
        <v>1.810546875</v>
      </c>
      <c r="C193">
        <v>0.30124335899017801</v>
      </c>
      <c r="D193">
        <v>20.498843749999999</v>
      </c>
      <c r="E193" s="5">
        <f t="shared" si="24"/>
        <v>20498.84375</v>
      </c>
      <c r="F193" s="5">
        <v>3.5663982998812599E-2</v>
      </c>
      <c r="G193">
        <f t="shared" si="25"/>
        <v>409.97687500000001</v>
      </c>
      <c r="H193">
        <f t="shared" si="26"/>
        <v>3.5663982998812597E-3</v>
      </c>
      <c r="I193">
        <f t="shared" si="27"/>
        <v>5.560053781709106E-3</v>
      </c>
      <c r="J193">
        <f t="shared" si="28"/>
        <v>389.63008613915304</v>
      </c>
      <c r="K193" s="5">
        <f t="shared" si="29"/>
        <v>411.43901582999064</v>
      </c>
      <c r="L193" s="5">
        <f t="shared" si="30"/>
        <v>3.5600537817091055E-3</v>
      </c>
    </row>
    <row r="194" spans="2:12">
      <c r="B194">
        <v>1.8203125</v>
      </c>
      <c r="C194">
        <v>0.29987393645569699</v>
      </c>
      <c r="D194">
        <v>20.576447265624999</v>
      </c>
      <c r="E194" s="5">
        <f t="shared" si="24"/>
        <v>20576.447265625</v>
      </c>
      <c r="F194" s="5">
        <v>3.5870511055691202E-2</v>
      </c>
      <c r="G194">
        <f t="shared" si="25"/>
        <v>411.52894531250001</v>
      </c>
      <c r="H194">
        <f t="shared" si="26"/>
        <v>3.5870511055691202E-3</v>
      </c>
      <c r="I194">
        <f t="shared" si="27"/>
        <v>5.580632981266276E-3</v>
      </c>
      <c r="J194">
        <f t="shared" si="28"/>
        <v>391.88237663468755</v>
      </c>
      <c r="K194" s="5">
        <f t="shared" si="29"/>
        <v>413.00512067075692</v>
      </c>
      <c r="L194" s="5">
        <f t="shared" si="30"/>
        <v>3.580632981266276E-3</v>
      </c>
    </row>
    <row r="195" spans="2:12">
      <c r="B195">
        <v>1.830078125</v>
      </c>
      <c r="C195">
        <v>0.30470342608168699</v>
      </c>
      <c r="D195">
        <v>20.710925781250001</v>
      </c>
      <c r="E195" s="5">
        <f t="shared" si="24"/>
        <v>20710.92578125</v>
      </c>
      <c r="F195" s="5">
        <v>3.6056368116987897E-2</v>
      </c>
      <c r="G195">
        <f t="shared" si="25"/>
        <v>414.21851562500001</v>
      </c>
      <c r="H195">
        <f t="shared" si="26"/>
        <v>3.6056368116987895E-3</v>
      </c>
      <c r="I195">
        <f t="shared" si="27"/>
        <v>5.5991520863248809E-3</v>
      </c>
      <c r="J195">
        <f t="shared" si="28"/>
        <v>393.90920008782655</v>
      </c>
      <c r="K195" s="5">
        <f t="shared" si="29"/>
        <v>415.71203715302477</v>
      </c>
      <c r="L195" s="5">
        <f t="shared" si="30"/>
        <v>3.5991520863248804E-3</v>
      </c>
    </row>
    <row r="196" spans="2:12">
      <c r="B196">
        <v>1.83984375</v>
      </c>
      <c r="C196">
        <v>0.30722617520950701</v>
      </c>
      <c r="D196">
        <v>20.792953125</v>
      </c>
      <c r="E196" s="5">
        <f t="shared" si="24"/>
        <v>20792.953125</v>
      </c>
      <c r="F196" s="5">
        <v>3.6218832974554999E-2</v>
      </c>
      <c r="G196">
        <f t="shared" si="25"/>
        <v>415.85906249999999</v>
      </c>
      <c r="H196">
        <f t="shared" si="26"/>
        <v>3.6218832974554997E-3</v>
      </c>
      <c r="I196">
        <f t="shared" si="27"/>
        <v>5.6153400725838382E-3</v>
      </c>
      <c r="J196">
        <f t="shared" si="28"/>
        <v>395.68089424393821</v>
      </c>
      <c r="K196" s="5">
        <f t="shared" si="29"/>
        <v>417.36525549256424</v>
      </c>
      <c r="L196" s="5">
        <f t="shared" si="30"/>
        <v>3.6153400725838386E-3</v>
      </c>
    </row>
    <row r="197" spans="2:12">
      <c r="B197">
        <v>1.849609375</v>
      </c>
      <c r="C197">
        <v>0.310060393530875</v>
      </c>
      <c r="D197">
        <v>20.862314453124998</v>
      </c>
      <c r="E197" s="5">
        <f t="shared" si="24"/>
        <v>20862.314453125</v>
      </c>
      <c r="F197" s="5">
        <v>3.6290864954935401E-2</v>
      </c>
      <c r="G197">
        <f t="shared" si="25"/>
        <v>417.24628906250001</v>
      </c>
      <c r="H197">
        <f t="shared" si="26"/>
        <v>3.62908649549354E-3</v>
      </c>
      <c r="I197">
        <f t="shared" si="27"/>
        <v>5.6225172498740456E-3</v>
      </c>
      <c r="J197">
        <f t="shared" si="28"/>
        <v>396.46640041246496</v>
      </c>
      <c r="K197" s="5">
        <f t="shared" si="29"/>
        <v>418.76051193543151</v>
      </c>
      <c r="L197" s="5">
        <f t="shared" si="30"/>
        <v>3.6225172498740459E-3</v>
      </c>
    </row>
    <row r="198" spans="2:12">
      <c r="B198">
        <v>1.859375</v>
      </c>
      <c r="C198">
        <v>0.30920802964828897</v>
      </c>
      <c r="D198">
        <v>20.941845703125001</v>
      </c>
      <c r="E198" s="5">
        <f t="shared" si="24"/>
        <v>20941.845703125</v>
      </c>
      <c r="F198" s="5">
        <v>3.6414861824596301E-2</v>
      </c>
      <c r="G198">
        <f t="shared" si="25"/>
        <v>418.8369140625</v>
      </c>
      <c r="H198">
        <f t="shared" si="26"/>
        <v>3.6414861824596301E-3</v>
      </c>
      <c r="I198">
        <f t="shared" si="27"/>
        <v>5.634872023699786E-3</v>
      </c>
      <c r="J198">
        <f t="shared" si="28"/>
        <v>397.81856863382302</v>
      </c>
      <c r="K198" s="5">
        <f t="shared" si="29"/>
        <v>420.36210289776261</v>
      </c>
      <c r="L198" s="5">
        <f t="shared" si="30"/>
        <v>3.6348720236997856E-3</v>
      </c>
    </row>
    <row r="199" spans="2:12">
      <c r="B199">
        <v>1.869140625</v>
      </c>
      <c r="C199">
        <v>0.31088589457795002</v>
      </c>
      <c r="D199">
        <v>21.014445312500001</v>
      </c>
      <c r="E199" s="5">
        <f t="shared" si="24"/>
        <v>21014.4453125</v>
      </c>
      <c r="F199" s="5">
        <v>3.6641358747147003E-2</v>
      </c>
      <c r="G199">
        <f t="shared" si="25"/>
        <v>420.28890625000003</v>
      </c>
      <c r="H199">
        <f t="shared" si="26"/>
        <v>3.6641358747147002E-3</v>
      </c>
      <c r="I199">
        <f t="shared" si="27"/>
        <v>5.6574392820257207E-3</v>
      </c>
      <c r="J199">
        <f t="shared" si="28"/>
        <v>400.28844222130505</v>
      </c>
      <c r="K199" s="5">
        <f t="shared" si="29"/>
        <v>421.82890190913525</v>
      </c>
      <c r="L199" s="5">
        <f t="shared" si="30"/>
        <v>3.6574392820257211E-3</v>
      </c>
    </row>
    <row r="200" spans="2:12">
      <c r="B200">
        <v>1.87890625</v>
      </c>
      <c r="C200">
        <v>0.31182318343780902</v>
      </c>
      <c r="D200">
        <v>21.097185546875</v>
      </c>
      <c r="E200" s="5">
        <f t="shared" si="24"/>
        <v>21097.185546875</v>
      </c>
      <c r="F200" s="5">
        <v>3.6762434319825801E-2</v>
      </c>
      <c r="G200">
        <f t="shared" si="25"/>
        <v>421.94371093749999</v>
      </c>
      <c r="H200">
        <f t="shared" si="26"/>
        <v>3.67624343198258E-3</v>
      </c>
      <c r="I200">
        <f t="shared" si="27"/>
        <v>5.6695025647582791E-3</v>
      </c>
      <c r="J200">
        <f t="shared" si="28"/>
        <v>401.60870819996984</v>
      </c>
      <c r="K200" s="5">
        <f t="shared" si="29"/>
        <v>423.49487873350034</v>
      </c>
      <c r="L200" s="5">
        <f t="shared" si="30"/>
        <v>3.669502564758279E-3</v>
      </c>
    </row>
    <row r="201" spans="2:12">
      <c r="B201">
        <v>1.888671875</v>
      </c>
      <c r="C201">
        <v>0.31259207753464602</v>
      </c>
      <c r="D201">
        <v>21.199089843749999</v>
      </c>
      <c r="E201" s="5">
        <f t="shared" ref="E201:E264" si="37" xml:space="preserve"> D201*R$3</f>
        <v>21199.08984375</v>
      </c>
      <c r="F201" s="5">
        <v>3.7001365853939198E-2</v>
      </c>
      <c r="G201">
        <f t="shared" ref="G201:G264" si="38" xml:space="preserve"> E201/C$3</f>
        <v>423.98179687499999</v>
      </c>
      <c r="H201">
        <f t="shared" ref="H201:H264" si="39" xml:space="preserve"> F201/C$4</f>
        <v>3.7001365853939197E-3</v>
      </c>
      <c r="I201">
        <f t="shared" ref="I201:I264" si="40">L201+0.002</f>
        <v>5.6933079194992353E-3</v>
      </c>
      <c r="J201">
        <f t="shared" ref="J201:J264" si="41">L201*G$2</f>
        <v>404.21408524959378</v>
      </c>
      <c r="K201" s="5">
        <f t="shared" ref="K201:K264" si="42" xml:space="preserve"> G201 * (1 + H201)</f>
        <v>425.55058743315823</v>
      </c>
      <c r="L201" s="5">
        <f t="shared" ref="L201:L264" si="43">LN(1 + H201)</f>
        <v>3.6933079194992348E-3</v>
      </c>
    </row>
    <row r="202" spans="2:12">
      <c r="B202">
        <v>1.8984375</v>
      </c>
      <c r="C202">
        <v>0.314584380248562</v>
      </c>
      <c r="D202">
        <v>21.2990546875</v>
      </c>
      <c r="E202" s="5">
        <f t="shared" si="37"/>
        <v>21299.0546875</v>
      </c>
      <c r="F202" s="5">
        <v>3.7165122193982797E-2</v>
      </c>
      <c r="G202">
        <f t="shared" si="38"/>
        <v>425.98109375000001</v>
      </c>
      <c r="H202">
        <f t="shared" si="39"/>
        <v>3.7165122193982799E-3</v>
      </c>
      <c r="I202">
        <f t="shared" si="40"/>
        <v>5.7096230517010883E-3</v>
      </c>
      <c r="J202">
        <f t="shared" si="41"/>
        <v>405.99969489342556</v>
      </c>
      <c r="K202" s="5">
        <f t="shared" si="42"/>
        <v>427.56425769015453</v>
      </c>
      <c r="L202" s="5">
        <f t="shared" si="43"/>
        <v>3.7096230517010879E-3</v>
      </c>
    </row>
    <row r="203" spans="2:12">
      <c r="B203">
        <v>1.908203125</v>
      </c>
      <c r="C203">
        <v>0.31679272069595799</v>
      </c>
      <c r="D203">
        <v>21.396226562500001</v>
      </c>
      <c r="E203" s="5">
        <f t="shared" si="37"/>
        <v>21396.2265625</v>
      </c>
      <c r="F203" s="5">
        <v>3.7280373362591497E-2</v>
      </c>
      <c r="G203">
        <f t="shared" si="38"/>
        <v>427.92453124999997</v>
      </c>
      <c r="H203">
        <f t="shared" si="39"/>
        <v>3.7280373362591499E-3</v>
      </c>
      <c r="I203">
        <f t="shared" si="40"/>
        <v>5.721105428002385E-3</v>
      </c>
      <c r="J203">
        <f t="shared" si="41"/>
        <v>407.256383567721</v>
      </c>
      <c r="K203" s="5">
        <f t="shared" si="42"/>
        <v>429.51984987960117</v>
      </c>
      <c r="L203" s="5">
        <f t="shared" si="43"/>
        <v>3.721105428002385E-3</v>
      </c>
    </row>
    <row r="204" spans="2:12">
      <c r="B204">
        <v>1.91796875</v>
      </c>
      <c r="C204">
        <v>0.31760483398102202</v>
      </c>
      <c r="D204">
        <v>21.467908203124999</v>
      </c>
      <c r="E204" s="5">
        <f t="shared" si="37"/>
        <v>21467.908203125</v>
      </c>
      <c r="F204" s="5">
        <v>3.74499322788324E-2</v>
      </c>
      <c r="G204">
        <f t="shared" si="38"/>
        <v>429.35816406250001</v>
      </c>
      <c r="H204">
        <f t="shared" si="39"/>
        <v>3.7449932278832399E-3</v>
      </c>
      <c r="I204">
        <f t="shared" si="40"/>
        <v>5.7379981995279196E-3</v>
      </c>
      <c r="J204">
        <f t="shared" si="41"/>
        <v>409.10521294733314</v>
      </c>
      <c r="K204" s="5">
        <f t="shared" si="42"/>
        <v>430.96610747925047</v>
      </c>
      <c r="L204" s="5">
        <f t="shared" si="43"/>
        <v>3.7379981995279195E-3</v>
      </c>
    </row>
    <row r="205" spans="2:12">
      <c r="B205">
        <v>1.927734375</v>
      </c>
      <c r="C205">
        <v>0.31981914071366202</v>
      </c>
      <c r="D205">
        <v>21.550839843750001</v>
      </c>
      <c r="E205" s="5">
        <f t="shared" si="37"/>
        <v>21550.83984375</v>
      </c>
      <c r="F205" s="5">
        <v>3.7617362977471203E-2</v>
      </c>
      <c r="G205">
        <f t="shared" si="38"/>
        <v>431.01679687500001</v>
      </c>
      <c r="H205">
        <f t="shared" si="39"/>
        <v>3.7617362977471203E-3</v>
      </c>
      <c r="I205">
        <f t="shared" si="40"/>
        <v>5.7546786615338651E-3</v>
      </c>
      <c r="J205">
        <f t="shared" si="41"/>
        <v>410.93080611157393</v>
      </c>
      <c r="K205" s="5">
        <f t="shared" si="42"/>
        <v>432.6381684047434</v>
      </c>
      <c r="L205" s="5">
        <f t="shared" si="43"/>
        <v>3.7546786615338655E-3</v>
      </c>
    </row>
    <row r="206" spans="2:12">
      <c r="B206">
        <v>1.9375</v>
      </c>
      <c r="C206">
        <v>0.32093524350784702</v>
      </c>
      <c r="D206">
        <v>21.6355</v>
      </c>
      <c r="E206" s="5">
        <f t="shared" si="37"/>
        <v>21635.5</v>
      </c>
      <c r="F206" s="5">
        <v>3.77613614546135E-2</v>
      </c>
      <c r="G206">
        <f t="shared" si="38"/>
        <v>432.71</v>
      </c>
      <c r="H206">
        <f t="shared" si="39"/>
        <v>3.7761361454613498E-3</v>
      </c>
      <c r="I206">
        <f t="shared" si="40"/>
        <v>5.7690244409207845E-3</v>
      </c>
      <c r="J206">
        <f t="shared" si="41"/>
        <v>412.50087993657525</v>
      </c>
      <c r="K206" s="5">
        <f t="shared" si="42"/>
        <v>434.34397187150256</v>
      </c>
      <c r="L206" s="5">
        <f t="shared" si="43"/>
        <v>3.7690244409207844E-3</v>
      </c>
    </row>
    <row r="207" spans="2:12">
      <c r="B207">
        <v>1.947265625</v>
      </c>
      <c r="C207">
        <v>0.32227783231064699</v>
      </c>
      <c r="D207">
        <v>21.738761718749998</v>
      </c>
      <c r="E207" s="5">
        <f t="shared" si="37"/>
        <v>21738.76171875</v>
      </c>
      <c r="F207" s="5">
        <v>3.7979058106429903E-2</v>
      </c>
      <c r="G207">
        <f t="shared" si="38"/>
        <v>434.77523437500003</v>
      </c>
      <c r="H207">
        <f t="shared" si="39"/>
        <v>3.7979058106429901E-3</v>
      </c>
      <c r="I207">
        <f t="shared" si="40"/>
        <v>5.7907119749569178E-3</v>
      </c>
      <c r="J207">
        <f t="shared" si="41"/>
        <v>414.87447209915979</v>
      </c>
      <c r="K207" s="5">
        <f t="shared" si="42"/>
        <v>436.4264697639565</v>
      </c>
      <c r="L207" s="5">
        <f t="shared" si="43"/>
        <v>3.7907119749569173E-3</v>
      </c>
    </row>
    <row r="208" spans="2:12">
      <c r="B208">
        <v>1.95703125</v>
      </c>
      <c r="C208">
        <v>0.32433270826004401</v>
      </c>
      <c r="D208">
        <v>21.836861328125</v>
      </c>
      <c r="E208" s="5">
        <f t="shared" si="37"/>
        <v>21836.861328125</v>
      </c>
      <c r="F208" s="5">
        <v>3.8116872019600102E-2</v>
      </c>
      <c r="G208">
        <f t="shared" si="38"/>
        <v>436.73722656249998</v>
      </c>
      <c r="H208">
        <f t="shared" si="39"/>
        <v>3.8116872019600101E-3</v>
      </c>
      <c r="I208">
        <f t="shared" si="40"/>
        <v>5.8044411296344078E-3</v>
      </c>
      <c r="J208">
        <f t="shared" si="41"/>
        <v>416.37705943283771</v>
      </c>
      <c r="K208" s="5">
        <f t="shared" si="42"/>
        <v>438.40193225960775</v>
      </c>
      <c r="L208" s="5">
        <f t="shared" si="43"/>
        <v>3.8044411296344074E-3</v>
      </c>
    </row>
    <row r="209" spans="2:12">
      <c r="B209">
        <v>1.966796875</v>
      </c>
      <c r="C209">
        <v>0.32575131626799703</v>
      </c>
      <c r="D209">
        <v>21.928714843750001</v>
      </c>
      <c r="E209" s="5">
        <f t="shared" si="37"/>
        <v>21928.71484375</v>
      </c>
      <c r="F209" s="5">
        <v>3.8324196793837501E-2</v>
      </c>
      <c r="G209">
        <f t="shared" si="38"/>
        <v>438.57429687500002</v>
      </c>
      <c r="H209">
        <f t="shared" si="39"/>
        <v>3.8324196793837499E-3</v>
      </c>
      <c r="I209">
        <f t="shared" si="40"/>
        <v>5.8250946681310065E-3</v>
      </c>
      <c r="J209">
        <f t="shared" si="41"/>
        <v>418.63748595359795</v>
      </c>
      <c r="K209" s="5">
        <f t="shared" si="42"/>
        <v>440.25509764121568</v>
      </c>
      <c r="L209" s="5">
        <f t="shared" si="43"/>
        <v>3.8250946681310061E-3</v>
      </c>
    </row>
    <row r="210" spans="2:12">
      <c r="B210">
        <v>1.9765625</v>
      </c>
      <c r="C210">
        <v>0.327254820149392</v>
      </c>
      <c r="D210">
        <v>22.021216796874999</v>
      </c>
      <c r="E210" s="5">
        <f t="shared" si="37"/>
        <v>22021.216796875</v>
      </c>
      <c r="F210" s="5">
        <v>3.8415022572735297E-2</v>
      </c>
      <c r="G210">
        <f t="shared" si="38"/>
        <v>440.42433593750002</v>
      </c>
      <c r="H210">
        <f t="shared" si="39"/>
        <v>3.8415022572735298E-3</v>
      </c>
      <c r="I210">
        <f t="shared" si="40"/>
        <v>5.8341425297290545E-3</v>
      </c>
      <c r="J210">
        <f t="shared" si="41"/>
        <v>419.62772916619639</v>
      </c>
      <c r="K210" s="5">
        <f t="shared" si="42"/>
        <v>442.11622701816214</v>
      </c>
      <c r="L210" s="5">
        <f t="shared" si="43"/>
        <v>3.8341425297290549E-3</v>
      </c>
    </row>
    <row r="211" spans="2:12">
      <c r="B211">
        <v>1.986328125</v>
      </c>
      <c r="C211">
        <v>0.329074275214225</v>
      </c>
      <c r="D211">
        <v>22.124443359375</v>
      </c>
      <c r="E211" s="5">
        <f t="shared" si="37"/>
        <v>22124.443359375</v>
      </c>
      <c r="F211" s="5">
        <v>3.8610567571595297E-2</v>
      </c>
      <c r="G211">
        <f t="shared" si="38"/>
        <v>442.48886718749998</v>
      </c>
      <c r="H211">
        <f t="shared" si="39"/>
        <v>3.8610567571595298E-3</v>
      </c>
      <c r="I211">
        <f t="shared" si="40"/>
        <v>5.853622008697509E-3</v>
      </c>
      <c r="J211">
        <f t="shared" si="41"/>
        <v>421.75966074189893</v>
      </c>
      <c r="K211" s="5">
        <f t="shared" si="42"/>
        <v>444.19734181812214</v>
      </c>
      <c r="L211" s="5">
        <f t="shared" si="43"/>
        <v>3.8536220086975094E-3</v>
      </c>
    </row>
    <row r="212" spans="2:12">
      <c r="B212">
        <v>1.99609375</v>
      </c>
      <c r="C212">
        <v>0.33078639535233401</v>
      </c>
      <c r="D212">
        <v>22.198953124999999</v>
      </c>
      <c r="E212" s="5">
        <f t="shared" si="37"/>
        <v>22198.953125</v>
      </c>
      <c r="F212" s="5">
        <v>3.8768695958424401E-2</v>
      </c>
      <c r="G212">
        <f t="shared" si="38"/>
        <v>443.9790625</v>
      </c>
      <c r="H212">
        <f t="shared" si="39"/>
        <v>3.8768695958424403E-3</v>
      </c>
      <c r="I212">
        <f t="shared" si="40"/>
        <v>5.869373903878327E-3</v>
      </c>
      <c r="J212">
        <f t="shared" si="41"/>
        <v>423.48362690996345</v>
      </c>
      <c r="K212" s="5">
        <f t="shared" si="42"/>
        <v>445.70031142859688</v>
      </c>
      <c r="L212" s="5">
        <f t="shared" si="43"/>
        <v>3.8693739038783265E-3</v>
      </c>
    </row>
    <row r="213" spans="2:12">
      <c r="B213">
        <v>2.005859375</v>
      </c>
      <c r="C213">
        <v>0.33226460800506202</v>
      </c>
      <c r="D213">
        <v>22.283421874999998</v>
      </c>
      <c r="E213" s="5">
        <f t="shared" si="37"/>
        <v>22283.421875</v>
      </c>
      <c r="F213" s="5">
        <v>3.89588894904591E-2</v>
      </c>
      <c r="G213">
        <f t="shared" si="38"/>
        <v>445.66843749999998</v>
      </c>
      <c r="H213">
        <f t="shared" si="39"/>
        <v>3.8958889490459101E-3</v>
      </c>
      <c r="I213">
        <f t="shared" si="40"/>
        <v>5.8883196268174386E-3</v>
      </c>
      <c r="J213">
        <f t="shared" si="41"/>
        <v>425.55714155703458</v>
      </c>
      <c r="K213" s="5">
        <f t="shared" si="42"/>
        <v>447.40471224059479</v>
      </c>
      <c r="L213" s="5">
        <f t="shared" si="43"/>
        <v>3.8883196268174386E-3</v>
      </c>
    </row>
    <row r="214" spans="2:12">
      <c r="B214">
        <v>2.015625</v>
      </c>
      <c r="C214">
        <v>0.33402146073058198</v>
      </c>
      <c r="D214">
        <v>22.364335937500002</v>
      </c>
      <c r="E214" s="5">
        <f t="shared" si="37"/>
        <v>22364.3359375</v>
      </c>
      <c r="F214" s="5">
        <v>3.9109618228394497E-2</v>
      </c>
      <c r="G214">
        <f t="shared" si="38"/>
        <v>447.28671874999998</v>
      </c>
      <c r="H214">
        <f t="shared" si="39"/>
        <v>3.9109618228394495E-3</v>
      </c>
      <c r="I214">
        <f t="shared" si="40"/>
        <v>5.9033338935413826E-3</v>
      </c>
      <c r="J214">
        <f t="shared" si="41"/>
        <v>427.2003779786366</v>
      </c>
      <c r="K214" s="5">
        <f t="shared" si="42"/>
        <v>449.03604003089436</v>
      </c>
      <c r="L214" s="5">
        <f t="shared" si="43"/>
        <v>3.9033338935413825E-3</v>
      </c>
    </row>
    <row r="215" spans="2:12">
      <c r="B215">
        <v>2.025390625</v>
      </c>
      <c r="C215">
        <v>0.33583043841645099</v>
      </c>
      <c r="D215">
        <v>22.441050781249999</v>
      </c>
      <c r="E215" s="5">
        <f t="shared" si="37"/>
        <v>22441.05078125</v>
      </c>
      <c r="F215" s="5">
        <v>3.9155624108388999E-2</v>
      </c>
      <c r="G215">
        <f t="shared" si="38"/>
        <v>448.82101562499997</v>
      </c>
      <c r="H215">
        <f t="shared" si="39"/>
        <v>3.9155624108389003E-3</v>
      </c>
      <c r="I215">
        <f t="shared" si="40"/>
        <v>5.9079165484111429E-3</v>
      </c>
      <c r="J215">
        <f t="shared" si="41"/>
        <v>427.70192664085755</v>
      </c>
      <c r="K215" s="5">
        <f t="shared" si="42"/>
        <v>450.57840232297576</v>
      </c>
      <c r="L215" s="5">
        <f t="shared" si="43"/>
        <v>3.9079165484111429E-3</v>
      </c>
    </row>
    <row r="216" spans="2:12">
      <c r="B216">
        <v>2.03515625</v>
      </c>
      <c r="C216">
        <v>0.33668280229903802</v>
      </c>
      <c r="D216">
        <v>22.557097656250001</v>
      </c>
      <c r="E216" s="5">
        <f t="shared" si="37"/>
        <v>22557.09765625</v>
      </c>
      <c r="F216" s="5">
        <v>3.9491631468990797E-2</v>
      </c>
      <c r="G216">
        <f t="shared" si="38"/>
        <v>451.14195312499999</v>
      </c>
      <c r="H216">
        <f t="shared" si="39"/>
        <v>3.94916314689908E-3</v>
      </c>
      <c r="I216">
        <f t="shared" si="40"/>
        <v>5.9413856717396409E-3</v>
      </c>
      <c r="J216">
        <f t="shared" si="41"/>
        <v>431.36495484354498</v>
      </c>
      <c r="K216" s="5">
        <f t="shared" si="42"/>
        <v>452.92358630030128</v>
      </c>
      <c r="L216" s="5">
        <f t="shared" si="43"/>
        <v>3.9413856717396408E-3</v>
      </c>
    </row>
    <row r="217" spans="2:12">
      <c r="B217">
        <v>2.044921875</v>
      </c>
      <c r="C217">
        <v>0.33950508804991802</v>
      </c>
      <c r="D217">
        <v>22.681355468749999</v>
      </c>
      <c r="E217" s="5">
        <f t="shared" si="37"/>
        <v>22681.35546875</v>
      </c>
      <c r="F217" s="5">
        <v>3.9668502722634003E-2</v>
      </c>
      <c r="G217">
        <f t="shared" si="38"/>
        <v>453.62710937499997</v>
      </c>
      <c r="H217">
        <f t="shared" si="39"/>
        <v>3.9668502722634003E-3</v>
      </c>
      <c r="I217">
        <f t="shared" si="40"/>
        <v>5.9590030673344471E-3</v>
      </c>
      <c r="J217">
        <f t="shared" si="41"/>
        <v>433.29309070441855</v>
      </c>
      <c r="K217" s="5">
        <f t="shared" si="42"/>
        <v>455.42658019733022</v>
      </c>
      <c r="L217" s="5">
        <f t="shared" si="43"/>
        <v>3.959003067334447E-3</v>
      </c>
    </row>
    <row r="218" spans="2:12">
      <c r="B218">
        <v>2.0546875</v>
      </c>
      <c r="C218">
        <v>0.34110844717361</v>
      </c>
      <c r="D218">
        <v>22.7648046875</v>
      </c>
      <c r="E218" s="5">
        <f t="shared" si="37"/>
        <v>22764.8046875</v>
      </c>
      <c r="F218" s="5">
        <v>3.9816535718273399E-2</v>
      </c>
      <c r="G218">
        <f t="shared" si="38"/>
        <v>455.29609375000001</v>
      </c>
      <c r="H218">
        <f t="shared" si="39"/>
        <v>3.9816535718273397E-3</v>
      </c>
      <c r="I218">
        <f t="shared" si="40"/>
        <v>5.973747767744707E-3</v>
      </c>
      <c r="J218">
        <f t="shared" si="41"/>
        <v>434.90682444081943</v>
      </c>
      <c r="K218" s="5">
        <f t="shared" si="42"/>
        <v>457.10892506791873</v>
      </c>
      <c r="L218" s="5">
        <f t="shared" si="43"/>
        <v>3.9737477677447069E-3</v>
      </c>
    </row>
    <row r="219" spans="2:12">
      <c r="B219">
        <v>2.064453125</v>
      </c>
      <c r="C219">
        <v>0.34234821214340599</v>
      </c>
      <c r="D219">
        <v>22.875212890625001</v>
      </c>
      <c r="E219" s="5">
        <f t="shared" si="37"/>
        <v>22875.212890625</v>
      </c>
      <c r="F219" s="5">
        <v>4.0056755096884403E-2</v>
      </c>
      <c r="G219">
        <f t="shared" si="38"/>
        <v>457.50425781249999</v>
      </c>
      <c r="H219">
        <f t="shared" si="39"/>
        <v>4.0056755096884401E-3</v>
      </c>
      <c r="I219">
        <f t="shared" si="40"/>
        <v>5.9976741516559453E-3</v>
      </c>
      <c r="J219">
        <f t="shared" si="41"/>
        <v>437.52544752798491</v>
      </c>
      <c r="K219" s="5">
        <f t="shared" si="42"/>
        <v>459.33687141359769</v>
      </c>
      <c r="L219" s="5">
        <f t="shared" si="43"/>
        <v>3.9976741516559453E-3</v>
      </c>
    </row>
    <row r="220" spans="2:12">
      <c r="B220">
        <v>2.07421875</v>
      </c>
      <c r="C220">
        <v>0.344520813087001</v>
      </c>
      <c r="D220">
        <v>22.9494453125</v>
      </c>
      <c r="E220" s="5">
        <f t="shared" si="37"/>
        <v>22949.4453125</v>
      </c>
      <c r="F220" s="5">
        <v>4.0135593735612901E-2</v>
      </c>
      <c r="G220">
        <f t="shared" si="38"/>
        <v>458.98890625000001</v>
      </c>
      <c r="H220">
        <f t="shared" si="39"/>
        <v>4.0135593735612903E-3</v>
      </c>
      <c r="I220">
        <f t="shared" si="40"/>
        <v>6.0055265304936878E-3</v>
      </c>
      <c r="J220">
        <f t="shared" si="41"/>
        <v>438.38485112988167</v>
      </c>
      <c r="K220" s="5">
        <f t="shared" si="42"/>
        <v>460.83108547704035</v>
      </c>
      <c r="L220" s="5">
        <f t="shared" si="43"/>
        <v>4.0055265304936877E-3</v>
      </c>
    </row>
    <row r="221" spans="2:12">
      <c r="B221">
        <v>2.083984375</v>
      </c>
      <c r="C221">
        <v>0.34391880035400402</v>
      </c>
      <c r="D221">
        <v>23.039927734374999</v>
      </c>
      <c r="E221" s="5">
        <f t="shared" si="37"/>
        <v>23039.927734375</v>
      </c>
      <c r="F221" s="5">
        <v>4.0355742385145298E-2</v>
      </c>
      <c r="G221">
        <f t="shared" si="38"/>
        <v>460.79855468749997</v>
      </c>
      <c r="H221">
        <f t="shared" si="39"/>
        <v>4.0355742385145294E-3</v>
      </c>
      <c r="I221">
        <f t="shared" si="40"/>
        <v>6.0274531503015571E-3</v>
      </c>
      <c r="J221">
        <f t="shared" si="41"/>
        <v>440.78461003475394</v>
      </c>
      <c r="K221" s="5">
        <f t="shared" si="42"/>
        <v>462.65814146394155</v>
      </c>
      <c r="L221" s="5">
        <f t="shared" si="43"/>
        <v>4.0274531503015571E-3</v>
      </c>
    </row>
    <row r="222" spans="2:12">
      <c r="B222">
        <v>2.09375</v>
      </c>
      <c r="C222">
        <v>0.34766495809890302</v>
      </c>
      <c r="D222">
        <v>23.154630859375001</v>
      </c>
      <c r="E222" s="5">
        <f t="shared" si="37"/>
        <v>23154.630859375</v>
      </c>
      <c r="F222" s="5">
        <v>4.0528531826566898E-2</v>
      </c>
      <c r="G222">
        <f t="shared" si="38"/>
        <v>463.09261718750003</v>
      </c>
      <c r="H222">
        <f t="shared" si="39"/>
        <v>4.0528531826566896E-3</v>
      </c>
      <c r="I222">
        <f t="shared" si="40"/>
        <v>6.0446624961716291E-3</v>
      </c>
      <c r="J222">
        <f t="shared" si="41"/>
        <v>442.66808689350393</v>
      </c>
      <c r="K222" s="5">
        <f t="shared" si="42"/>
        <v>464.96946357493323</v>
      </c>
      <c r="L222" s="5">
        <f t="shared" si="43"/>
        <v>4.044662496171629E-3</v>
      </c>
    </row>
    <row r="223" spans="2:12">
      <c r="B223">
        <v>2.103515625</v>
      </c>
      <c r="C223">
        <v>0.34928470267914202</v>
      </c>
      <c r="D223">
        <v>23.227091796875001</v>
      </c>
      <c r="E223" s="5">
        <f t="shared" si="37"/>
        <v>23227.091796875</v>
      </c>
      <c r="F223" s="5">
        <v>4.0637776692165103E-2</v>
      </c>
      <c r="G223">
        <f t="shared" si="38"/>
        <v>464.54183593750003</v>
      </c>
      <c r="H223">
        <f t="shared" si="39"/>
        <v>4.0637776692165105E-3</v>
      </c>
      <c r="I223">
        <f t="shared" si="40"/>
        <v>6.0555428269174474E-3</v>
      </c>
      <c r="J223">
        <f t="shared" si="41"/>
        <v>443.85888469198005</v>
      </c>
      <c r="K223" s="5">
        <f t="shared" si="42"/>
        <v>466.42963067679966</v>
      </c>
      <c r="L223" s="5">
        <f t="shared" si="43"/>
        <v>4.0555428269174474E-3</v>
      </c>
    </row>
    <row r="224" spans="2:12">
      <c r="B224">
        <v>2.11328125</v>
      </c>
      <c r="C224">
        <v>0.349177425960079</v>
      </c>
      <c r="D224">
        <v>23.316908203124999</v>
      </c>
      <c r="E224" s="5">
        <f t="shared" si="37"/>
        <v>23316.908203125</v>
      </c>
      <c r="F224" s="5">
        <v>4.0825125324772699E-2</v>
      </c>
      <c r="G224">
        <f t="shared" si="38"/>
        <v>466.33816406250003</v>
      </c>
      <c r="H224">
        <f t="shared" si="39"/>
        <v>4.0825125324772697E-3</v>
      </c>
      <c r="I224">
        <f t="shared" si="40"/>
        <v>6.0742016899223159E-3</v>
      </c>
      <c r="J224">
        <f t="shared" si="41"/>
        <v>445.90100395354784</v>
      </c>
      <c r="K224" s="5">
        <f t="shared" si="42"/>
        <v>468.24199546165761</v>
      </c>
      <c r="L224" s="5">
        <f t="shared" si="43"/>
        <v>4.0742016899223158E-3</v>
      </c>
    </row>
    <row r="225" spans="2:12">
      <c r="B225">
        <v>2.123046875</v>
      </c>
      <c r="C225">
        <v>0.35209805355407298</v>
      </c>
      <c r="D225">
        <v>23.397720703125</v>
      </c>
      <c r="E225" s="5">
        <f t="shared" si="37"/>
        <v>23397.720703125</v>
      </c>
      <c r="F225" s="5">
        <v>4.09872700402047E-2</v>
      </c>
      <c r="G225">
        <f t="shared" si="38"/>
        <v>467.95441406250001</v>
      </c>
      <c r="H225">
        <f t="shared" si="39"/>
        <v>4.0987270040204696E-3</v>
      </c>
      <c r="I225">
        <f t="shared" si="40"/>
        <v>6.0903501044422149E-3</v>
      </c>
      <c r="J225">
        <f t="shared" si="41"/>
        <v>447.66836718067822</v>
      </c>
      <c r="K225" s="5">
        <f t="shared" si="42"/>
        <v>469.87243145606857</v>
      </c>
      <c r="L225" s="5">
        <f t="shared" si="43"/>
        <v>4.0903501044422148E-3</v>
      </c>
    </row>
    <row r="226" spans="2:12">
      <c r="B226">
        <v>2.1328125</v>
      </c>
      <c r="C226">
        <v>0.355142343323678</v>
      </c>
      <c r="D226">
        <v>23.466669921874999</v>
      </c>
      <c r="E226" s="5">
        <f t="shared" si="37"/>
        <v>23466.669921875</v>
      </c>
      <c r="F226" s="5">
        <v>4.11310029448941E-2</v>
      </c>
      <c r="G226">
        <f t="shared" si="38"/>
        <v>469.33339843750002</v>
      </c>
      <c r="H226">
        <f t="shared" si="39"/>
        <v>4.11310029448941E-3</v>
      </c>
      <c r="I226">
        <f t="shared" si="40"/>
        <v>6.1046646207435348E-3</v>
      </c>
      <c r="J226">
        <f t="shared" si="41"/>
        <v>449.23501941727613</v>
      </c>
      <c r="K226" s="5">
        <f t="shared" si="42"/>
        <v>471.26381377682702</v>
      </c>
      <c r="L226" s="5">
        <f t="shared" si="43"/>
        <v>4.1046646207435348E-3</v>
      </c>
    </row>
    <row r="227" spans="2:12">
      <c r="B227">
        <v>2.142578125</v>
      </c>
      <c r="C227">
        <v>0.35556108923628899</v>
      </c>
      <c r="D227">
        <v>23.567164062500002</v>
      </c>
      <c r="E227" s="5">
        <f t="shared" si="37"/>
        <v>23567.1640625</v>
      </c>
      <c r="F227" s="5">
        <v>4.1337007132824503E-2</v>
      </c>
      <c r="G227">
        <f t="shared" si="38"/>
        <v>471.34328125000002</v>
      </c>
      <c r="H227">
        <f t="shared" si="39"/>
        <v>4.1337007132824502E-3</v>
      </c>
      <c r="I227">
        <f t="shared" si="40"/>
        <v>6.1251804445789544E-3</v>
      </c>
      <c r="J227">
        <f t="shared" si="41"/>
        <v>451.48037375694366</v>
      </c>
      <c r="K227" s="5">
        <f t="shared" si="42"/>
        <v>473.29167330790403</v>
      </c>
      <c r="L227" s="5">
        <f t="shared" si="43"/>
        <v>4.1251804445789544E-3</v>
      </c>
    </row>
    <row r="228" spans="2:12">
      <c r="B228">
        <v>2.15234375</v>
      </c>
      <c r="C228">
        <v>0.35637320252135402</v>
      </c>
      <c r="D228">
        <v>23.641697265625002</v>
      </c>
      <c r="E228" s="5">
        <f t="shared" si="37"/>
        <v>23641.697265625</v>
      </c>
      <c r="F228" s="5">
        <v>4.14165224356111E-2</v>
      </c>
      <c r="G228">
        <f t="shared" si="38"/>
        <v>472.83394531250002</v>
      </c>
      <c r="H228">
        <f t="shared" si="39"/>
        <v>4.1416522435611097E-3</v>
      </c>
      <c r="I228">
        <f t="shared" si="40"/>
        <v>6.1330992095700145E-3</v>
      </c>
      <c r="J228">
        <f t="shared" si="41"/>
        <v>452.34704299139025</v>
      </c>
      <c r="K228" s="5">
        <f t="shared" si="42"/>
        <v>474.7922590829354</v>
      </c>
      <c r="L228" s="5">
        <f t="shared" si="43"/>
        <v>4.1330992095700144E-3</v>
      </c>
    </row>
    <row r="229" spans="2:12">
      <c r="B229">
        <v>2.162109375</v>
      </c>
      <c r="C229">
        <v>0.35873203887604199</v>
      </c>
      <c r="D229">
        <v>23.731992187500001</v>
      </c>
      <c r="E229" s="5">
        <f t="shared" si="37"/>
        <v>23731.9921875</v>
      </c>
      <c r="F229" s="5">
        <v>4.1648876504041303E-2</v>
      </c>
      <c r="G229">
        <f t="shared" si="38"/>
        <v>474.63984375000001</v>
      </c>
      <c r="H229">
        <f t="shared" si="39"/>
        <v>4.1648876504041307E-3</v>
      </c>
      <c r="I229">
        <f t="shared" si="40"/>
        <v>6.1562385126420222E-3</v>
      </c>
      <c r="J229">
        <f t="shared" si="41"/>
        <v>454.87952401610613</v>
      </c>
      <c r="K229" s="5">
        <f t="shared" si="42"/>
        <v>476.61666537362413</v>
      </c>
      <c r="L229" s="5">
        <f t="shared" si="43"/>
        <v>4.1562385126420222E-3</v>
      </c>
    </row>
    <row r="230" spans="2:12">
      <c r="B230">
        <v>2.171875</v>
      </c>
      <c r="C230">
        <v>0.36004930734634399</v>
      </c>
      <c r="D230">
        <v>23.845083984375002</v>
      </c>
      <c r="E230" s="5">
        <f t="shared" si="37"/>
        <v>23845.083984375</v>
      </c>
      <c r="F230" s="5">
        <v>4.1779781895456801E-2</v>
      </c>
      <c r="G230">
        <f t="shared" si="38"/>
        <v>476.90167968750001</v>
      </c>
      <c r="H230">
        <f t="shared" si="39"/>
        <v>4.1779781895456801E-3</v>
      </c>
      <c r="I230">
        <f t="shared" si="40"/>
        <v>6.1692746723181428E-3</v>
      </c>
      <c r="J230">
        <f t="shared" si="41"/>
        <v>456.30626651185912</v>
      </c>
      <c r="K230" s="5">
        <f t="shared" si="42"/>
        <v>478.89416450379207</v>
      </c>
      <c r="L230" s="5">
        <f t="shared" si="43"/>
        <v>4.1692746723181427E-3</v>
      </c>
    </row>
    <row r="231" spans="2:12">
      <c r="B231">
        <v>2.181640625</v>
      </c>
      <c r="C231">
        <v>0.36205054493620997</v>
      </c>
      <c r="D231">
        <v>23.942486328125</v>
      </c>
      <c r="E231" s="5">
        <f t="shared" si="37"/>
        <v>23942.486328125</v>
      </c>
      <c r="F231" s="5">
        <v>4.1999486711574698E-2</v>
      </c>
      <c r="G231">
        <f t="shared" si="38"/>
        <v>478.8497265625</v>
      </c>
      <c r="H231">
        <f t="shared" si="39"/>
        <v>4.1999486711574701E-3</v>
      </c>
      <c r="I231">
        <f t="shared" si="40"/>
        <v>6.1911535043037216E-3</v>
      </c>
      <c r="J231">
        <f t="shared" si="41"/>
        <v>458.70079527852079</v>
      </c>
      <c r="K231" s="5">
        <f t="shared" si="42"/>
        <v>480.8608708352603</v>
      </c>
      <c r="L231" s="5">
        <f t="shared" si="43"/>
        <v>4.1911535043037216E-3</v>
      </c>
    </row>
    <row r="232" spans="2:12">
      <c r="B232">
        <v>2.19140625</v>
      </c>
      <c r="C232">
        <v>0.36313981399871398</v>
      </c>
      <c r="D232">
        <v>24.017064453124998</v>
      </c>
      <c r="E232" s="5">
        <f t="shared" si="37"/>
        <v>24017.064453125</v>
      </c>
      <c r="F232" s="5">
        <v>4.2157316784141599E-2</v>
      </c>
      <c r="G232">
        <f t="shared" si="38"/>
        <v>480.34128906249998</v>
      </c>
      <c r="H232">
        <f t="shared" si="39"/>
        <v>4.2157316784141603E-3</v>
      </c>
      <c r="I232">
        <f t="shared" si="40"/>
        <v>6.2068703774704002E-3</v>
      </c>
      <c r="J232">
        <f t="shared" si="41"/>
        <v>460.42092846224796</v>
      </c>
      <c r="K232" s="5">
        <f t="shared" si="42"/>
        <v>482.36627905125107</v>
      </c>
      <c r="L232" s="5">
        <f t="shared" si="43"/>
        <v>4.2068703774704001E-3</v>
      </c>
    </row>
    <row r="233" spans="2:12">
      <c r="B233">
        <v>2.201171875</v>
      </c>
      <c r="C233">
        <v>0.365012878319249</v>
      </c>
      <c r="D233">
        <v>24.099162109375001</v>
      </c>
      <c r="E233" s="5">
        <f t="shared" si="37"/>
        <v>24099.162109375</v>
      </c>
      <c r="F233" s="5">
        <v>4.2245759686920799E-2</v>
      </c>
      <c r="G233">
        <f t="shared" si="38"/>
        <v>481.98324218750003</v>
      </c>
      <c r="H233">
        <f t="shared" si="39"/>
        <v>4.2245759686920801E-3</v>
      </c>
      <c r="I233">
        <f t="shared" si="40"/>
        <v>6.2156775003351459E-3</v>
      </c>
      <c r="J233">
        <f t="shared" si="41"/>
        <v>461.38482402418003</v>
      </c>
      <c r="K233" s="5">
        <f t="shared" si="42"/>
        <v>484.01941700975766</v>
      </c>
      <c r="L233" s="5">
        <f t="shared" si="43"/>
        <v>4.2156775003351458E-3</v>
      </c>
    </row>
    <row r="234" spans="2:12">
      <c r="B234">
        <v>2.2109375</v>
      </c>
      <c r="C234">
        <v>0.36679208278656</v>
      </c>
      <c r="D234">
        <v>24.193103515625001</v>
      </c>
      <c r="E234" s="5">
        <f t="shared" si="37"/>
        <v>24193.103515625</v>
      </c>
      <c r="F234" s="5">
        <v>4.2479357944102999E-2</v>
      </c>
      <c r="G234">
        <f t="shared" si="38"/>
        <v>483.86207031250001</v>
      </c>
      <c r="H234">
        <f t="shared" si="39"/>
        <v>4.2479357944103001E-3</v>
      </c>
      <c r="I234">
        <f t="shared" si="40"/>
        <v>6.2389387852991741E-3</v>
      </c>
      <c r="J234">
        <f t="shared" si="41"/>
        <v>463.93065535706808</v>
      </c>
      <c r="K234" s="5">
        <f t="shared" si="42"/>
        <v>485.91748532053793</v>
      </c>
      <c r="L234" s="5">
        <f t="shared" si="43"/>
        <v>4.238938785299174E-3</v>
      </c>
    </row>
    <row r="235" spans="2:12">
      <c r="B235">
        <v>2.220703125</v>
      </c>
      <c r="C235">
        <v>0.36779642687179098</v>
      </c>
      <c r="D235">
        <v>24.3029765625</v>
      </c>
      <c r="E235" s="5">
        <f t="shared" si="37"/>
        <v>24302.9765625</v>
      </c>
      <c r="F235" s="5">
        <v>4.2605675844242803E-2</v>
      </c>
      <c r="G235">
        <f t="shared" si="38"/>
        <v>486.05953125000002</v>
      </c>
      <c r="H235">
        <f t="shared" si="39"/>
        <v>4.2605675844242805E-3</v>
      </c>
      <c r="I235">
        <f t="shared" si="40"/>
        <v>6.2515170641492769E-3</v>
      </c>
      <c r="J235">
        <f t="shared" si="41"/>
        <v>465.30728508581763</v>
      </c>
      <c r="K235" s="5">
        <f t="shared" si="42"/>
        <v>488.13042073294423</v>
      </c>
      <c r="L235" s="5">
        <f t="shared" si="43"/>
        <v>4.2515170641492768E-3</v>
      </c>
    </row>
    <row r="236" spans="2:12">
      <c r="B236">
        <v>2.23046875</v>
      </c>
      <c r="C236">
        <v>0.369751447578892</v>
      </c>
      <c r="D236">
        <v>24.397142578124999</v>
      </c>
      <c r="E236" s="5">
        <f t="shared" si="37"/>
        <v>24397.142578125</v>
      </c>
      <c r="F236" s="5">
        <v>4.2784584366018001E-2</v>
      </c>
      <c r="G236">
        <f t="shared" si="38"/>
        <v>487.94285156249998</v>
      </c>
      <c r="H236">
        <f t="shared" si="39"/>
        <v>4.2784584366018005E-3</v>
      </c>
      <c r="I236">
        <f t="shared" si="40"/>
        <v>6.2693318558423522E-3</v>
      </c>
      <c r="J236">
        <f t="shared" si="41"/>
        <v>467.25702496266621</v>
      </c>
      <c r="K236" s="5">
        <f t="shared" si="42"/>
        <v>490.03049477234708</v>
      </c>
      <c r="L236" s="5">
        <f t="shared" si="43"/>
        <v>4.2693318558423522E-3</v>
      </c>
    </row>
    <row r="237" spans="2:12">
      <c r="B237">
        <v>2.240234375</v>
      </c>
      <c r="C237">
        <v>0.37234724732115898</v>
      </c>
      <c r="D237">
        <v>24.491138671874999</v>
      </c>
      <c r="E237" s="5">
        <f t="shared" si="37"/>
        <v>24491.138671875</v>
      </c>
      <c r="F237" s="5">
        <v>4.3045038182754097E-2</v>
      </c>
      <c r="G237">
        <f t="shared" si="38"/>
        <v>489.82277343750002</v>
      </c>
      <c r="H237">
        <f t="shared" si="39"/>
        <v>4.3045038182754096E-3</v>
      </c>
      <c r="I237">
        <f t="shared" si="40"/>
        <v>6.29526594187665E-3</v>
      </c>
      <c r="J237">
        <f t="shared" si="41"/>
        <v>470.09538100868997</v>
      </c>
      <c r="K237" s="5">
        <f t="shared" si="42"/>
        <v>491.93121743604001</v>
      </c>
      <c r="L237" s="5">
        <f t="shared" si="43"/>
        <v>4.29526594187665E-3</v>
      </c>
    </row>
    <row r="238" spans="2:12">
      <c r="B238">
        <v>2.25</v>
      </c>
      <c r="C238">
        <v>0.37371963844634598</v>
      </c>
      <c r="D238">
        <v>24.587400390625</v>
      </c>
      <c r="E238" s="5">
        <f t="shared" si="37"/>
        <v>24587.400390625</v>
      </c>
      <c r="F238" s="5">
        <v>4.3140124034834998E-2</v>
      </c>
      <c r="G238">
        <f t="shared" si="38"/>
        <v>491.74800781250002</v>
      </c>
      <c r="H238">
        <f t="shared" si="39"/>
        <v>4.3140124034835E-3</v>
      </c>
      <c r="I238">
        <f t="shared" si="40"/>
        <v>6.3047337279508843E-3</v>
      </c>
      <c r="J238">
        <f t="shared" si="41"/>
        <v>471.13158285558455</v>
      </c>
      <c r="K238" s="5">
        <f t="shared" si="42"/>
        <v>493.86941481759146</v>
      </c>
      <c r="L238" s="5">
        <f t="shared" si="43"/>
        <v>4.3047337279508843E-3</v>
      </c>
    </row>
    <row r="239" spans="2:12">
      <c r="B239">
        <v>2.259765625</v>
      </c>
      <c r="C239">
        <v>0.37384481402114</v>
      </c>
      <c r="D239">
        <v>24.661095703125</v>
      </c>
      <c r="E239" s="5">
        <f t="shared" si="37"/>
        <v>24661.095703125</v>
      </c>
      <c r="F239" s="5">
        <v>4.3382100557209903E-2</v>
      </c>
      <c r="G239">
        <f t="shared" si="38"/>
        <v>493.22191406249999</v>
      </c>
      <c r="H239">
        <f t="shared" si="39"/>
        <v>4.3382100557209907E-3</v>
      </c>
      <c r="I239">
        <f t="shared" si="40"/>
        <v>6.32882714936859E-3</v>
      </c>
      <c r="J239">
        <f t="shared" si="41"/>
        <v>473.76848736264532</v>
      </c>
      <c r="K239" s="5">
        <f t="shared" si="42"/>
        <v>495.36161432978787</v>
      </c>
      <c r="L239" s="5">
        <f t="shared" si="43"/>
        <v>4.3288271493685899E-3</v>
      </c>
    </row>
    <row r="240" spans="2:12">
      <c r="B240">
        <v>2.26953125</v>
      </c>
      <c r="C240">
        <v>0.37600100040435802</v>
      </c>
      <c r="D240">
        <v>24.76641015625</v>
      </c>
      <c r="E240" s="5">
        <f t="shared" si="37"/>
        <v>24766.41015625</v>
      </c>
      <c r="F240" s="5">
        <v>4.3513708078535301E-2</v>
      </c>
      <c r="G240">
        <f t="shared" si="38"/>
        <v>495.32820312500002</v>
      </c>
      <c r="H240">
        <f t="shared" si="39"/>
        <v>4.35137080785353E-3</v>
      </c>
      <c r="I240">
        <f t="shared" si="40"/>
        <v>6.3419309681548314E-3</v>
      </c>
      <c r="J240">
        <f t="shared" si="41"/>
        <v>475.2026348097055</v>
      </c>
      <c r="K240" s="5">
        <f t="shared" si="42"/>
        <v>497.48355980838471</v>
      </c>
      <c r="L240" s="5">
        <f t="shared" si="43"/>
        <v>4.3419309681548314E-3</v>
      </c>
    </row>
    <row r="241" spans="2:12">
      <c r="B241">
        <v>2.279296875</v>
      </c>
      <c r="C241">
        <v>0.37749111652374301</v>
      </c>
      <c r="D241">
        <v>24.862642578125001</v>
      </c>
      <c r="E241" s="5">
        <f t="shared" si="37"/>
        <v>24862.642578125</v>
      </c>
      <c r="F241" s="5">
        <v>4.37033013440669E-2</v>
      </c>
      <c r="G241">
        <f t="shared" si="38"/>
        <v>497.25285156249998</v>
      </c>
      <c r="H241">
        <f t="shared" si="39"/>
        <v>4.3703301344066902E-3</v>
      </c>
      <c r="I241">
        <f t="shared" si="40"/>
        <v>6.3608079749047737E-3</v>
      </c>
      <c r="J241">
        <f t="shared" si="41"/>
        <v>477.26862881345295</v>
      </c>
      <c r="K241" s="5">
        <f t="shared" si="42"/>
        <v>499.42601068410323</v>
      </c>
      <c r="L241" s="5">
        <f t="shared" si="43"/>
        <v>4.3608079749047736E-3</v>
      </c>
    </row>
    <row r="242" spans="2:12">
      <c r="B242">
        <v>2.2890625</v>
      </c>
      <c r="C242">
        <v>0.38035662146285198</v>
      </c>
      <c r="D242">
        <v>24.931345703125</v>
      </c>
      <c r="E242" s="5">
        <f t="shared" si="37"/>
        <v>24931.345703125</v>
      </c>
      <c r="F242" s="5">
        <v>4.38660681538749E-2</v>
      </c>
      <c r="G242">
        <f t="shared" si="38"/>
        <v>498.62691406250002</v>
      </c>
      <c r="H242">
        <f t="shared" si="39"/>
        <v>4.3866068153874897E-3</v>
      </c>
      <c r="I242">
        <f t="shared" si="40"/>
        <v>6.3770136996311117E-3</v>
      </c>
      <c r="J242">
        <f t="shared" si="41"/>
        <v>479.04226435612702</v>
      </c>
      <c r="K242" s="5">
        <f t="shared" si="42"/>
        <v>500.8141942820622</v>
      </c>
      <c r="L242" s="5">
        <f t="shared" si="43"/>
        <v>4.3770136996311116E-3</v>
      </c>
    </row>
    <row r="243" spans="2:12">
      <c r="B243">
        <v>2.298828125</v>
      </c>
      <c r="C243">
        <v>0.38263649912551001</v>
      </c>
      <c r="D243">
        <v>25.010244140625002</v>
      </c>
      <c r="E243" s="5">
        <f t="shared" si="37"/>
        <v>25010.244140625</v>
      </c>
      <c r="F243" s="5">
        <v>4.3910706153837999E-2</v>
      </c>
      <c r="G243">
        <f t="shared" si="38"/>
        <v>500.20488281249999</v>
      </c>
      <c r="H243">
        <f t="shared" si="39"/>
        <v>4.3910706153837999E-3</v>
      </c>
      <c r="I243">
        <f t="shared" si="40"/>
        <v>6.3814579943347622E-3</v>
      </c>
      <c r="J243">
        <f t="shared" si="41"/>
        <v>479.52867018996807</v>
      </c>
      <c r="K243" s="5">
        <f t="shared" si="42"/>
        <v>502.40131777508947</v>
      </c>
      <c r="L243" s="5">
        <f t="shared" si="43"/>
        <v>4.3814579943347622E-3</v>
      </c>
    </row>
    <row r="244" spans="2:12">
      <c r="B244">
        <v>2.30859375</v>
      </c>
      <c r="C244">
        <v>0.38268417119979897</v>
      </c>
      <c r="D244">
        <v>25.077322265625</v>
      </c>
      <c r="E244" s="5">
        <f t="shared" si="37"/>
        <v>25077.322265625</v>
      </c>
      <c r="F244" s="5">
        <v>4.4169250031700399E-2</v>
      </c>
      <c r="G244">
        <f t="shared" si="38"/>
        <v>501.5464453125</v>
      </c>
      <c r="H244">
        <f t="shared" si="39"/>
        <v>4.4169250031700401E-3</v>
      </c>
      <c r="I244">
        <f t="shared" si="40"/>
        <v>6.4071990187074832E-3</v>
      </c>
      <c r="J244">
        <f t="shared" si="41"/>
        <v>482.34589660244052</v>
      </c>
      <c r="K244" s="5">
        <f t="shared" si="42"/>
        <v>503.76173834705185</v>
      </c>
      <c r="L244" s="5">
        <f t="shared" si="43"/>
        <v>4.4071990187074831E-3</v>
      </c>
    </row>
    <row r="245" spans="2:12">
      <c r="B245">
        <v>2.318359375</v>
      </c>
      <c r="C245">
        <v>0.38475991459563402</v>
      </c>
      <c r="D245">
        <v>25.167849609375001</v>
      </c>
      <c r="E245" s="5">
        <f t="shared" si="37"/>
        <v>25167.849609375</v>
      </c>
      <c r="F245" s="5">
        <v>4.42200325778686E-2</v>
      </c>
      <c r="G245">
        <f t="shared" si="38"/>
        <v>503.3569921875</v>
      </c>
      <c r="H245">
        <f t="shared" si="39"/>
        <v>4.4220032577868603E-3</v>
      </c>
      <c r="I245">
        <f t="shared" si="40"/>
        <v>6.4122549289105241E-3</v>
      </c>
      <c r="J245">
        <f t="shared" si="41"/>
        <v>482.89924069461227</v>
      </c>
      <c r="K245" s="5">
        <f t="shared" si="42"/>
        <v>505.58283844678294</v>
      </c>
      <c r="L245" s="5">
        <f t="shared" si="43"/>
        <v>4.412254928910524E-3</v>
      </c>
    </row>
    <row r="246" spans="2:12">
      <c r="B246">
        <v>2.328125</v>
      </c>
      <c r="C246">
        <v>0.38578509702347202</v>
      </c>
      <c r="D246">
        <v>25.247378906249999</v>
      </c>
      <c r="E246" s="5">
        <f t="shared" si="37"/>
        <v>25247.37890625</v>
      </c>
      <c r="F246" s="5">
        <v>4.4378910388331902E-2</v>
      </c>
      <c r="G246">
        <f t="shared" si="38"/>
        <v>504.94757812500001</v>
      </c>
      <c r="H246">
        <f t="shared" si="39"/>
        <v>4.4378910388331904E-3</v>
      </c>
      <c r="I246">
        <f t="shared" si="40"/>
        <v>6.4280726383404048E-3</v>
      </c>
      <c r="J246">
        <f t="shared" si="41"/>
        <v>484.63040990316557</v>
      </c>
      <c r="K246" s="5">
        <f t="shared" si="42"/>
        <v>507.18848045704146</v>
      </c>
      <c r="L246" s="5">
        <f t="shared" si="43"/>
        <v>4.4280726383404048E-3</v>
      </c>
    </row>
    <row r="247" spans="2:12">
      <c r="B247">
        <v>2.337890625</v>
      </c>
      <c r="C247">
        <v>0.38814841536805</v>
      </c>
      <c r="D247">
        <v>25.335740234374999</v>
      </c>
      <c r="E247" s="5">
        <f t="shared" si="37"/>
        <v>25335.740234375</v>
      </c>
      <c r="F247" s="5">
        <v>4.4561973481904701E-2</v>
      </c>
      <c r="G247">
        <f t="shared" si="38"/>
        <v>506.71480468750002</v>
      </c>
      <c r="H247">
        <f t="shared" si="39"/>
        <v>4.4561973481904698E-3</v>
      </c>
      <c r="I247">
        <f t="shared" si="40"/>
        <v>6.4462978991579037E-3</v>
      </c>
      <c r="J247">
        <f t="shared" si="41"/>
        <v>486.62507357333675</v>
      </c>
      <c r="K247" s="5">
        <f t="shared" si="42"/>
        <v>508.97282585643734</v>
      </c>
      <c r="L247" s="5">
        <f t="shared" si="43"/>
        <v>4.4462978991579036E-3</v>
      </c>
    </row>
    <row r="248" spans="2:12">
      <c r="B248">
        <v>2.34765625</v>
      </c>
      <c r="C248">
        <v>0.388893473427743</v>
      </c>
      <c r="D248">
        <v>25.431892578125002</v>
      </c>
      <c r="E248" s="5">
        <f t="shared" si="37"/>
        <v>25431.892578125</v>
      </c>
      <c r="F248" s="5">
        <v>4.46978265244979E-2</v>
      </c>
      <c r="G248">
        <f t="shared" si="38"/>
        <v>508.63785156249997</v>
      </c>
      <c r="H248">
        <f t="shared" si="39"/>
        <v>4.4697826524497898E-3</v>
      </c>
      <c r="I248">
        <f t="shared" si="40"/>
        <v>6.4598228417339617E-3</v>
      </c>
      <c r="J248">
        <f t="shared" si="41"/>
        <v>488.10531091357342</v>
      </c>
      <c r="K248" s="5">
        <f t="shared" si="42"/>
        <v>510.91135220779336</v>
      </c>
      <c r="L248" s="5">
        <f t="shared" si="43"/>
        <v>4.4598228417339616E-3</v>
      </c>
    </row>
    <row r="249" spans="2:12">
      <c r="B249">
        <v>2.357421875</v>
      </c>
      <c r="C249">
        <v>0.39135068072937401</v>
      </c>
      <c r="D249">
        <v>25.522992187500002</v>
      </c>
      <c r="E249" s="5">
        <f t="shared" si="37"/>
        <v>25522.9921875</v>
      </c>
      <c r="F249" s="5">
        <v>4.4913365854881697E-2</v>
      </c>
      <c r="G249">
        <f t="shared" si="38"/>
        <v>510.45984375</v>
      </c>
      <c r="H249">
        <f t="shared" si="39"/>
        <v>4.4913365854881695E-3</v>
      </c>
      <c r="I249">
        <f t="shared" si="40"/>
        <v>6.4812806318651902E-3</v>
      </c>
      <c r="J249">
        <f t="shared" si="41"/>
        <v>490.45375875448576</v>
      </c>
      <c r="K249" s="5">
        <f t="shared" si="42"/>
        <v>512.75249072165695</v>
      </c>
      <c r="L249" s="5">
        <f t="shared" si="43"/>
        <v>4.4812806318651902E-3</v>
      </c>
    </row>
    <row r="250" spans="2:12">
      <c r="B250">
        <v>2.3671875</v>
      </c>
      <c r="C250">
        <v>0.39241759805008802</v>
      </c>
      <c r="D250">
        <v>25.599181640625002</v>
      </c>
      <c r="E250" s="5">
        <f t="shared" si="37"/>
        <v>25599.181640625</v>
      </c>
      <c r="F250" s="5">
        <v>4.5019216486252803E-2</v>
      </c>
      <c r="G250">
        <f t="shared" si="38"/>
        <v>511.98363281249999</v>
      </c>
      <c r="H250">
        <f t="shared" si="39"/>
        <v>4.5019216486252801E-3</v>
      </c>
      <c r="I250">
        <f t="shared" si="40"/>
        <v>6.4918183109677237E-3</v>
      </c>
      <c r="J250">
        <f t="shared" si="41"/>
        <v>491.60705504386249</v>
      </c>
      <c r="K250" s="5">
        <f t="shared" si="42"/>
        <v>514.28854301280035</v>
      </c>
      <c r="L250" s="5">
        <f t="shared" si="43"/>
        <v>4.4918183109677236E-3</v>
      </c>
    </row>
    <row r="251" spans="2:12">
      <c r="B251">
        <v>2.376953125</v>
      </c>
      <c r="C251">
        <v>0.394304108340293</v>
      </c>
      <c r="D251">
        <v>25.694464843750001</v>
      </c>
      <c r="E251" s="5">
        <f t="shared" si="37"/>
        <v>25694.46484375</v>
      </c>
      <c r="F251" s="5">
        <v>4.5274362491909401E-2</v>
      </c>
      <c r="G251">
        <f t="shared" si="38"/>
        <v>513.88929687500001</v>
      </c>
      <c r="H251">
        <f t="shared" si="39"/>
        <v>4.5274362491909397E-3</v>
      </c>
      <c r="I251">
        <f t="shared" si="40"/>
        <v>6.517218239014297E-3</v>
      </c>
      <c r="J251">
        <f t="shared" si="41"/>
        <v>494.38695016891973</v>
      </c>
      <c r="K251" s="5">
        <f t="shared" si="42"/>
        <v>516.21589790574319</v>
      </c>
      <c r="L251" s="5">
        <f t="shared" si="43"/>
        <v>4.517218239014297E-3</v>
      </c>
    </row>
    <row r="252" spans="2:12">
      <c r="B252">
        <v>2.38671875</v>
      </c>
      <c r="C252">
        <v>0.39629189996048803</v>
      </c>
      <c r="D252">
        <v>25.77533984375</v>
      </c>
      <c r="E252" s="5">
        <f t="shared" si="37"/>
        <v>25775.33984375</v>
      </c>
      <c r="F252" s="5">
        <v>4.5415341446641798E-2</v>
      </c>
      <c r="G252">
        <f t="shared" si="38"/>
        <v>515.50679687499996</v>
      </c>
      <c r="H252">
        <f t="shared" si="39"/>
        <v>4.5415341446641798E-3</v>
      </c>
      <c r="I252">
        <f t="shared" si="40"/>
        <v>6.5312524963556055E-3</v>
      </c>
      <c r="J252">
        <f t="shared" si="41"/>
        <v>495.92292946363926</v>
      </c>
      <c r="K252" s="5">
        <f t="shared" si="42"/>
        <v>517.84798859481418</v>
      </c>
      <c r="L252" s="5">
        <f t="shared" si="43"/>
        <v>4.5312524963556054E-3</v>
      </c>
    </row>
    <row r="253" spans="2:12">
      <c r="B253">
        <v>2.396484375</v>
      </c>
      <c r="C253">
        <v>0.39767473936080899</v>
      </c>
      <c r="D253">
        <v>25.846113281249998</v>
      </c>
      <c r="E253" s="5">
        <f t="shared" si="37"/>
        <v>25846.11328125</v>
      </c>
      <c r="F253" s="5">
        <v>4.55401423096191E-2</v>
      </c>
      <c r="G253">
        <f t="shared" si="38"/>
        <v>516.92226562500002</v>
      </c>
      <c r="H253">
        <f t="shared" si="39"/>
        <v>4.5540142309619096E-3</v>
      </c>
      <c r="I253">
        <f t="shared" si="40"/>
        <v>6.5436760829868925E-3</v>
      </c>
      <c r="J253">
        <f t="shared" si="41"/>
        <v>497.28262890250045</v>
      </c>
      <c r="K253" s="5">
        <f t="shared" si="42"/>
        <v>519.27633697895737</v>
      </c>
      <c r="L253" s="5">
        <f t="shared" si="43"/>
        <v>4.5436760829868925E-3</v>
      </c>
    </row>
    <row r="254" spans="2:12">
      <c r="B254">
        <v>2.40625</v>
      </c>
      <c r="C254">
        <v>0.39945394382812099</v>
      </c>
      <c r="D254">
        <v>25.945390625000002</v>
      </c>
      <c r="E254" s="5">
        <f t="shared" si="37"/>
        <v>25945.390625</v>
      </c>
      <c r="F254" s="5">
        <v>4.5661319745704497E-2</v>
      </c>
      <c r="G254">
        <f t="shared" si="38"/>
        <v>518.90781249999998</v>
      </c>
      <c r="H254">
        <f t="shared" si="39"/>
        <v>4.5661319745704497E-3</v>
      </c>
      <c r="I254">
        <f t="shared" si="40"/>
        <v>6.5557388196346485E-3</v>
      </c>
      <c r="J254">
        <f t="shared" si="41"/>
        <v>498.60283511491411</v>
      </c>
      <c r="K254" s="5">
        <f t="shared" si="42"/>
        <v>521.27721405451064</v>
      </c>
      <c r="L254" s="5">
        <f t="shared" si="43"/>
        <v>4.5557388196346485E-3</v>
      </c>
    </row>
    <row r="255" spans="2:12">
      <c r="B255">
        <v>2.416015625</v>
      </c>
      <c r="C255">
        <v>0.40166228427551698</v>
      </c>
      <c r="D255">
        <v>26.03257421875</v>
      </c>
      <c r="E255" s="5">
        <f t="shared" si="37"/>
        <v>26032.57421875</v>
      </c>
      <c r="F255" s="5">
        <v>4.5845106797059998E-2</v>
      </c>
      <c r="G255">
        <f t="shared" si="38"/>
        <v>520.651484375</v>
      </c>
      <c r="H255">
        <f t="shared" si="39"/>
        <v>4.5845106797059998E-3</v>
      </c>
      <c r="I255">
        <f t="shared" si="40"/>
        <v>6.5740338192687015E-3</v>
      </c>
      <c r="J255">
        <f t="shared" si="41"/>
        <v>500.60513134986303</v>
      </c>
      <c r="K255" s="5">
        <f t="shared" si="42"/>
        <v>523.03841666552194</v>
      </c>
      <c r="L255" s="5">
        <f t="shared" si="43"/>
        <v>4.5740338192687014E-3</v>
      </c>
    </row>
    <row r="256" spans="2:12">
      <c r="B256">
        <v>2.42578125</v>
      </c>
      <c r="C256">
        <v>0.40300042019225701</v>
      </c>
      <c r="D256">
        <v>26.12813671875</v>
      </c>
      <c r="E256" s="5">
        <f t="shared" si="37"/>
        <v>26128.13671875</v>
      </c>
      <c r="F256" s="5">
        <v>4.6063567424425897E-2</v>
      </c>
      <c r="G256">
        <f t="shared" si="38"/>
        <v>522.56273437499999</v>
      </c>
      <c r="H256">
        <f t="shared" si="39"/>
        <v>4.6063567424425899E-3</v>
      </c>
      <c r="I256">
        <f t="shared" si="40"/>
        <v>6.5957799491079992E-3</v>
      </c>
      <c r="J256">
        <f t="shared" si="41"/>
        <v>502.98513653012498</v>
      </c>
      <c r="K256" s="5">
        <f t="shared" si="42"/>
        <v>524.96984474983753</v>
      </c>
      <c r="L256" s="5">
        <f t="shared" si="43"/>
        <v>4.5957799491079991E-3</v>
      </c>
    </row>
    <row r="257" spans="2:12">
      <c r="B257">
        <v>2.435546875</v>
      </c>
      <c r="C257">
        <v>0.405047845561057</v>
      </c>
      <c r="D257">
        <v>26.216644531250001</v>
      </c>
      <c r="E257" s="5">
        <f t="shared" si="37"/>
        <v>26216.64453125</v>
      </c>
      <c r="F257" s="5">
        <v>4.6189972636057099E-2</v>
      </c>
      <c r="G257">
        <f t="shared" si="38"/>
        <v>524.332890625</v>
      </c>
      <c r="H257">
        <f t="shared" si="39"/>
        <v>4.6189972636057099E-3</v>
      </c>
      <c r="I257">
        <f t="shared" si="40"/>
        <v>6.6083624313448327E-3</v>
      </c>
      <c r="J257">
        <f t="shared" si="41"/>
        <v>504.36222629853523</v>
      </c>
      <c r="K257" s="5">
        <f t="shared" si="42"/>
        <v>526.75478281201538</v>
      </c>
      <c r="L257" s="5">
        <f t="shared" si="43"/>
        <v>4.6083624313448326E-3</v>
      </c>
    </row>
    <row r="258" spans="2:12">
      <c r="B258">
        <v>2.4453125</v>
      </c>
      <c r="C258">
        <v>0.40609686402604001</v>
      </c>
      <c r="D258">
        <v>26.310791015625</v>
      </c>
      <c r="E258" s="5">
        <f t="shared" si="37"/>
        <v>26310.791015625</v>
      </c>
      <c r="F258" s="5">
        <v>4.6389555791392902E-2</v>
      </c>
      <c r="G258">
        <f t="shared" si="38"/>
        <v>526.2158203125</v>
      </c>
      <c r="H258">
        <f t="shared" si="39"/>
        <v>4.6389555791392905E-3</v>
      </c>
      <c r="I258">
        <f t="shared" si="40"/>
        <v>6.6282287859918349E-3</v>
      </c>
      <c r="J258">
        <f t="shared" si="41"/>
        <v>506.53649948287637</v>
      </c>
      <c r="K258" s="5">
        <f t="shared" si="42"/>
        <v>528.65691212797003</v>
      </c>
      <c r="L258" s="5">
        <f t="shared" si="43"/>
        <v>4.6282287859918348E-3</v>
      </c>
    </row>
    <row r="259" spans="2:12">
      <c r="B259">
        <v>2.455078125</v>
      </c>
      <c r="C259">
        <v>0.40767044993117502</v>
      </c>
      <c r="D259">
        <v>26.398806640625001</v>
      </c>
      <c r="E259" s="5">
        <f t="shared" si="37"/>
        <v>26398.806640625</v>
      </c>
      <c r="F259" s="5">
        <v>4.65619123133365E-2</v>
      </c>
      <c r="G259">
        <f t="shared" si="38"/>
        <v>527.97613281250005</v>
      </c>
      <c r="H259">
        <f t="shared" si="39"/>
        <v>4.6561912313336498E-3</v>
      </c>
      <c r="I259">
        <f t="shared" si="40"/>
        <v>6.6453847047946461E-3</v>
      </c>
      <c r="J259">
        <f t="shared" si="41"/>
        <v>508.41412901625006</v>
      </c>
      <c r="K259" s="5">
        <f t="shared" si="42"/>
        <v>530.43449065245511</v>
      </c>
      <c r="L259" s="5">
        <f t="shared" si="43"/>
        <v>4.6453847047946461E-3</v>
      </c>
    </row>
    <row r="260" spans="2:12">
      <c r="B260">
        <v>2.46484375</v>
      </c>
      <c r="C260">
        <v>0.41014552698470702</v>
      </c>
      <c r="D260">
        <v>26.480332031250001</v>
      </c>
      <c r="E260" s="5">
        <f t="shared" si="37"/>
        <v>26480.33203125</v>
      </c>
      <c r="F260" s="5">
        <v>4.6664907131344101E-2</v>
      </c>
      <c r="G260">
        <f t="shared" si="38"/>
        <v>529.60664062499995</v>
      </c>
      <c r="H260">
        <f t="shared" si="39"/>
        <v>4.6664907131344097E-3</v>
      </c>
      <c r="I260">
        <f t="shared" si="40"/>
        <v>6.6556363999488366E-3</v>
      </c>
      <c r="J260">
        <f t="shared" si="41"/>
        <v>509.53612579240041</v>
      </c>
      <c r="K260" s="5">
        <f t="shared" si="42"/>
        <v>532.07804509509083</v>
      </c>
      <c r="L260" s="5">
        <f t="shared" si="43"/>
        <v>4.6556363999488365E-3</v>
      </c>
    </row>
    <row r="261" spans="2:12">
      <c r="B261">
        <v>2.474609375</v>
      </c>
      <c r="C261">
        <v>0.41170269832946399</v>
      </c>
      <c r="D261">
        <v>26.560591796874998</v>
      </c>
      <c r="E261" s="5">
        <f t="shared" si="37"/>
        <v>26560.591796875</v>
      </c>
      <c r="F261" s="5">
        <v>4.6828874474158497E-2</v>
      </c>
      <c r="G261">
        <f t="shared" si="38"/>
        <v>531.21183593750004</v>
      </c>
      <c r="H261">
        <f t="shared" si="39"/>
        <v>4.6828874474158493E-3</v>
      </c>
      <c r="I261">
        <f t="shared" si="40"/>
        <v>6.6719568412419456E-3</v>
      </c>
      <c r="J261">
        <f t="shared" si="41"/>
        <v>511.32231648972476</v>
      </c>
      <c r="K261" s="5">
        <f t="shared" si="42"/>
        <v>533.69944117593047</v>
      </c>
      <c r="L261" s="5">
        <f t="shared" si="43"/>
        <v>4.6719568412419456E-3</v>
      </c>
    </row>
    <row r="262" spans="2:12">
      <c r="B262">
        <v>2.484375</v>
      </c>
      <c r="C262">
        <v>0.41300355223938801</v>
      </c>
      <c r="D262">
        <v>26.640097656249999</v>
      </c>
      <c r="E262" s="5">
        <f t="shared" si="37"/>
        <v>26640.09765625</v>
      </c>
      <c r="F262" s="5">
        <v>4.6991288400022299E-2</v>
      </c>
      <c r="G262">
        <f t="shared" si="38"/>
        <v>532.80195312499995</v>
      </c>
      <c r="H262">
        <f t="shared" si="39"/>
        <v>4.6991288400022296E-3</v>
      </c>
      <c r="I262">
        <f t="shared" si="40"/>
        <v>6.688122401055944E-3</v>
      </c>
      <c r="J262">
        <f t="shared" si="41"/>
        <v>513.09155618356783</v>
      </c>
      <c r="K262" s="5">
        <f t="shared" si="42"/>
        <v>535.30565814893919</v>
      </c>
      <c r="L262" s="5">
        <f t="shared" si="43"/>
        <v>4.688122401055944E-3</v>
      </c>
    </row>
    <row r="263" spans="2:12">
      <c r="B263">
        <v>2.494140625</v>
      </c>
      <c r="C263">
        <v>0.41448028059676301</v>
      </c>
      <c r="D263">
        <v>26.698056640625001</v>
      </c>
      <c r="E263" s="5">
        <f t="shared" si="37"/>
        <v>26698.056640625</v>
      </c>
      <c r="F263" s="5">
        <v>4.7100329538807301E-2</v>
      </c>
      <c r="G263">
        <f t="shared" si="38"/>
        <v>533.96113281249995</v>
      </c>
      <c r="H263">
        <f t="shared" si="39"/>
        <v>4.7100329538807299E-3</v>
      </c>
      <c r="I263">
        <f t="shared" si="40"/>
        <v>6.6989754558602413E-3</v>
      </c>
      <c r="J263">
        <f t="shared" si="41"/>
        <v>514.27936876662409</v>
      </c>
      <c r="K263" s="5">
        <f t="shared" si="42"/>
        <v>536.47610734413831</v>
      </c>
      <c r="L263" s="5">
        <f t="shared" si="43"/>
        <v>4.6989754558602412E-3</v>
      </c>
    </row>
    <row r="264" spans="2:12">
      <c r="B264">
        <v>2.50390625</v>
      </c>
      <c r="C264">
        <v>0.41552484617568602</v>
      </c>
      <c r="D264">
        <v>26.785771484375001</v>
      </c>
      <c r="E264" s="5">
        <f t="shared" si="37"/>
        <v>26785.771484375</v>
      </c>
      <c r="F264" s="5">
        <v>4.7279991122195497E-2</v>
      </c>
      <c r="G264">
        <f t="shared" si="38"/>
        <v>535.71542968749998</v>
      </c>
      <c r="H264">
        <f t="shared" si="39"/>
        <v>4.7279991122195497E-3</v>
      </c>
      <c r="I264">
        <f t="shared" si="40"/>
        <v>6.71685722982152E-3</v>
      </c>
      <c r="J264">
        <f t="shared" si="41"/>
        <v>516.23643951781628</v>
      </c>
      <c r="K264" s="5">
        <f t="shared" si="42"/>
        <v>538.24829176346475</v>
      </c>
      <c r="L264" s="5">
        <f t="shared" si="43"/>
        <v>4.71685722982152E-3</v>
      </c>
    </row>
    <row r="265" spans="2:12">
      <c r="B265">
        <v>2.513671875</v>
      </c>
      <c r="C265">
        <v>0.41575432987883698</v>
      </c>
      <c r="D265">
        <v>26.88846484375</v>
      </c>
      <c r="E265" s="5">
        <f t="shared" ref="E265:E328" si="44" xml:space="preserve"> D265*R$3</f>
        <v>26888.46484375</v>
      </c>
      <c r="F265" s="5">
        <v>4.7509649448329597E-2</v>
      </c>
      <c r="G265">
        <f t="shared" ref="G265:G328" si="45" xml:space="preserve"> E265/C$3</f>
        <v>537.76929687500001</v>
      </c>
      <c r="H265">
        <f t="shared" ref="H265:H328" si="46" xml:space="preserve"> F265/C$4</f>
        <v>4.75096494483296E-3</v>
      </c>
      <c r="I265">
        <f t="shared" ref="I265:I328" si="47">L265+0.002</f>
        <v>6.7397147297259142E-3</v>
      </c>
      <c r="J265">
        <f t="shared" ref="J265:J328" si="48">L265*G$2</f>
        <v>518.73807859485271</v>
      </c>
      <c r="K265" s="5">
        <f t="shared" ref="K265:K328" si="49" xml:space="preserve"> G265 * (1 + H265)</f>
        <v>540.32421995286063</v>
      </c>
      <c r="L265" s="5">
        <f t="shared" ref="L265:L328" si="50">LN(1 + H265)</f>
        <v>4.7397147297259141E-3</v>
      </c>
    </row>
    <row r="266" spans="2:12">
      <c r="B266">
        <v>2.5234375</v>
      </c>
      <c r="C266">
        <v>0.421656674006954</v>
      </c>
      <c r="D266">
        <v>26.96960546875</v>
      </c>
      <c r="E266" s="5">
        <f t="shared" si="44"/>
        <v>26969.60546875</v>
      </c>
      <c r="F266" s="5">
        <v>4.7614510549465201E-2</v>
      </c>
      <c r="G266">
        <f t="shared" si="45"/>
        <v>539.39210937500002</v>
      </c>
      <c r="H266">
        <f t="shared" si="46"/>
        <v>4.7614510549465203E-3</v>
      </c>
      <c r="I266">
        <f t="shared" si="47"/>
        <v>6.7501512018075657E-3</v>
      </c>
      <c r="J266">
        <f t="shared" si="48"/>
        <v>519.88029828182903</v>
      </c>
      <c r="K266" s="5">
        <f t="shared" si="49"/>
        <v>541.96039850321347</v>
      </c>
      <c r="L266" s="5">
        <f t="shared" si="50"/>
        <v>4.7501512018075656E-3</v>
      </c>
    </row>
    <row r="267" spans="2:12">
      <c r="B267">
        <v>2.533203125</v>
      </c>
      <c r="C267">
        <v>0.41979848174378298</v>
      </c>
      <c r="D267">
        <v>27.06028515625</v>
      </c>
      <c r="E267" s="5">
        <f t="shared" si="44"/>
        <v>27060.28515625</v>
      </c>
      <c r="F267" s="5">
        <v>4.77542271255516E-2</v>
      </c>
      <c r="G267">
        <f t="shared" si="45"/>
        <v>541.20570312500001</v>
      </c>
      <c r="H267">
        <f t="shared" si="46"/>
        <v>4.7754227125551604E-3</v>
      </c>
      <c r="I267">
        <f t="shared" si="47"/>
        <v>6.7640565526286894E-3</v>
      </c>
      <c r="J267">
        <f t="shared" si="48"/>
        <v>521.40216940244693</v>
      </c>
      <c r="K267" s="5">
        <f t="shared" si="49"/>
        <v>543.79018913186758</v>
      </c>
      <c r="L267" s="5">
        <f t="shared" si="50"/>
        <v>4.7640565526286894E-3</v>
      </c>
    </row>
    <row r="268" spans="2:12">
      <c r="B268">
        <v>2.54296875</v>
      </c>
      <c r="C268">
        <v>0.42280257912352698</v>
      </c>
      <c r="D268">
        <v>27.1459609375</v>
      </c>
      <c r="E268" s="5">
        <f t="shared" si="44"/>
        <v>27145.9609375</v>
      </c>
      <c r="F268" s="5">
        <v>4.7942616220098003E-2</v>
      </c>
      <c r="G268">
        <f t="shared" si="45"/>
        <v>542.91921875000003</v>
      </c>
      <c r="H268">
        <f t="shared" si="46"/>
        <v>4.7942616220098006E-3</v>
      </c>
      <c r="I268">
        <f t="shared" si="47"/>
        <v>6.7828057501330636E-3</v>
      </c>
      <c r="J268">
        <f t="shared" si="48"/>
        <v>523.45417532331317</v>
      </c>
      <c r="K268" s="5">
        <f t="shared" si="49"/>
        <v>545.5221155243047</v>
      </c>
      <c r="L268" s="5">
        <f t="shared" si="50"/>
        <v>4.7828057501330635E-3</v>
      </c>
    </row>
    <row r="269" spans="2:12">
      <c r="B269">
        <v>2.552734375</v>
      </c>
      <c r="C269">
        <v>0.42483955621719399</v>
      </c>
      <c r="D269">
        <v>27.225679687500001</v>
      </c>
      <c r="E269" s="5">
        <f t="shared" si="44"/>
        <v>27225.6796875</v>
      </c>
      <c r="F269" s="5">
        <v>4.8109093768289299E-2</v>
      </c>
      <c r="G269">
        <f t="shared" si="45"/>
        <v>544.51359375000004</v>
      </c>
      <c r="H269">
        <f t="shared" si="46"/>
        <v>4.8109093768289295E-3</v>
      </c>
      <c r="I269">
        <f t="shared" si="47"/>
        <v>6.7993739348290042E-3</v>
      </c>
      <c r="J269">
        <f t="shared" si="48"/>
        <v>525.26748029736041</v>
      </c>
      <c r="K269" s="5">
        <f t="shared" si="49"/>
        <v>547.13319930398279</v>
      </c>
      <c r="L269" s="5">
        <f t="shared" si="50"/>
        <v>4.7993739348290041E-3</v>
      </c>
    </row>
    <row r="270" spans="2:12">
      <c r="B270">
        <v>2.5625</v>
      </c>
      <c r="C270">
        <v>0.42670368566177802</v>
      </c>
      <c r="D270">
        <v>27.306048828125</v>
      </c>
      <c r="E270" s="5">
        <f t="shared" si="44"/>
        <v>27306.048828125</v>
      </c>
      <c r="F270" s="5">
        <v>4.8247271479340298E-2</v>
      </c>
      <c r="G270">
        <f t="shared" si="45"/>
        <v>546.1209765625</v>
      </c>
      <c r="H270">
        <f t="shared" si="46"/>
        <v>4.8247271479340296E-3</v>
      </c>
      <c r="I270">
        <f t="shared" si="47"/>
        <v>6.81312545361597E-3</v>
      </c>
      <c r="J270">
        <f t="shared" si="48"/>
        <v>526.77251527099986</v>
      </c>
      <c r="K270" s="5">
        <f t="shared" si="49"/>
        <v>548.75586126417738</v>
      </c>
      <c r="L270" s="5">
        <f t="shared" si="50"/>
        <v>4.81312545361597E-3</v>
      </c>
    </row>
    <row r="271" spans="2:12">
      <c r="B271">
        <v>2.572265625</v>
      </c>
      <c r="C271">
        <v>0.42718052281998098</v>
      </c>
      <c r="D271">
        <v>27.356214843749999</v>
      </c>
      <c r="E271" s="5">
        <f t="shared" si="44"/>
        <v>27356.21484375</v>
      </c>
      <c r="F271" s="5">
        <v>4.8356996558140998E-2</v>
      </c>
      <c r="G271">
        <f t="shared" si="45"/>
        <v>547.12429687500003</v>
      </c>
      <c r="H271">
        <f t="shared" si="46"/>
        <v>4.8356996558140998E-3</v>
      </c>
      <c r="I271">
        <f t="shared" si="47"/>
        <v>6.8240452167101055E-3</v>
      </c>
      <c r="J271">
        <f t="shared" si="48"/>
        <v>527.96762874283752</v>
      </c>
      <c r="K271" s="5">
        <f t="shared" si="49"/>
        <v>549.77002564908605</v>
      </c>
      <c r="L271" s="5">
        <f t="shared" si="50"/>
        <v>4.8240452167101055E-3</v>
      </c>
    </row>
    <row r="272" spans="2:12">
      <c r="B272">
        <v>2.58203125</v>
      </c>
      <c r="C272">
        <v>0.42747706174850503</v>
      </c>
      <c r="D272">
        <v>27.427671875000001</v>
      </c>
      <c r="E272" s="5">
        <f t="shared" si="44"/>
        <v>27427.671875</v>
      </c>
      <c r="F272" s="5">
        <v>4.8432579205837101E-2</v>
      </c>
      <c r="G272">
        <f t="shared" si="45"/>
        <v>548.55343749999997</v>
      </c>
      <c r="H272">
        <f t="shared" si="46"/>
        <v>4.8432579205837101E-3</v>
      </c>
      <c r="I272">
        <f t="shared" si="47"/>
        <v>6.8315670795839299E-3</v>
      </c>
      <c r="J272">
        <f t="shared" si="48"/>
        <v>528.79085902506324</v>
      </c>
      <c r="K272" s="5">
        <f t="shared" si="49"/>
        <v>551.21022328103527</v>
      </c>
      <c r="L272" s="5">
        <f t="shared" si="50"/>
        <v>4.8315670795839299E-3</v>
      </c>
    </row>
    <row r="273" spans="2:12">
      <c r="B273">
        <v>2.591796875</v>
      </c>
      <c r="C273">
        <v>0.42986721382476401</v>
      </c>
      <c r="D273">
        <v>27.520845703125001</v>
      </c>
      <c r="E273" s="5">
        <f t="shared" si="44"/>
        <v>27520.845703125</v>
      </c>
      <c r="F273" s="5">
        <v>4.8630434321239598E-2</v>
      </c>
      <c r="G273">
        <f t="shared" si="45"/>
        <v>550.41691406250004</v>
      </c>
      <c r="H273">
        <f t="shared" si="46"/>
        <v>4.8630434321239599E-3</v>
      </c>
      <c r="I273">
        <f t="shared" si="47"/>
        <v>6.8512570328149777E-3</v>
      </c>
      <c r="J273">
        <f t="shared" si="48"/>
        <v>530.94582595643521</v>
      </c>
      <c r="K273" s="5">
        <f t="shared" si="49"/>
        <v>553.09361542136162</v>
      </c>
      <c r="L273" s="5">
        <f t="shared" si="50"/>
        <v>4.8512570328149776E-3</v>
      </c>
    </row>
    <row r="274" spans="2:12">
      <c r="B274">
        <v>2.6015625</v>
      </c>
      <c r="C274">
        <v>0.43129920959472701</v>
      </c>
      <c r="D274">
        <v>27.600775390625</v>
      </c>
      <c r="E274" s="5">
        <f t="shared" si="44"/>
        <v>27600.775390625</v>
      </c>
      <c r="F274" s="5">
        <v>4.8752619477454601E-2</v>
      </c>
      <c r="G274">
        <f t="shared" si="45"/>
        <v>552.0155078125</v>
      </c>
      <c r="H274">
        <f t="shared" si="46"/>
        <v>4.8752619477454599E-3</v>
      </c>
      <c r="I274">
        <f t="shared" si="47"/>
        <v>6.8634163428992218E-3</v>
      </c>
      <c r="J274">
        <f t="shared" si="48"/>
        <v>532.27660164860538</v>
      </c>
      <c r="K274" s="5">
        <f t="shared" si="49"/>
        <v>554.70672801230364</v>
      </c>
      <c r="L274" s="5">
        <f t="shared" si="50"/>
        <v>4.8634163428992218E-3</v>
      </c>
    </row>
    <row r="275" spans="2:12">
      <c r="B275">
        <v>2.611328125</v>
      </c>
      <c r="C275">
        <v>0.43430179357528698</v>
      </c>
      <c r="D275">
        <v>27.699427734375</v>
      </c>
      <c r="E275" s="5">
        <f t="shared" si="44"/>
        <v>27699.427734375</v>
      </c>
      <c r="F275" s="5">
        <v>4.8990692448569503E-2</v>
      </c>
      <c r="G275">
        <f t="shared" si="45"/>
        <v>553.98855468750003</v>
      </c>
      <c r="H275">
        <f t="shared" si="46"/>
        <v>4.8990692448569505E-3</v>
      </c>
      <c r="I275">
        <f t="shared" si="47"/>
        <v>6.8871078556657075E-3</v>
      </c>
      <c r="J275">
        <f t="shared" si="48"/>
        <v>534.86951926333336</v>
      </c>
      <c r="K275" s="5">
        <f t="shared" si="49"/>
        <v>556.70258297777229</v>
      </c>
      <c r="L275" s="5">
        <f t="shared" si="50"/>
        <v>4.8871078556657075E-3</v>
      </c>
    </row>
    <row r="276" spans="2:12">
      <c r="B276">
        <v>2.62109375</v>
      </c>
      <c r="C276">
        <v>0.43588728294707801</v>
      </c>
      <c r="D276">
        <v>27.806218749999999</v>
      </c>
      <c r="E276" s="5">
        <f t="shared" si="44"/>
        <v>27806.21875</v>
      </c>
      <c r="F276" s="5">
        <v>4.9138448957819499E-2</v>
      </c>
      <c r="G276">
        <f t="shared" si="45"/>
        <v>556.12437499999999</v>
      </c>
      <c r="H276">
        <f t="shared" si="46"/>
        <v>4.91384489578195E-3</v>
      </c>
      <c r="I276">
        <f t="shared" si="47"/>
        <v>6.9018113644563122E-3</v>
      </c>
      <c r="J276">
        <f t="shared" si="48"/>
        <v>536.47874478292113</v>
      </c>
      <c r="K276" s="5">
        <f t="shared" si="49"/>
        <v>558.85708392151366</v>
      </c>
      <c r="L276" s="5">
        <f t="shared" si="50"/>
        <v>4.9018113644563122E-3</v>
      </c>
    </row>
    <row r="277" spans="2:12">
      <c r="B277">
        <v>2.630859375</v>
      </c>
      <c r="C277">
        <v>0.43800324783660499</v>
      </c>
      <c r="D277">
        <v>27.882126953124999</v>
      </c>
      <c r="E277" s="5">
        <f t="shared" si="44"/>
        <v>27882.126953125</v>
      </c>
      <c r="F277" s="5">
        <v>4.9333310016663703E-2</v>
      </c>
      <c r="G277">
        <f t="shared" si="45"/>
        <v>557.64253906249996</v>
      </c>
      <c r="H277">
        <f t="shared" si="46"/>
        <v>4.9333310016663702E-3</v>
      </c>
      <c r="I277">
        <f t="shared" si="47"/>
        <v>6.9212019988475412E-3</v>
      </c>
      <c r="J277">
        <f t="shared" si="48"/>
        <v>538.60095276386915</v>
      </c>
      <c r="K277" s="5">
        <f t="shared" si="49"/>
        <v>560.39357428830499</v>
      </c>
      <c r="L277" s="5">
        <f t="shared" si="50"/>
        <v>4.9212019988475412E-3</v>
      </c>
    </row>
    <row r="278" spans="2:12">
      <c r="B278">
        <v>2.640625</v>
      </c>
      <c r="C278">
        <v>0.43859929428435901</v>
      </c>
      <c r="D278">
        <v>27.97921484375</v>
      </c>
      <c r="E278" s="5">
        <f t="shared" si="44"/>
        <v>27979.21484375</v>
      </c>
      <c r="F278" s="5">
        <v>4.9449285143055001E-2</v>
      </c>
      <c r="G278">
        <f t="shared" si="45"/>
        <v>559.58429687499995</v>
      </c>
      <c r="H278">
        <f t="shared" si="46"/>
        <v>4.9449285143055004E-3</v>
      </c>
      <c r="I278">
        <f t="shared" si="47"/>
        <v>6.9327425113978386E-3</v>
      </c>
      <c r="J278">
        <f t="shared" si="48"/>
        <v>539.86400415993648</v>
      </c>
      <c r="K278" s="5">
        <f t="shared" si="49"/>
        <v>562.35140122077473</v>
      </c>
      <c r="L278" s="5">
        <f t="shared" si="50"/>
        <v>4.9327425113978385E-3</v>
      </c>
    </row>
    <row r="279" spans="2:12">
      <c r="B279">
        <v>2.650390625</v>
      </c>
      <c r="C279">
        <v>0.441768759628758</v>
      </c>
      <c r="D279">
        <v>28.0806875</v>
      </c>
      <c r="E279" s="5">
        <f t="shared" si="44"/>
        <v>28080.6875</v>
      </c>
      <c r="F279" s="5">
        <v>4.97070213896222E-2</v>
      </c>
      <c r="G279">
        <f t="shared" si="45"/>
        <v>561.61374999999998</v>
      </c>
      <c r="H279">
        <f t="shared" si="46"/>
        <v>4.9707021389622198E-3</v>
      </c>
      <c r="I279">
        <f t="shared" si="47"/>
        <v>6.9583889855732318E-3</v>
      </c>
      <c r="J279">
        <f t="shared" si="48"/>
        <v>542.67088252606231</v>
      </c>
      <c r="K279" s="5">
        <f t="shared" si="49"/>
        <v>564.40536466839558</v>
      </c>
      <c r="L279" s="5">
        <f t="shared" si="50"/>
        <v>4.9583889855732317E-3</v>
      </c>
    </row>
    <row r="280" spans="2:12">
      <c r="B280">
        <v>2.66015625</v>
      </c>
      <c r="C280">
        <v>0.44233351945877097</v>
      </c>
      <c r="D280">
        <v>28.176593749999999</v>
      </c>
      <c r="E280" s="5">
        <f t="shared" si="44"/>
        <v>28176.59375</v>
      </c>
      <c r="F280" s="5">
        <v>4.9787795433076099E-2</v>
      </c>
      <c r="G280">
        <f t="shared" si="45"/>
        <v>563.53187500000001</v>
      </c>
      <c r="H280">
        <f t="shared" si="46"/>
        <v>4.9787795433076099E-3</v>
      </c>
      <c r="I280">
        <f t="shared" si="47"/>
        <v>6.9664264058358237E-3</v>
      </c>
      <c r="J280">
        <f t="shared" si="48"/>
        <v>543.55053798670167</v>
      </c>
      <c r="K280" s="5">
        <f t="shared" si="49"/>
        <v>566.33757597125179</v>
      </c>
      <c r="L280" s="5">
        <f t="shared" si="50"/>
        <v>4.9664264058358236E-3</v>
      </c>
    </row>
    <row r="281" spans="2:12">
      <c r="B281">
        <v>2.669921875</v>
      </c>
      <c r="C281">
        <v>0.44396222801878998</v>
      </c>
      <c r="D281">
        <v>28.247287109375002</v>
      </c>
      <c r="E281" s="5">
        <f t="shared" si="44"/>
        <v>28247.287109375</v>
      </c>
      <c r="F281" s="5">
        <v>4.9998649046756299E-2</v>
      </c>
      <c r="G281">
        <f t="shared" si="45"/>
        <v>564.94574218749995</v>
      </c>
      <c r="H281">
        <f t="shared" si="46"/>
        <v>4.9998649046756301E-3</v>
      </c>
      <c r="I281">
        <f t="shared" si="47"/>
        <v>6.9874070878217136E-3</v>
      </c>
      <c r="J281">
        <f t="shared" si="48"/>
        <v>545.8467687266475</v>
      </c>
      <c r="K281" s="5">
        <f t="shared" si="49"/>
        <v>567.7703945769091</v>
      </c>
      <c r="L281" s="5">
        <f t="shared" si="50"/>
        <v>4.9874070878217136E-3</v>
      </c>
    </row>
    <row r="282" spans="2:12">
      <c r="B282">
        <v>2.6796875</v>
      </c>
      <c r="C282">
        <v>0.447769474703819</v>
      </c>
      <c r="D282">
        <v>28.29666796875</v>
      </c>
      <c r="E282" s="5">
        <f t="shared" si="44"/>
        <v>28296.66796875</v>
      </c>
      <c r="F282" s="5">
        <v>5.0016296881949501E-2</v>
      </c>
      <c r="G282">
        <f t="shared" si="45"/>
        <v>565.93335937500001</v>
      </c>
      <c r="H282">
        <f t="shared" si="46"/>
        <v>5.0016296881949503E-3</v>
      </c>
      <c r="I282">
        <f t="shared" si="47"/>
        <v>6.9891630900177993E-3</v>
      </c>
      <c r="J282">
        <f t="shared" si="48"/>
        <v>546.03895438699806</v>
      </c>
      <c r="K282" s="5">
        <f t="shared" si="49"/>
        <v>568.76394846678988</v>
      </c>
      <c r="L282" s="5">
        <f t="shared" si="50"/>
        <v>4.9891630900177992E-3</v>
      </c>
    </row>
    <row r="283" spans="2:12">
      <c r="B283">
        <v>2.689453125</v>
      </c>
      <c r="C283">
        <v>0.44645817251876002</v>
      </c>
      <c r="D283">
        <v>28.357162109375</v>
      </c>
      <c r="E283" s="5">
        <f t="shared" si="44"/>
        <v>28357.162109375</v>
      </c>
      <c r="F283" s="5">
        <v>5.0150625611422597E-2</v>
      </c>
      <c r="G283">
        <f t="shared" si="45"/>
        <v>567.14324218750005</v>
      </c>
      <c r="H283">
        <f t="shared" si="46"/>
        <v>5.0150625611422601E-3</v>
      </c>
      <c r="I283">
        <f t="shared" si="47"/>
        <v>7.0025290217528968E-3</v>
      </c>
      <c r="J283">
        <f t="shared" si="48"/>
        <v>547.50178878574582</v>
      </c>
      <c r="K283" s="5">
        <f t="shared" si="49"/>
        <v>569.9875010281994</v>
      </c>
      <c r="L283" s="5">
        <f t="shared" si="50"/>
        <v>5.0025290217528967E-3</v>
      </c>
    </row>
    <row r="284" spans="2:12">
      <c r="B284">
        <v>2.69921875</v>
      </c>
      <c r="C284">
        <v>0.44917612103745302</v>
      </c>
      <c r="D284">
        <v>28.408833984375001</v>
      </c>
      <c r="E284" s="5">
        <f t="shared" si="44"/>
        <v>28408.833984375</v>
      </c>
      <c r="F284" s="5">
        <v>5.0274738896405297E-2</v>
      </c>
      <c r="G284">
        <f t="shared" si="45"/>
        <v>568.17667968750004</v>
      </c>
      <c r="H284">
        <f t="shared" si="46"/>
        <v>5.0274738896405298E-3</v>
      </c>
      <c r="I284">
        <f t="shared" si="47"/>
        <v>7.0148783410069531E-3</v>
      </c>
      <c r="J284">
        <f t="shared" si="48"/>
        <v>548.85336003150599</v>
      </c>
      <c r="K284" s="5">
        <f t="shared" si="49"/>
        <v>571.03317310933164</v>
      </c>
      <c r="L284" s="5">
        <f t="shared" si="50"/>
        <v>5.0148783410069531E-3</v>
      </c>
    </row>
    <row r="285" spans="2:12">
      <c r="B285">
        <v>2.708984375</v>
      </c>
      <c r="C285">
        <v>0.450390565674752</v>
      </c>
      <c r="D285">
        <v>28.47546484375</v>
      </c>
      <c r="E285" s="5">
        <f t="shared" si="44"/>
        <v>28475.46484375</v>
      </c>
      <c r="F285" s="5">
        <v>5.0391034164931597E-2</v>
      </c>
      <c r="G285">
        <f t="shared" si="45"/>
        <v>569.50929687500002</v>
      </c>
      <c r="H285">
        <f t="shared" si="46"/>
        <v>5.0391034164931599E-3</v>
      </c>
      <c r="I285">
        <f t="shared" si="47"/>
        <v>7.0264496262410422E-3</v>
      </c>
      <c r="J285">
        <f t="shared" si="48"/>
        <v>550.11977934395088</v>
      </c>
      <c r="K285" s="5">
        <f t="shared" si="49"/>
        <v>572.37911311860751</v>
      </c>
      <c r="L285" s="5">
        <f t="shared" si="50"/>
        <v>5.0264496262410422E-3</v>
      </c>
    </row>
    <row r="286" spans="2:12">
      <c r="B286">
        <v>2.71875</v>
      </c>
      <c r="C286">
        <v>0.45181959285400802</v>
      </c>
      <c r="D286">
        <v>28.569234375000001</v>
      </c>
      <c r="E286" s="5">
        <f t="shared" si="44"/>
        <v>28569.234375</v>
      </c>
      <c r="F286" s="5">
        <v>5.0609494792297503E-2</v>
      </c>
      <c r="G286">
        <f t="shared" si="45"/>
        <v>571.38468750000004</v>
      </c>
      <c r="H286">
        <f t="shared" si="46"/>
        <v>5.06094947922975E-3</v>
      </c>
      <c r="I286">
        <f t="shared" si="47"/>
        <v>7.0481859201195233E-3</v>
      </c>
      <c r="J286">
        <f t="shared" si="48"/>
        <v>552.49870802748126</v>
      </c>
      <c r="K286" s="5">
        <f t="shared" si="49"/>
        <v>574.27643653664302</v>
      </c>
      <c r="L286" s="5">
        <f t="shared" si="50"/>
        <v>5.0481859201195233E-3</v>
      </c>
    </row>
    <row r="287" spans="2:12">
      <c r="B287">
        <v>2.728515625</v>
      </c>
      <c r="C287">
        <v>0.45296846656128797</v>
      </c>
      <c r="D287">
        <v>28.628060546874998</v>
      </c>
      <c r="E287" s="5">
        <f t="shared" si="44"/>
        <v>28628.060546875</v>
      </c>
      <c r="F287" s="5">
        <v>5.0708393246168298E-2</v>
      </c>
      <c r="G287">
        <f t="shared" si="45"/>
        <v>572.56121093750005</v>
      </c>
      <c r="H287">
        <f t="shared" si="46"/>
        <v>5.0708393246168297E-3</v>
      </c>
      <c r="I287">
        <f t="shared" si="47"/>
        <v>7.0580259171209581E-3</v>
      </c>
      <c r="J287">
        <f t="shared" si="48"/>
        <v>553.57564649930328</v>
      </c>
      <c r="K287" s="5">
        <f t="shared" si="49"/>
        <v>575.46457684167217</v>
      </c>
      <c r="L287" s="5">
        <f t="shared" si="50"/>
        <v>5.058025917120958E-3</v>
      </c>
    </row>
    <row r="288" spans="2:12">
      <c r="B288">
        <v>2.73828125</v>
      </c>
      <c r="C288">
        <v>0.45639424934051898</v>
      </c>
      <c r="D288">
        <v>28.713265624999998</v>
      </c>
      <c r="E288" s="5">
        <f t="shared" si="44"/>
        <v>28713.265625</v>
      </c>
      <c r="F288" s="5">
        <v>5.0899645430035903E-2</v>
      </c>
      <c r="G288">
        <f t="shared" si="45"/>
        <v>574.26531250000005</v>
      </c>
      <c r="H288">
        <f t="shared" si="46"/>
        <v>5.0899645430035906E-3</v>
      </c>
      <c r="I288">
        <f t="shared" si="47"/>
        <v>7.077054462847788E-3</v>
      </c>
      <c r="J288">
        <f t="shared" si="48"/>
        <v>555.65822568637611</v>
      </c>
      <c r="K288" s="5">
        <f t="shared" si="49"/>
        <v>577.18830257890193</v>
      </c>
      <c r="L288" s="5">
        <f t="shared" si="50"/>
        <v>5.077054462847788E-3</v>
      </c>
    </row>
    <row r="289" spans="2:12">
      <c r="B289">
        <v>2.748046875</v>
      </c>
      <c r="C289">
        <v>0.45696349116042301</v>
      </c>
      <c r="D289">
        <v>28.793978515625</v>
      </c>
      <c r="E289" s="5">
        <f t="shared" si="44"/>
        <v>28793.978515625</v>
      </c>
      <c r="F289" s="5">
        <v>5.1057748351013302E-2</v>
      </c>
      <c r="G289">
        <f t="shared" si="45"/>
        <v>575.87957031250005</v>
      </c>
      <c r="H289">
        <f t="shared" si="46"/>
        <v>5.1057748351013305E-3</v>
      </c>
      <c r="I289">
        <f t="shared" si="47"/>
        <v>7.0927845649352171E-3</v>
      </c>
      <c r="J289">
        <f t="shared" si="48"/>
        <v>557.37980670933484</v>
      </c>
      <c r="K289" s="5">
        <f t="shared" si="49"/>
        <v>578.81988173065054</v>
      </c>
      <c r="L289" s="5">
        <f t="shared" si="50"/>
        <v>5.092784564935217E-3</v>
      </c>
    </row>
    <row r="290" spans="2:12">
      <c r="B290">
        <v>2.7578125</v>
      </c>
      <c r="C290">
        <v>0.45956223038956501</v>
      </c>
      <c r="D290">
        <v>28.88256640625</v>
      </c>
      <c r="E290" s="5">
        <f t="shared" si="44"/>
        <v>28882.56640625</v>
      </c>
      <c r="F290" s="5">
        <v>5.1213988626841497E-2</v>
      </c>
      <c r="G290">
        <f t="shared" si="45"/>
        <v>577.65132812499996</v>
      </c>
      <c r="H290">
        <f t="shared" si="46"/>
        <v>5.1213988626841499E-3</v>
      </c>
      <c r="I290">
        <f t="shared" si="47"/>
        <v>7.1083291041669607E-3</v>
      </c>
      <c r="J290">
        <f t="shared" si="48"/>
        <v>559.08107880555303</v>
      </c>
      <c r="K290" s="5">
        <f t="shared" si="49"/>
        <v>580.60971097988727</v>
      </c>
      <c r="L290" s="5">
        <f t="shared" si="50"/>
        <v>5.1083291041669606E-3</v>
      </c>
    </row>
    <row r="291" spans="2:12">
      <c r="B291">
        <v>2.767578125</v>
      </c>
      <c r="C291">
        <v>0.459899019915611</v>
      </c>
      <c r="D291">
        <v>28.951287109374999</v>
      </c>
      <c r="E291" s="5">
        <f t="shared" si="44"/>
        <v>28951.287109375</v>
      </c>
      <c r="F291" s="5">
        <v>5.1343180530238897E-2</v>
      </c>
      <c r="G291">
        <f t="shared" si="45"/>
        <v>579.02574218749999</v>
      </c>
      <c r="H291">
        <f t="shared" si="46"/>
        <v>5.1343180530238897E-3</v>
      </c>
      <c r="I291">
        <f t="shared" si="47"/>
        <v>7.1211823847035722E-3</v>
      </c>
      <c r="J291">
        <f t="shared" si="48"/>
        <v>560.48780609388245</v>
      </c>
      <c r="K291" s="5">
        <f t="shared" si="49"/>
        <v>581.99864450877885</v>
      </c>
      <c r="L291" s="5">
        <f t="shared" si="50"/>
        <v>5.1211823847035721E-3</v>
      </c>
    </row>
    <row r="292" spans="2:12">
      <c r="B292">
        <v>2.77734375</v>
      </c>
      <c r="C292">
        <v>0.46224443940445797</v>
      </c>
      <c r="D292">
        <v>29.036195312499999</v>
      </c>
      <c r="E292" s="5">
        <f t="shared" si="44"/>
        <v>29036.1953125</v>
      </c>
      <c r="F292" s="5">
        <v>5.1417151553323499E-2</v>
      </c>
      <c r="G292">
        <f t="shared" si="45"/>
        <v>580.72390625000003</v>
      </c>
      <c r="H292">
        <f t="shared" si="46"/>
        <v>5.1417151553323501E-3</v>
      </c>
      <c r="I292">
        <f t="shared" si="47"/>
        <v>7.1285416748570612E-3</v>
      </c>
      <c r="J292">
        <f t="shared" si="48"/>
        <v>561.29324360473106</v>
      </c>
      <c r="K292" s="5">
        <f t="shared" si="49"/>
        <v>583.70982315982951</v>
      </c>
      <c r="L292" s="5">
        <f t="shared" si="50"/>
        <v>5.1285416748570612E-3</v>
      </c>
    </row>
    <row r="293" spans="2:12">
      <c r="B293">
        <v>2.787109375</v>
      </c>
      <c r="C293">
        <v>0.46301633119583102</v>
      </c>
      <c r="D293">
        <v>29.088876953124998</v>
      </c>
      <c r="E293" s="5">
        <f t="shared" si="44"/>
        <v>29088.876953125</v>
      </c>
      <c r="F293" s="5">
        <v>5.15558167535346E-2</v>
      </c>
      <c r="G293">
        <f t="shared" si="45"/>
        <v>581.77753906249995</v>
      </c>
      <c r="H293">
        <f t="shared" si="46"/>
        <v>5.15558167535346E-3</v>
      </c>
      <c r="I293">
        <f t="shared" si="47"/>
        <v>7.1423371667409651E-3</v>
      </c>
      <c r="J293">
        <f t="shared" si="48"/>
        <v>562.80309121396488</v>
      </c>
      <c r="K293" s="5">
        <f t="shared" si="49"/>
        <v>584.77694068202277</v>
      </c>
      <c r="L293" s="5">
        <f t="shared" si="50"/>
        <v>5.1423371667409651E-3</v>
      </c>
    </row>
    <row r="294" spans="2:12">
      <c r="B294">
        <v>2.796875</v>
      </c>
      <c r="C294">
        <v>0.46574920997954899</v>
      </c>
      <c r="D294">
        <v>29.165531250000001</v>
      </c>
      <c r="E294" s="5">
        <f t="shared" si="44"/>
        <v>29165.53125</v>
      </c>
      <c r="F294" s="5">
        <v>5.1652339607244399E-2</v>
      </c>
      <c r="G294">
        <f t="shared" si="45"/>
        <v>583.31062499999996</v>
      </c>
      <c r="H294">
        <f t="shared" si="46"/>
        <v>5.1652339607244401E-3</v>
      </c>
      <c r="I294">
        <f t="shared" si="47"/>
        <v>7.1519398981020246E-3</v>
      </c>
      <c r="J294">
        <f t="shared" si="48"/>
        <v>563.85406214777606</v>
      </c>
      <c r="K294" s="5">
        <f t="shared" si="49"/>
        <v>586.32356084990136</v>
      </c>
      <c r="L294" s="5">
        <f t="shared" si="50"/>
        <v>5.1519398981020245E-3</v>
      </c>
    </row>
    <row r="295" spans="2:12">
      <c r="B295">
        <v>2.806640625</v>
      </c>
      <c r="C295">
        <v>0.46599059714935698</v>
      </c>
      <c r="D295">
        <v>29.217142578124999</v>
      </c>
      <c r="E295" s="5">
        <f t="shared" si="44"/>
        <v>29217.142578125</v>
      </c>
      <c r="F295" s="5">
        <v>5.18073429702781E-2</v>
      </c>
      <c r="G295">
        <f t="shared" si="45"/>
        <v>584.34285156249996</v>
      </c>
      <c r="H295">
        <f t="shared" si="46"/>
        <v>5.1807342970278097E-3</v>
      </c>
      <c r="I295">
        <f t="shared" si="47"/>
        <v>7.1673604640627346E-3</v>
      </c>
      <c r="J295">
        <f t="shared" si="48"/>
        <v>565.541765989346</v>
      </c>
      <c r="K295" s="5">
        <f t="shared" si="49"/>
        <v>587.37017661481286</v>
      </c>
      <c r="L295" s="5">
        <f t="shared" si="50"/>
        <v>5.1673604640627346E-3</v>
      </c>
    </row>
    <row r="296" spans="2:12">
      <c r="B296">
        <v>2.81640625</v>
      </c>
      <c r="C296">
        <v>0.46734960051253399</v>
      </c>
      <c r="D296">
        <v>29.282650390625001</v>
      </c>
      <c r="E296" s="5">
        <f t="shared" si="44"/>
        <v>29282.650390625</v>
      </c>
      <c r="F296" s="5">
        <v>5.1934763177996501E-2</v>
      </c>
      <c r="G296">
        <f t="shared" si="45"/>
        <v>585.65300781250005</v>
      </c>
      <c r="H296">
        <f t="shared" si="46"/>
        <v>5.1934763177996501E-3</v>
      </c>
      <c r="I296">
        <f t="shared" si="47"/>
        <v>7.180036731699607E-3</v>
      </c>
      <c r="J296">
        <f t="shared" si="48"/>
        <v>566.92912010086354</v>
      </c>
      <c r="K296" s="5">
        <f t="shared" si="49"/>
        <v>588.69458283902236</v>
      </c>
      <c r="L296" s="5">
        <f t="shared" si="50"/>
        <v>5.180036731699607E-3</v>
      </c>
    </row>
    <row r="297" spans="2:12">
      <c r="B297">
        <v>2.826171875</v>
      </c>
      <c r="C297">
        <v>0.46864448813721499</v>
      </c>
      <c r="D297">
        <v>29.349839843750001</v>
      </c>
      <c r="E297" s="5">
        <f t="shared" si="44"/>
        <v>29349.83984375</v>
      </c>
      <c r="F297" s="5">
        <v>5.2011910156579702E-2</v>
      </c>
      <c r="G297">
        <f t="shared" si="45"/>
        <v>586.99679687499997</v>
      </c>
      <c r="H297">
        <f t="shared" si="46"/>
        <v>5.2011910156579706E-3</v>
      </c>
      <c r="I297">
        <f t="shared" si="47"/>
        <v>7.1877115410131321E-3</v>
      </c>
      <c r="J297">
        <f t="shared" si="48"/>
        <v>567.76908960618221</v>
      </c>
      <c r="K297" s="5">
        <f t="shared" si="49"/>
        <v>590.04987934112626</v>
      </c>
      <c r="L297" s="5">
        <f t="shared" si="50"/>
        <v>5.1877115410131321E-3</v>
      </c>
    </row>
    <row r="298" spans="2:12">
      <c r="B298">
        <v>2.8359375</v>
      </c>
      <c r="C298">
        <v>0.471000385005027</v>
      </c>
      <c r="D298">
        <v>29.449710937500001</v>
      </c>
      <c r="E298" s="5">
        <f t="shared" si="44"/>
        <v>29449.7109375</v>
      </c>
      <c r="F298" s="5">
        <v>5.2242980018490898E-2</v>
      </c>
      <c r="G298">
        <f t="shared" si="45"/>
        <v>588.99421874999996</v>
      </c>
      <c r="H298">
        <f t="shared" si="46"/>
        <v>5.2242980018490899E-3</v>
      </c>
      <c r="I298">
        <f t="shared" si="47"/>
        <v>7.2106987010132116E-3</v>
      </c>
      <c r="J298">
        <f t="shared" si="48"/>
        <v>570.28491933239093</v>
      </c>
      <c r="K298" s="5">
        <f t="shared" si="49"/>
        <v>592.07130007011619</v>
      </c>
      <c r="L298" s="5">
        <f t="shared" si="50"/>
        <v>5.2106987010132116E-3</v>
      </c>
    </row>
    <row r="299" spans="2:12">
      <c r="B299">
        <v>2.845703125</v>
      </c>
      <c r="C299">
        <v>0.47291666851379</v>
      </c>
      <c r="D299">
        <v>29.532691406249999</v>
      </c>
      <c r="E299" s="5">
        <f t="shared" si="44"/>
        <v>29532.69140625</v>
      </c>
      <c r="F299" s="5">
        <v>5.2377967222128098E-2</v>
      </c>
      <c r="G299">
        <f t="shared" si="45"/>
        <v>590.65382812500002</v>
      </c>
      <c r="H299">
        <f t="shared" si="46"/>
        <v>5.2377967222128098E-3</v>
      </c>
      <c r="I299">
        <f t="shared" si="47"/>
        <v>7.2241271763864509E-3</v>
      </c>
      <c r="J299">
        <f t="shared" si="48"/>
        <v>571.75459881961513</v>
      </c>
      <c r="K299" s="5">
        <f t="shared" si="49"/>
        <v>593.74755280991565</v>
      </c>
      <c r="L299" s="5">
        <f t="shared" si="50"/>
        <v>5.2241271763864509E-3</v>
      </c>
    </row>
    <row r="300" spans="2:12">
      <c r="B300">
        <v>2.85546875</v>
      </c>
      <c r="C300">
        <v>0.47360509051941302</v>
      </c>
      <c r="D300">
        <v>29.609595703124999</v>
      </c>
      <c r="E300" s="5">
        <f t="shared" si="44"/>
        <v>29609.595703125</v>
      </c>
      <c r="F300" s="5">
        <v>5.2470692025963203E-2</v>
      </c>
      <c r="G300">
        <f t="shared" si="45"/>
        <v>592.19191406250002</v>
      </c>
      <c r="H300">
        <f t="shared" si="46"/>
        <v>5.24706920259632E-3</v>
      </c>
      <c r="I300">
        <f t="shared" si="47"/>
        <v>7.233351299920766E-3</v>
      </c>
      <c r="J300">
        <f t="shared" si="48"/>
        <v>572.76413301982825</v>
      </c>
      <c r="K300" s="5">
        <f t="shared" si="49"/>
        <v>595.2991860168039</v>
      </c>
      <c r="L300" s="5">
        <f t="shared" si="50"/>
        <v>5.233351299920766E-3</v>
      </c>
    </row>
    <row r="301" spans="2:12">
      <c r="B301">
        <v>2.865234375</v>
      </c>
      <c r="C301">
        <v>0.47648101462982601</v>
      </c>
      <c r="D301">
        <v>29.69571484375</v>
      </c>
      <c r="E301" s="5">
        <f t="shared" si="44"/>
        <v>29695.71484375</v>
      </c>
      <c r="F301" s="5">
        <v>5.2686762501252801E-2</v>
      </c>
      <c r="G301">
        <f t="shared" si="45"/>
        <v>593.91429687499999</v>
      </c>
      <c r="H301">
        <f t="shared" si="46"/>
        <v>5.2686762501252798E-3</v>
      </c>
      <c r="I301">
        <f t="shared" si="47"/>
        <v>7.2548453345520902E-3</v>
      </c>
      <c r="J301">
        <f t="shared" si="48"/>
        <v>575.11654764005357</v>
      </c>
      <c r="K301" s="5">
        <f t="shared" si="49"/>
        <v>597.04343902555513</v>
      </c>
      <c r="L301" s="5">
        <f t="shared" si="50"/>
        <v>5.2548453345520902E-3</v>
      </c>
    </row>
    <row r="302" spans="2:12">
      <c r="B302">
        <v>2.875</v>
      </c>
      <c r="C302">
        <v>0.478085887152702</v>
      </c>
      <c r="D302">
        <v>29.764810546875001</v>
      </c>
      <c r="E302" s="5">
        <f t="shared" si="44"/>
        <v>29764.810546875</v>
      </c>
      <c r="F302" s="5">
        <v>5.2799099648837E-2</v>
      </c>
      <c r="G302">
        <f t="shared" si="45"/>
        <v>595.29621093749995</v>
      </c>
      <c r="H302">
        <f t="shared" si="46"/>
        <v>5.2799099648837E-3</v>
      </c>
      <c r="I302">
        <f t="shared" si="47"/>
        <v>7.2660201102680887E-3</v>
      </c>
      <c r="J302">
        <f t="shared" si="48"/>
        <v>576.33957096829101</v>
      </c>
      <c r="K302" s="5">
        <f t="shared" si="49"/>
        <v>598.43932133368639</v>
      </c>
      <c r="L302" s="5">
        <f t="shared" si="50"/>
        <v>5.2660201102680887E-3</v>
      </c>
    </row>
    <row r="303" spans="2:12">
      <c r="B303">
        <v>2.884765625</v>
      </c>
      <c r="C303">
        <v>0.47924966202117503</v>
      </c>
      <c r="D303">
        <v>29.833255859375001</v>
      </c>
      <c r="E303" s="5">
        <f t="shared" si="44"/>
        <v>29833.255859375</v>
      </c>
      <c r="F303" s="5">
        <v>5.29276476299856E-2</v>
      </c>
      <c r="G303">
        <f t="shared" si="45"/>
        <v>596.66511718749996</v>
      </c>
      <c r="H303">
        <f t="shared" si="46"/>
        <v>5.2927647629985603E-3</v>
      </c>
      <c r="I303">
        <f t="shared" si="47"/>
        <v>7.2788073109265015E-3</v>
      </c>
      <c r="J303">
        <f t="shared" si="48"/>
        <v>577.739066144351</v>
      </c>
      <c r="K303" s="5">
        <f t="shared" si="49"/>
        <v>599.82312529506032</v>
      </c>
      <c r="L303" s="5">
        <f t="shared" si="50"/>
        <v>5.2788073109265015E-3</v>
      </c>
    </row>
    <row r="304" spans="2:12">
      <c r="B304">
        <v>2.89453125</v>
      </c>
      <c r="C304">
        <v>0.48155934200622103</v>
      </c>
      <c r="D304">
        <v>29.928931640624999</v>
      </c>
      <c r="E304" s="5">
        <f t="shared" si="44"/>
        <v>29928.931640625</v>
      </c>
      <c r="F304" s="5">
        <v>5.3086194384377498E-2</v>
      </c>
      <c r="G304">
        <f t="shared" si="45"/>
        <v>598.57863281250002</v>
      </c>
      <c r="H304">
        <f t="shared" si="46"/>
        <v>5.3086194384377502E-3</v>
      </c>
      <c r="I304">
        <f t="shared" si="47"/>
        <v>7.2945783887384394E-3</v>
      </c>
      <c r="J304">
        <f t="shared" si="48"/>
        <v>579.46513175547852</v>
      </c>
      <c r="K304" s="5">
        <f t="shared" si="49"/>
        <v>601.75625897808197</v>
      </c>
      <c r="L304" s="5">
        <f t="shared" si="50"/>
        <v>5.2945783887384393E-3</v>
      </c>
    </row>
    <row r="305" spans="2:12">
      <c r="B305">
        <v>2.904296875</v>
      </c>
      <c r="C305">
        <v>0.482846808154136</v>
      </c>
      <c r="D305">
        <v>30.017126953125</v>
      </c>
      <c r="E305" s="5">
        <f t="shared" si="44"/>
        <v>30017.126953125</v>
      </c>
      <c r="F305" s="5">
        <v>5.3211904742056497E-2</v>
      </c>
      <c r="G305">
        <f t="shared" si="45"/>
        <v>600.34253906250001</v>
      </c>
      <c r="H305">
        <f t="shared" si="46"/>
        <v>5.3211904742056495E-3</v>
      </c>
      <c r="I305">
        <f t="shared" si="47"/>
        <v>7.3070829638781217E-3</v>
      </c>
      <c r="J305">
        <f t="shared" si="48"/>
        <v>580.83369498164097</v>
      </c>
      <c r="K305" s="5">
        <f t="shared" si="49"/>
        <v>603.5370760626198</v>
      </c>
      <c r="L305" s="5">
        <f t="shared" si="50"/>
        <v>5.3070829638781217E-3</v>
      </c>
    </row>
    <row r="306" spans="2:12">
      <c r="B306">
        <v>2.9140625</v>
      </c>
      <c r="C306">
        <v>0.48474222421646102</v>
      </c>
      <c r="D306">
        <v>30.102671874999999</v>
      </c>
      <c r="E306" s="5">
        <f t="shared" si="44"/>
        <v>30102.671875</v>
      </c>
      <c r="F306" s="5">
        <v>5.3422489145305001E-2</v>
      </c>
      <c r="G306">
        <f t="shared" si="45"/>
        <v>602.05343749999997</v>
      </c>
      <c r="H306">
        <f t="shared" si="46"/>
        <v>5.3422489145304999E-3</v>
      </c>
      <c r="I306">
        <f t="shared" si="47"/>
        <v>7.3280297219611382E-3</v>
      </c>
      <c r="J306">
        <f t="shared" si="48"/>
        <v>583.12621292003678</v>
      </c>
      <c r="K306" s="5">
        <f t="shared" si="49"/>
        <v>605.2697568229737</v>
      </c>
      <c r="L306" s="5">
        <f t="shared" si="50"/>
        <v>5.3280297219611382E-3</v>
      </c>
    </row>
    <row r="307" spans="2:12">
      <c r="B307">
        <v>2.923828125</v>
      </c>
      <c r="C307">
        <v>0.48834382323548198</v>
      </c>
      <c r="D307">
        <v>30.193298828124998</v>
      </c>
      <c r="E307" s="5">
        <f t="shared" si="44"/>
        <v>30193.298828125</v>
      </c>
      <c r="F307" s="5">
        <v>5.3553361794911297E-2</v>
      </c>
      <c r="G307">
        <f t="shared" si="45"/>
        <v>603.86597656250001</v>
      </c>
      <c r="H307">
        <f t="shared" si="46"/>
        <v>5.3553361794911299E-3</v>
      </c>
      <c r="I307">
        <f t="shared" si="47"/>
        <v>7.3410473582858011E-3</v>
      </c>
      <c r="J307">
        <f t="shared" si="48"/>
        <v>584.55092812758949</v>
      </c>
      <c r="K307" s="5">
        <f t="shared" si="49"/>
        <v>607.09988187434897</v>
      </c>
      <c r="L307" s="5">
        <f t="shared" si="50"/>
        <v>5.341047358285801E-3</v>
      </c>
    </row>
    <row r="308" spans="2:12">
      <c r="B308">
        <v>2.93359375</v>
      </c>
      <c r="C308">
        <v>0.48837962094694398</v>
      </c>
      <c r="D308">
        <v>30.269603515625001</v>
      </c>
      <c r="E308" s="5">
        <f t="shared" si="44"/>
        <v>30269.603515625</v>
      </c>
      <c r="F308" s="5">
        <v>5.3739313443656997E-2</v>
      </c>
      <c r="G308">
        <f t="shared" si="45"/>
        <v>605.39207031249998</v>
      </c>
      <c r="H308">
        <f t="shared" si="46"/>
        <v>5.3739313443656993E-3</v>
      </c>
      <c r="I308">
        <f t="shared" si="47"/>
        <v>7.3595432992117505E-3</v>
      </c>
      <c r="J308">
        <f t="shared" si="48"/>
        <v>586.57521638223</v>
      </c>
      <c r="K308" s="5">
        <f t="shared" si="49"/>
        <v>608.6454057347828</v>
      </c>
      <c r="L308" s="5">
        <f t="shared" si="50"/>
        <v>5.3595432992117505E-3</v>
      </c>
    </row>
    <row r="309" spans="2:12">
      <c r="B309">
        <v>2.943359375</v>
      </c>
      <c r="C309">
        <v>0.49029442016035302</v>
      </c>
      <c r="D309">
        <v>30.325792968750001</v>
      </c>
      <c r="E309" s="5">
        <f t="shared" si="44"/>
        <v>30325.79296875</v>
      </c>
      <c r="F309" s="5">
        <v>5.3898929763818201E-2</v>
      </c>
      <c r="G309">
        <f t="shared" si="45"/>
        <v>606.51585937499999</v>
      </c>
      <c r="H309">
        <f t="shared" si="46"/>
        <v>5.3898929763818203E-3</v>
      </c>
      <c r="I309">
        <f t="shared" si="47"/>
        <v>7.3754194869801891E-3</v>
      </c>
      <c r="J309">
        <f t="shared" si="48"/>
        <v>588.3127857525468</v>
      </c>
      <c r="K309" s="5">
        <f t="shared" si="49"/>
        <v>609.78491494550951</v>
      </c>
      <c r="L309" s="5">
        <f t="shared" si="50"/>
        <v>5.375419486980189E-3</v>
      </c>
    </row>
    <row r="310" spans="2:12">
      <c r="B310">
        <v>2.953125</v>
      </c>
      <c r="C310">
        <v>0.48930494813248498</v>
      </c>
      <c r="D310">
        <v>30.398482421874998</v>
      </c>
      <c r="E310" s="5">
        <f t="shared" si="44"/>
        <v>30398.482421875</v>
      </c>
      <c r="F310" s="5">
        <v>5.39260254299734E-2</v>
      </c>
      <c r="G310">
        <f t="shared" si="45"/>
        <v>607.96964843750004</v>
      </c>
      <c r="H310">
        <f t="shared" si="46"/>
        <v>5.3926025429973396E-3</v>
      </c>
      <c r="I310">
        <f t="shared" si="47"/>
        <v>7.3781145239835057E-3</v>
      </c>
      <c r="J310">
        <f t="shared" si="48"/>
        <v>588.60774407737483</v>
      </c>
      <c r="K310" s="5">
        <f t="shared" si="49"/>
        <v>611.24818710972932</v>
      </c>
      <c r="L310" s="5">
        <f t="shared" si="50"/>
        <v>5.3781145239835057E-3</v>
      </c>
    </row>
    <row r="311" spans="2:12">
      <c r="B311">
        <v>2.962890625</v>
      </c>
      <c r="C311">
        <v>0.49203634262085</v>
      </c>
      <c r="D311">
        <v>30.47436328125</v>
      </c>
      <c r="E311" s="5">
        <f t="shared" si="44"/>
        <v>30474.36328125</v>
      </c>
      <c r="F311" s="5">
        <v>5.4089046898298E-2</v>
      </c>
      <c r="G311">
        <f t="shared" si="45"/>
        <v>609.48726562499996</v>
      </c>
      <c r="H311">
        <f t="shared" si="46"/>
        <v>5.4089046898298E-3</v>
      </c>
      <c r="I311">
        <f t="shared" si="47"/>
        <v>7.3943290998868729E-3</v>
      </c>
      <c r="J311">
        <f t="shared" si="48"/>
        <v>590.38234833711886</v>
      </c>
      <c r="K311" s="5">
        <f t="shared" si="49"/>
        <v>612.78392415443057</v>
      </c>
      <c r="L311" s="5">
        <f t="shared" si="50"/>
        <v>5.3943290998868729E-3</v>
      </c>
    </row>
    <row r="312" spans="2:12">
      <c r="B312">
        <v>2.97265625</v>
      </c>
      <c r="C312">
        <v>0.49367395695298899</v>
      </c>
      <c r="D312">
        <v>30.56900390625</v>
      </c>
      <c r="E312" s="5">
        <f t="shared" si="44"/>
        <v>30569.00390625</v>
      </c>
      <c r="F312" s="5">
        <v>5.4317551985150203E-2</v>
      </c>
      <c r="G312">
        <f t="shared" si="45"/>
        <v>611.38007812499995</v>
      </c>
      <c r="H312">
        <f t="shared" si="46"/>
        <v>5.4317551985150203E-3</v>
      </c>
      <c r="I312">
        <f t="shared" si="47"/>
        <v>7.4170564190047155E-3</v>
      </c>
      <c r="J312">
        <f t="shared" si="48"/>
        <v>592.86973977797106</v>
      </c>
      <c r="K312" s="5">
        <f t="shared" si="49"/>
        <v>614.70094504262397</v>
      </c>
      <c r="L312" s="5">
        <f t="shared" si="50"/>
        <v>5.4170564190047154E-3</v>
      </c>
    </row>
    <row r="313" spans="2:12">
      <c r="B313">
        <v>2.982421875</v>
      </c>
      <c r="C313">
        <v>0.49513875273987701</v>
      </c>
      <c r="D313">
        <v>30.651738281250001</v>
      </c>
      <c r="E313" s="5">
        <f t="shared" si="44"/>
        <v>30651.73828125</v>
      </c>
      <c r="F313" s="5">
        <v>5.4376854677684598E-2</v>
      </c>
      <c r="G313">
        <f t="shared" si="45"/>
        <v>613.03476562499998</v>
      </c>
      <c r="H313">
        <f t="shared" si="46"/>
        <v>5.4376854677684596E-3</v>
      </c>
      <c r="I313">
        <f t="shared" si="47"/>
        <v>7.4229546331140237E-3</v>
      </c>
      <c r="J313">
        <f t="shared" si="48"/>
        <v>593.51526982116434</v>
      </c>
      <c r="K313" s="5">
        <f t="shared" si="49"/>
        <v>616.36825586127588</v>
      </c>
      <c r="L313" s="5">
        <f t="shared" si="50"/>
        <v>5.4229546331140237E-3</v>
      </c>
    </row>
    <row r="314" spans="2:12">
      <c r="B314">
        <v>2.9921875</v>
      </c>
      <c r="C314">
        <v>0.49809215124696499</v>
      </c>
      <c r="D314">
        <v>30.728476562499999</v>
      </c>
      <c r="E314" s="5">
        <f t="shared" si="44"/>
        <v>30728.4765625</v>
      </c>
      <c r="F314" s="5">
        <v>5.4665208153892302E-2</v>
      </c>
      <c r="G314">
        <f t="shared" si="45"/>
        <v>614.56953124999995</v>
      </c>
      <c r="H314">
        <f t="shared" si="46"/>
        <v>5.46652081538923E-3</v>
      </c>
      <c r="I314">
        <f t="shared" si="47"/>
        <v>7.4516336199425852E-3</v>
      </c>
      <c r="J314">
        <f t="shared" si="48"/>
        <v>596.65404153461623</v>
      </c>
      <c r="K314" s="5">
        <f t="shared" si="49"/>
        <v>617.92908838508208</v>
      </c>
      <c r="L314" s="5">
        <f t="shared" si="50"/>
        <v>5.4516336199425851E-3</v>
      </c>
    </row>
    <row r="315" spans="2:12">
      <c r="B315">
        <v>3.001953125</v>
      </c>
      <c r="C315">
        <v>0.49994437722489199</v>
      </c>
      <c r="D315">
        <v>30.8148203125</v>
      </c>
      <c r="E315" s="5">
        <f t="shared" si="44"/>
        <v>30814.8203125</v>
      </c>
      <c r="F315" s="5">
        <v>5.46809278603178E-2</v>
      </c>
      <c r="G315">
        <f t="shared" si="45"/>
        <v>616.29640625000002</v>
      </c>
      <c r="H315">
        <f t="shared" si="46"/>
        <v>5.4680927860317804E-3</v>
      </c>
      <c r="I315">
        <f t="shared" si="47"/>
        <v>7.4531970428723133E-3</v>
      </c>
      <c r="J315">
        <f t="shared" si="48"/>
        <v>596.82515035716028</v>
      </c>
      <c r="K315" s="5">
        <f t="shared" si="49"/>
        <v>619.66637218307301</v>
      </c>
      <c r="L315" s="5">
        <f t="shared" si="50"/>
        <v>5.4531970428723132E-3</v>
      </c>
    </row>
    <row r="316" spans="2:12">
      <c r="B316">
        <v>3.01171875</v>
      </c>
      <c r="C316">
        <v>0.50073565216735005</v>
      </c>
      <c r="D316">
        <v>30.903246093749999</v>
      </c>
      <c r="E316" s="5">
        <f t="shared" si="44"/>
        <v>30903.24609375</v>
      </c>
      <c r="F316" s="5">
        <v>5.4916930821491398E-2</v>
      </c>
      <c r="G316">
        <f t="shared" si="45"/>
        <v>618.06492187499998</v>
      </c>
      <c r="H316">
        <f t="shared" si="46"/>
        <v>5.4916930821491397E-3</v>
      </c>
      <c r="I316">
        <f t="shared" si="47"/>
        <v>7.4766687167310327E-3</v>
      </c>
      <c r="J316">
        <f t="shared" si="48"/>
        <v>599.39400770262785</v>
      </c>
      <c r="K316" s="5">
        <f t="shared" si="49"/>
        <v>621.45914473077994</v>
      </c>
      <c r="L316" s="5">
        <f t="shared" si="50"/>
        <v>5.4766687167310327E-3</v>
      </c>
    </row>
    <row r="317" spans="2:12">
      <c r="B317">
        <v>3.021484375</v>
      </c>
      <c r="C317">
        <v>0.503805291373283</v>
      </c>
      <c r="D317">
        <v>30.986498046874999</v>
      </c>
      <c r="E317" s="5">
        <f t="shared" si="44"/>
        <v>30986.498046875</v>
      </c>
      <c r="F317" s="5">
        <v>5.5046031775418697E-2</v>
      </c>
      <c r="G317">
        <f t="shared" si="45"/>
        <v>619.72996093749998</v>
      </c>
      <c r="H317">
        <f t="shared" si="46"/>
        <v>5.5046031775418695E-3</v>
      </c>
      <c r="I317">
        <f t="shared" si="47"/>
        <v>7.4895082186405247E-3</v>
      </c>
      <c r="J317">
        <f t="shared" si="48"/>
        <v>600.79922698911219</v>
      </c>
      <c r="K317" s="5">
        <f t="shared" si="49"/>
        <v>623.14132844969447</v>
      </c>
      <c r="L317" s="5">
        <f t="shared" si="50"/>
        <v>5.4895082186405247E-3</v>
      </c>
    </row>
    <row r="318" spans="2:12">
      <c r="B318">
        <v>3.03125</v>
      </c>
      <c r="C318">
        <v>0.50393643323332105</v>
      </c>
      <c r="D318">
        <v>31.082337890624999</v>
      </c>
      <c r="E318" s="5">
        <f t="shared" si="44"/>
        <v>31082.337890625</v>
      </c>
      <c r="F318" s="5">
        <v>5.5205582611961297E-2</v>
      </c>
      <c r="G318">
        <f t="shared" si="45"/>
        <v>621.64675781250003</v>
      </c>
      <c r="H318">
        <f t="shared" si="46"/>
        <v>5.5205582611961299E-3</v>
      </c>
      <c r="I318">
        <f t="shared" si="47"/>
        <v>7.5053758308022567E-3</v>
      </c>
      <c r="J318">
        <f t="shared" si="48"/>
        <v>602.53585780215303</v>
      </c>
      <c r="K318" s="5">
        <f t="shared" si="49"/>
        <v>625.07859495688763</v>
      </c>
      <c r="L318" s="5">
        <f t="shared" si="50"/>
        <v>5.5053758308022567E-3</v>
      </c>
    </row>
    <row r="319" spans="2:12">
      <c r="B319">
        <v>3.041015625</v>
      </c>
      <c r="C319">
        <v>0.50623266724869598</v>
      </c>
      <c r="D319">
        <v>31.149699218750001</v>
      </c>
      <c r="E319" s="5">
        <f t="shared" si="44"/>
        <v>31149.69921875</v>
      </c>
      <c r="F319" s="5">
        <v>5.5346125009236899E-2</v>
      </c>
      <c r="G319">
        <f t="shared" si="45"/>
        <v>622.99398437499997</v>
      </c>
      <c r="H319">
        <f t="shared" si="46"/>
        <v>5.5346125009236901E-3</v>
      </c>
      <c r="I319">
        <f t="shared" si="47"/>
        <v>7.5193528115754483E-3</v>
      </c>
      <c r="J319">
        <f t="shared" si="48"/>
        <v>604.06556846287492</v>
      </c>
      <c r="K319" s="5">
        <f t="shared" si="49"/>
        <v>626.44201466892207</v>
      </c>
      <c r="L319" s="5">
        <f t="shared" si="50"/>
        <v>5.5193528115754483E-3</v>
      </c>
    </row>
    <row r="320" spans="2:12">
      <c r="B320">
        <v>3.05078125</v>
      </c>
      <c r="C320">
        <v>0.50702242879197001</v>
      </c>
      <c r="D320">
        <v>31.210693359375</v>
      </c>
      <c r="E320" s="5">
        <f t="shared" si="44"/>
        <v>31210.693359375</v>
      </c>
      <c r="F320" s="5">
        <v>5.5366661399602897E-2</v>
      </c>
      <c r="G320">
        <f t="shared" si="45"/>
        <v>624.2138671875</v>
      </c>
      <c r="H320">
        <f t="shared" si="46"/>
        <v>5.5366661399602899E-3</v>
      </c>
      <c r="I320">
        <f t="shared" si="47"/>
        <v>7.5213951449908927E-3</v>
      </c>
      <c r="J320">
        <f t="shared" si="48"/>
        <v>604.2890916435282</v>
      </c>
      <c r="K320" s="5">
        <f t="shared" si="49"/>
        <v>627.6699309700507</v>
      </c>
      <c r="L320" s="5">
        <f t="shared" si="50"/>
        <v>5.5213951449908927E-3</v>
      </c>
    </row>
    <row r="321" spans="2:12">
      <c r="B321">
        <v>3.060546875</v>
      </c>
      <c r="C321">
        <v>0.50952879246324301</v>
      </c>
      <c r="D321">
        <v>31.286767578125001</v>
      </c>
      <c r="E321" s="5">
        <f t="shared" si="44"/>
        <v>31286.767578125</v>
      </c>
      <c r="F321" s="5">
        <v>5.5679854995105402E-2</v>
      </c>
      <c r="G321">
        <f t="shared" si="45"/>
        <v>625.7353515625</v>
      </c>
      <c r="H321">
        <f t="shared" si="46"/>
        <v>5.5679854995105398E-3</v>
      </c>
      <c r="I321">
        <f t="shared" si="47"/>
        <v>7.5525415694469768E-3</v>
      </c>
      <c r="J321">
        <f t="shared" si="48"/>
        <v>607.69791206812442</v>
      </c>
      <c r="K321" s="5">
        <f t="shared" si="49"/>
        <v>629.2194369265311</v>
      </c>
      <c r="L321" s="5">
        <f t="shared" si="50"/>
        <v>5.5525415694469768E-3</v>
      </c>
    </row>
    <row r="322" spans="2:12">
      <c r="B322">
        <v>3.0703125</v>
      </c>
      <c r="C322">
        <v>0.51046162843704201</v>
      </c>
      <c r="D322">
        <v>31.351482421875001</v>
      </c>
      <c r="E322" s="5">
        <f t="shared" si="44"/>
        <v>31351.482421875</v>
      </c>
      <c r="F322" s="5">
        <v>5.5790405895095298E-2</v>
      </c>
      <c r="G322">
        <f t="shared" si="45"/>
        <v>627.02964843749999</v>
      </c>
      <c r="H322">
        <f t="shared" si="46"/>
        <v>5.5790405895095301E-3</v>
      </c>
      <c r="I322">
        <f t="shared" si="47"/>
        <v>7.5635353852701792E-3</v>
      </c>
      <c r="J322">
        <f t="shared" si="48"/>
        <v>608.90113024089476</v>
      </c>
      <c r="K322" s="5">
        <f t="shared" si="49"/>
        <v>630.52787229695866</v>
      </c>
      <c r="L322" s="5">
        <f t="shared" si="50"/>
        <v>5.5635353852701791E-3</v>
      </c>
    </row>
    <row r="323" spans="2:12">
      <c r="B323">
        <v>3.080078125</v>
      </c>
      <c r="C323">
        <v>0.51265954971313499</v>
      </c>
      <c r="D323">
        <v>31.436320312500001</v>
      </c>
      <c r="E323" s="5">
        <f t="shared" si="44"/>
        <v>31436.3203125</v>
      </c>
      <c r="F323" s="5">
        <v>5.5982145568123101E-2</v>
      </c>
      <c r="G323">
        <f t="shared" si="45"/>
        <v>628.72640624999997</v>
      </c>
      <c r="H323">
        <f t="shared" si="46"/>
        <v>5.5982145568123105E-3</v>
      </c>
      <c r="I323">
        <f t="shared" si="47"/>
        <v>7.5826027919388798E-3</v>
      </c>
      <c r="J323">
        <f t="shared" si="48"/>
        <v>610.98796256375067</v>
      </c>
      <c r="K323" s="5">
        <f t="shared" si="49"/>
        <v>632.24615156972095</v>
      </c>
      <c r="L323" s="5">
        <f t="shared" si="50"/>
        <v>5.5826027919388798E-3</v>
      </c>
    </row>
    <row r="324" spans="2:12">
      <c r="B324">
        <v>3.08984375</v>
      </c>
      <c r="C324">
        <v>0.51362963858991895</v>
      </c>
      <c r="D324">
        <v>31.500099609374999</v>
      </c>
      <c r="E324" s="5">
        <f t="shared" si="44"/>
        <v>31500.099609375</v>
      </c>
      <c r="F324" s="5">
        <v>5.6109089200617697E-2</v>
      </c>
      <c r="G324">
        <f t="shared" si="45"/>
        <v>630.00199218750004</v>
      </c>
      <c r="H324">
        <f t="shared" si="46"/>
        <v>5.6109089200617693E-3</v>
      </c>
      <c r="I324">
        <f t="shared" si="47"/>
        <v>7.59522640536769E-3</v>
      </c>
      <c r="J324">
        <f t="shared" si="48"/>
        <v>612.3695539354668</v>
      </c>
      <c r="K324" s="5">
        <f t="shared" si="49"/>
        <v>633.53687598512158</v>
      </c>
      <c r="L324" s="5">
        <f t="shared" si="50"/>
        <v>5.59522640536769E-3</v>
      </c>
    </row>
    <row r="325" spans="2:12">
      <c r="B325">
        <v>3.099609375</v>
      </c>
      <c r="C325">
        <v>0.51732809515669897</v>
      </c>
      <c r="D325">
        <v>31.5746875</v>
      </c>
      <c r="E325" s="5">
        <f t="shared" si="44"/>
        <v>31574.6875</v>
      </c>
      <c r="F325" s="5">
        <v>5.6287492043338702E-2</v>
      </c>
      <c r="G325">
        <f t="shared" si="45"/>
        <v>631.49374999999998</v>
      </c>
      <c r="H325">
        <f t="shared" si="46"/>
        <v>5.6287492043338699E-3</v>
      </c>
      <c r="I325">
        <f t="shared" si="47"/>
        <v>7.6129669905838767E-3</v>
      </c>
      <c r="J325">
        <f t="shared" si="48"/>
        <v>614.31117228445237</v>
      </c>
      <c r="K325" s="5">
        <f t="shared" si="49"/>
        <v>635.04826994285429</v>
      </c>
      <c r="L325" s="5">
        <f t="shared" si="50"/>
        <v>5.6129669905838767E-3</v>
      </c>
    </row>
    <row r="326" spans="2:12">
      <c r="B326">
        <v>3.109375</v>
      </c>
      <c r="C326">
        <v>0.51833537872880697</v>
      </c>
      <c r="D326">
        <v>31.650888671874998</v>
      </c>
      <c r="E326" s="5">
        <f t="shared" si="44"/>
        <v>31650.888671875</v>
      </c>
      <c r="F326" s="5">
        <v>5.6428536481689703E-2</v>
      </c>
      <c r="G326">
        <f t="shared" si="45"/>
        <v>633.01777343749995</v>
      </c>
      <c r="H326">
        <f t="shared" si="46"/>
        <v>5.6428536481689705E-3</v>
      </c>
      <c r="I326">
        <f t="shared" si="47"/>
        <v>7.6269923900528711E-3</v>
      </c>
      <c r="J326">
        <f t="shared" si="48"/>
        <v>615.84618212933651</v>
      </c>
      <c r="K326" s="5">
        <f t="shared" si="49"/>
        <v>636.58980008969752</v>
      </c>
      <c r="L326" s="5">
        <f t="shared" si="50"/>
        <v>5.626992390052871E-3</v>
      </c>
    </row>
    <row r="327" spans="2:12">
      <c r="B327">
        <v>3.119140625</v>
      </c>
      <c r="C327">
        <v>0.52141695050522696</v>
      </c>
      <c r="D327">
        <v>31.722996093750002</v>
      </c>
      <c r="E327" s="5">
        <f t="shared" si="44"/>
        <v>31722.99609375</v>
      </c>
      <c r="F327" s="5">
        <v>5.6530971050960901E-2</v>
      </c>
      <c r="G327">
        <f t="shared" si="45"/>
        <v>634.45992187499996</v>
      </c>
      <c r="H327">
        <f t="shared" si="46"/>
        <v>5.65309710509609E-3</v>
      </c>
      <c r="I327">
        <f t="shared" si="47"/>
        <v>7.637178317114854E-3</v>
      </c>
      <c r="J327">
        <f t="shared" si="48"/>
        <v>616.96098091663521</v>
      </c>
      <c r="K327" s="5">
        <f t="shared" si="49"/>
        <v>638.04658542265099</v>
      </c>
      <c r="L327" s="5">
        <f t="shared" si="50"/>
        <v>5.637178317114854E-3</v>
      </c>
    </row>
    <row r="328" spans="2:12">
      <c r="B328">
        <v>3.12890625</v>
      </c>
      <c r="C328">
        <v>0.52015186520293399</v>
      </c>
      <c r="D328">
        <v>31.788984374999998</v>
      </c>
      <c r="E328" s="5">
        <f t="shared" si="44"/>
        <v>31788.984375</v>
      </c>
      <c r="F328" s="5">
        <v>5.67011520615779E-2</v>
      </c>
      <c r="G328">
        <f t="shared" si="45"/>
        <v>635.77968750000002</v>
      </c>
      <c r="H328">
        <f t="shared" si="46"/>
        <v>5.6701152061577904E-3</v>
      </c>
      <c r="I328">
        <f t="shared" si="47"/>
        <v>7.6541006108147751E-3</v>
      </c>
      <c r="J328">
        <f t="shared" si="48"/>
        <v>618.81304135062305</v>
      </c>
      <c r="K328" s="5">
        <f t="shared" si="49"/>
        <v>639.38463157386002</v>
      </c>
      <c r="L328" s="5">
        <f t="shared" si="50"/>
        <v>5.6541006108147751E-3</v>
      </c>
    </row>
    <row r="329" spans="2:12">
      <c r="B329">
        <v>3.138671875</v>
      </c>
      <c r="C329">
        <v>0.52179396152496305</v>
      </c>
      <c r="D329">
        <v>31.870871093750001</v>
      </c>
      <c r="E329" s="5">
        <f t="shared" ref="E329:E392" si="51" xml:space="preserve"> D329*R$3</f>
        <v>31870.87109375</v>
      </c>
      <c r="F329" s="5">
        <v>5.6791224778862698E-2</v>
      </c>
      <c r="G329">
        <f t="shared" ref="G329:G392" si="52" xml:space="preserve"> E329/C$3</f>
        <v>637.41742187499995</v>
      </c>
      <c r="H329">
        <f t="shared" ref="H329:H392" si="53" xml:space="preserve"> F329/C$4</f>
        <v>5.6791224778862696E-3</v>
      </c>
      <c r="I329">
        <f t="shared" ref="I329:I392" si="54">L329+0.002</f>
        <v>7.6630570581186861E-3</v>
      </c>
      <c r="J329">
        <f t="shared" ref="J329:J392" si="55">L329*G$2</f>
        <v>619.79327972579961</v>
      </c>
      <c r="K329" s="5">
        <f t="shared" ref="K329:K392" si="56" xml:space="preserve"> G329 * (1 + H329)</f>
        <v>641.0373934833666</v>
      </c>
      <c r="L329" s="5">
        <f t="shared" ref="L329:L392" si="57">LN(1 + H329)</f>
        <v>5.6630570581186861E-3</v>
      </c>
    </row>
    <row r="330" spans="2:12">
      <c r="B330">
        <v>3.1484375</v>
      </c>
      <c r="C330">
        <v>0.52385480375960503</v>
      </c>
      <c r="D330">
        <v>31.949033203125001</v>
      </c>
      <c r="E330" s="5">
        <f t="shared" si="51"/>
        <v>31949.033203125</v>
      </c>
      <c r="F330" s="5">
        <v>5.6937504268717E-2</v>
      </c>
      <c r="G330">
        <f t="shared" si="52"/>
        <v>638.98066406249995</v>
      </c>
      <c r="H330">
        <f t="shared" si="53"/>
        <v>5.6937504268717003E-3</v>
      </c>
      <c r="I330">
        <f t="shared" si="54"/>
        <v>7.6776022965304655E-3</v>
      </c>
      <c r="J330">
        <f t="shared" si="55"/>
        <v>621.38518334377682</v>
      </c>
      <c r="K330" s="5">
        <f t="shared" si="56"/>
        <v>642.61886049126861</v>
      </c>
      <c r="L330" s="5">
        <f t="shared" si="57"/>
        <v>5.6776022965304655E-3</v>
      </c>
    </row>
    <row r="331" spans="2:12">
      <c r="B331">
        <v>3.158203125</v>
      </c>
      <c r="C331">
        <v>0.52481592865660798</v>
      </c>
      <c r="D331">
        <v>32.050316406249998</v>
      </c>
      <c r="E331" s="5">
        <f t="shared" si="51"/>
        <v>32050.316406249996</v>
      </c>
      <c r="F331" s="5">
        <v>5.71294367546216E-2</v>
      </c>
      <c r="G331">
        <f t="shared" si="52"/>
        <v>641.00632812499998</v>
      </c>
      <c r="H331">
        <f t="shared" si="53"/>
        <v>5.71294367546216E-3</v>
      </c>
      <c r="I331">
        <f t="shared" si="54"/>
        <v>7.6966867001444271E-3</v>
      </c>
      <c r="J331">
        <f t="shared" si="55"/>
        <v>623.47387589730681</v>
      </c>
      <c r="K331" s="5">
        <f t="shared" si="56"/>
        <v>644.66836117319292</v>
      </c>
      <c r="L331" s="5">
        <f t="shared" si="57"/>
        <v>5.6966867001444271E-3</v>
      </c>
    </row>
    <row r="332" spans="2:12">
      <c r="B332">
        <v>3.16796875</v>
      </c>
      <c r="C332">
        <v>0.52826257888227701</v>
      </c>
      <c r="D332">
        <v>32.158687499999999</v>
      </c>
      <c r="E332" s="5">
        <f t="shared" si="51"/>
        <v>32158.6875</v>
      </c>
      <c r="F332" s="5">
        <v>5.7303634093841503E-2</v>
      </c>
      <c r="G332">
        <f t="shared" si="52"/>
        <v>643.17375000000004</v>
      </c>
      <c r="H332">
        <f t="shared" si="53"/>
        <v>5.7303634093841503E-3</v>
      </c>
      <c r="I332">
        <f t="shared" si="54"/>
        <v>7.7140073314155904E-3</v>
      </c>
      <c r="J332">
        <f t="shared" si="55"/>
        <v>625.36953238677927</v>
      </c>
      <c r="K332" s="5">
        <f t="shared" si="56"/>
        <v>646.85936932287643</v>
      </c>
      <c r="L332" s="5">
        <f t="shared" si="57"/>
        <v>5.7140073314155904E-3</v>
      </c>
    </row>
    <row r="333" spans="2:12">
      <c r="B333">
        <v>3.177734375</v>
      </c>
      <c r="C333">
        <v>0.52841601427644502</v>
      </c>
      <c r="D333">
        <v>32.239861328125002</v>
      </c>
      <c r="E333" s="5">
        <f t="shared" si="51"/>
        <v>32239.861328125004</v>
      </c>
      <c r="F333" s="5">
        <v>5.74740370211657E-2</v>
      </c>
      <c r="G333">
        <f t="shared" si="52"/>
        <v>644.7972265625001</v>
      </c>
      <c r="H333">
        <f t="shared" si="53"/>
        <v>5.7474037021165696E-3</v>
      </c>
      <c r="I333">
        <f t="shared" si="54"/>
        <v>7.7309503899086456E-3</v>
      </c>
      <c r="J333">
        <f t="shared" si="55"/>
        <v>627.22386542355173</v>
      </c>
      <c r="K333" s="5">
        <f t="shared" si="56"/>
        <v>648.50313652955992</v>
      </c>
      <c r="L333" s="5">
        <f t="shared" si="57"/>
        <v>5.7309503899086456E-3</v>
      </c>
    </row>
    <row r="334" spans="2:12">
      <c r="B334">
        <v>3.1875</v>
      </c>
      <c r="C334">
        <v>0.53003430366516102</v>
      </c>
      <c r="D334">
        <v>32.314552734374999</v>
      </c>
      <c r="E334" s="5">
        <f t="shared" si="51"/>
        <v>32314.552734375</v>
      </c>
      <c r="F334" s="5">
        <v>5.7582947192713597E-2</v>
      </c>
      <c r="G334">
        <f t="shared" si="52"/>
        <v>646.29105468750004</v>
      </c>
      <c r="H334">
        <f t="shared" si="53"/>
        <v>5.7582947192713601E-3</v>
      </c>
      <c r="I334">
        <f t="shared" si="54"/>
        <v>7.7417791110635939E-3</v>
      </c>
      <c r="J334">
        <f t="shared" si="55"/>
        <v>628.40901481035507</v>
      </c>
      <c r="K334" s="5">
        <f t="shared" si="56"/>
        <v>650.01258905481939</v>
      </c>
      <c r="L334" s="5">
        <f t="shared" si="57"/>
        <v>5.7417791110635939E-3</v>
      </c>
    </row>
    <row r="335" spans="2:12">
      <c r="B335">
        <v>3.197265625</v>
      </c>
      <c r="C335">
        <v>0.53238571854308203</v>
      </c>
      <c r="D335">
        <v>32.366195312499997</v>
      </c>
      <c r="E335" s="5">
        <f t="shared" si="51"/>
        <v>32366.195312499996</v>
      </c>
      <c r="F335" s="5">
        <v>5.7741774071473601E-2</v>
      </c>
      <c r="G335">
        <f t="shared" si="52"/>
        <v>647.32390624999994</v>
      </c>
      <c r="H335">
        <f t="shared" si="53"/>
        <v>5.7741774071473602E-3</v>
      </c>
      <c r="I335">
        <f t="shared" si="54"/>
        <v>7.7575707406757587E-3</v>
      </c>
      <c r="J335">
        <f t="shared" si="55"/>
        <v>630.1373297132584</v>
      </c>
      <c r="K335" s="5">
        <f t="shared" si="56"/>
        <v>651.06166932457506</v>
      </c>
      <c r="L335" s="5">
        <f t="shared" si="57"/>
        <v>5.7575707406757586E-3</v>
      </c>
    </row>
    <row r="336" spans="2:12">
      <c r="B336">
        <v>3.20703125</v>
      </c>
      <c r="C336">
        <v>0.53461489733308598</v>
      </c>
      <c r="D336">
        <v>32.450400390624999</v>
      </c>
      <c r="E336" s="5">
        <f t="shared" si="51"/>
        <v>32450.400390625</v>
      </c>
      <c r="F336" s="5">
        <v>5.7836412452161298E-2</v>
      </c>
      <c r="G336">
        <f t="shared" si="52"/>
        <v>649.00800781249995</v>
      </c>
      <c r="H336">
        <f t="shared" si="53"/>
        <v>5.7836412452161295E-3</v>
      </c>
      <c r="I336">
        <f t="shared" si="54"/>
        <v>7.7669802023189521E-3</v>
      </c>
      <c r="J336">
        <f t="shared" si="55"/>
        <v>631.16714824279768</v>
      </c>
      <c r="K336" s="5">
        <f t="shared" si="56"/>
        <v>652.76163729495988</v>
      </c>
      <c r="L336" s="5">
        <f t="shared" si="57"/>
        <v>5.7669802023189521E-3</v>
      </c>
    </row>
    <row r="337" spans="2:12">
      <c r="B337">
        <v>3.216796875</v>
      </c>
      <c r="C337">
        <v>0.53585768910124898</v>
      </c>
      <c r="D337">
        <v>32.523673828124998</v>
      </c>
      <c r="E337" s="5">
        <f t="shared" si="51"/>
        <v>32523.673828125</v>
      </c>
      <c r="F337" s="5">
        <v>5.7978002587333301E-2</v>
      </c>
      <c r="G337">
        <f t="shared" si="52"/>
        <v>650.47347656249997</v>
      </c>
      <c r="H337">
        <f t="shared" si="53"/>
        <v>5.7978002587333304E-3</v>
      </c>
      <c r="I337">
        <f t="shared" si="54"/>
        <v>7.7810576969958257E-3</v>
      </c>
      <c r="J337">
        <f t="shared" si="55"/>
        <v>632.70785964770812</v>
      </c>
      <c r="K337" s="5">
        <f t="shared" si="56"/>
        <v>654.2447918532132</v>
      </c>
      <c r="L337" s="5">
        <f t="shared" si="57"/>
        <v>5.7810576969958257E-3</v>
      </c>
    </row>
    <row r="338" spans="2:12">
      <c r="B338">
        <v>3.2265625</v>
      </c>
      <c r="C338">
        <v>0.53704978199675701</v>
      </c>
      <c r="D338">
        <v>32.602802734374997</v>
      </c>
      <c r="E338" s="5">
        <f t="shared" si="51"/>
        <v>32602.802734374996</v>
      </c>
      <c r="F338" s="5">
        <v>5.8123183407587903E-2</v>
      </c>
      <c r="G338">
        <f t="shared" si="52"/>
        <v>652.05605468749991</v>
      </c>
      <c r="H338">
        <f t="shared" si="53"/>
        <v>5.8123183407587905E-3</v>
      </c>
      <c r="I338">
        <f t="shared" si="54"/>
        <v>7.795491987111468E-3</v>
      </c>
      <c r="J338">
        <f t="shared" si="55"/>
        <v>634.28762052941465</v>
      </c>
      <c r="K338" s="5">
        <f t="shared" si="56"/>
        <v>655.84601205336287</v>
      </c>
      <c r="L338" s="5">
        <f t="shared" si="57"/>
        <v>5.7954919871114679E-3</v>
      </c>
    </row>
    <row r="339" spans="2:12">
      <c r="B339">
        <v>3.236328125</v>
      </c>
      <c r="C339">
        <v>0.53870084229856696</v>
      </c>
      <c r="D339">
        <v>32.678890625000001</v>
      </c>
      <c r="E339" s="5">
        <f t="shared" si="51"/>
        <v>32678.890625</v>
      </c>
      <c r="F339" s="5">
        <v>5.8267534768674502E-2</v>
      </c>
      <c r="G339">
        <f t="shared" si="52"/>
        <v>653.57781250000005</v>
      </c>
      <c r="H339">
        <f t="shared" si="53"/>
        <v>5.8267534768674505E-3</v>
      </c>
      <c r="I339">
        <f t="shared" si="54"/>
        <v>7.8098436034736056E-3</v>
      </c>
      <c r="J339">
        <f t="shared" si="55"/>
        <v>635.85833318216874</v>
      </c>
      <c r="K339" s="5">
        <f t="shared" si="56"/>
        <v>657.38604929138785</v>
      </c>
      <c r="L339" s="5">
        <f t="shared" si="57"/>
        <v>5.8098436034736056E-3</v>
      </c>
    </row>
    <row r="340" spans="2:12">
      <c r="B340">
        <v>3.24609375</v>
      </c>
      <c r="C340">
        <v>0.53985120030120004</v>
      </c>
      <c r="D340">
        <v>32.747269531249998</v>
      </c>
      <c r="E340" s="5">
        <f t="shared" si="51"/>
        <v>32747.269531249996</v>
      </c>
      <c r="F340" s="5">
        <v>5.8452667872188599E-2</v>
      </c>
      <c r="G340">
        <f t="shared" si="52"/>
        <v>654.94539062499996</v>
      </c>
      <c r="H340">
        <f t="shared" si="53"/>
        <v>5.8452667872188595E-3</v>
      </c>
      <c r="I340">
        <f t="shared" si="54"/>
        <v>7.8282494968453312E-3</v>
      </c>
      <c r="J340">
        <f t="shared" si="55"/>
        <v>637.87276618223723</v>
      </c>
      <c r="K340" s="5">
        <f t="shared" si="56"/>
        <v>658.77372116426238</v>
      </c>
      <c r="L340" s="5">
        <f t="shared" si="57"/>
        <v>5.8282494968453311E-3</v>
      </c>
    </row>
    <row r="341" spans="2:12">
      <c r="B341">
        <v>3.255859375</v>
      </c>
      <c r="C341">
        <v>0.54152461234480098</v>
      </c>
      <c r="D341">
        <v>32.813027343750001</v>
      </c>
      <c r="E341" s="5">
        <f t="shared" si="51"/>
        <v>32813.02734375</v>
      </c>
      <c r="F341" s="5">
        <v>5.85140660405159E-2</v>
      </c>
      <c r="G341">
        <f t="shared" si="52"/>
        <v>656.26054687500005</v>
      </c>
      <c r="H341">
        <f t="shared" si="53"/>
        <v>5.85140660405159E-3</v>
      </c>
      <c r="I341">
        <f t="shared" si="54"/>
        <v>7.834353614741392E-3</v>
      </c>
      <c r="J341">
        <f t="shared" si="55"/>
        <v>638.54083136537179</v>
      </c>
      <c r="K341" s="5">
        <f t="shared" si="56"/>
        <v>660.10059417296293</v>
      </c>
      <c r="L341" s="5">
        <f t="shared" si="57"/>
        <v>5.8343536147413928E-3</v>
      </c>
    </row>
    <row r="342" spans="2:12">
      <c r="B342">
        <v>3.265625</v>
      </c>
      <c r="C342">
        <v>0.543366360943764</v>
      </c>
      <c r="D342">
        <v>32.899535156250003</v>
      </c>
      <c r="E342" s="5">
        <f t="shared" si="51"/>
        <v>32899.53515625</v>
      </c>
      <c r="F342" s="5">
        <v>5.8672183513408499E-2</v>
      </c>
      <c r="G342">
        <f t="shared" si="52"/>
        <v>657.99070312499998</v>
      </c>
      <c r="H342">
        <f t="shared" si="53"/>
        <v>5.8672183513408501E-3</v>
      </c>
      <c r="I342">
        <f t="shared" si="54"/>
        <v>7.8500732557423188E-3</v>
      </c>
      <c r="J342">
        <f t="shared" si="55"/>
        <v>640.26126747471812</v>
      </c>
      <c r="K342" s="5">
        <f t="shared" si="56"/>
        <v>661.85127825338668</v>
      </c>
      <c r="L342" s="5">
        <f t="shared" si="57"/>
        <v>5.8500732557423187E-3</v>
      </c>
    </row>
    <row r="343" spans="2:12">
      <c r="B343">
        <v>3.275390625</v>
      </c>
      <c r="C343">
        <v>0.54528412874788001</v>
      </c>
      <c r="D343">
        <v>32.982484374999999</v>
      </c>
      <c r="E343" s="5">
        <f t="shared" si="51"/>
        <v>32982.484375</v>
      </c>
      <c r="F343" s="5">
        <v>5.8906498452415697E-2</v>
      </c>
      <c r="G343">
        <f t="shared" si="52"/>
        <v>659.64968750000003</v>
      </c>
      <c r="H343">
        <f t="shared" si="53"/>
        <v>5.8906498452415698E-3</v>
      </c>
      <c r="I343">
        <f t="shared" si="54"/>
        <v>7.8733678025386302E-3</v>
      </c>
      <c r="J343">
        <f t="shared" si="55"/>
        <v>642.81073914884041</v>
      </c>
      <c r="K343" s="5">
        <f t="shared" si="56"/>
        <v>663.53545282958555</v>
      </c>
      <c r="L343" s="5">
        <f t="shared" si="57"/>
        <v>5.8733678025386302E-3</v>
      </c>
    </row>
    <row r="344" spans="2:12">
      <c r="B344">
        <v>3.28515625</v>
      </c>
      <c r="C344">
        <v>0.54710952099412702</v>
      </c>
      <c r="D344">
        <v>33.062539062500001</v>
      </c>
      <c r="E344" s="5">
        <f t="shared" si="51"/>
        <v>33062.5390625</v>
      </c>
      <c r="F344" s="5">
        <v>5.8988091041101101E-2</v>
      </c>
      <c r="G344">
        <f t="shared" si="52"/>
        <v>661.25078125000005</v>
      </c>
      <c r="H344">
        <f t="shared" si="53"/>
        <v>5.8988091041101099E-3</v>
      </c>
      <c r="I344">
        <f t="shared" si="54"/>
        <v>7.8814792466386022E-3</v>
      </c>
      <c r="J344">
        <f t="shared" si="55"/>
        <v>643.69849614836176</v>
      </c>
      <c r="K344" s="5">
        <f t="shared" si="56"/>
        <v>665.15137337853753</v>
      </c>
      <c r="L344" s="5">
        <f t="shared" si="57"/>
        <v>5.8814792466386013E-3</v>
      </c>
    </row>
    <row r="345" spans="2:12">
      <c r="B345">
        <v>3.294921875</v>
      </c>
      <c r="C345">
        <v>0.54917635861784198</v>
      </c>
      <c r="D345">
        <v>33.139027343750001</v>
      </c>
      <c r="E345" s="5">
        <f t="shared" si="51"/>
        <v>33139.02734375</v>
      </c>
      <c r="F345" s="5">
        <v>5.9213278291281299E-2</v>
      </c>
      <c r="G345">
        <f t="shared" si="52"/>
        <v>662.78054687500003</v>
      </c>
      <c r="H345">
        <f t="shared" si="53"/>
        <v>5.9213278291281295E-3</v>
      </c>
      <c r="I345">
        <f t="shared" si="54"/>
        <v>7.9038656663841418E-3</v>
      </c>
      <c r="J345">
        <f t="shared" si="55"/>
        <v>646.14857785741231</v>
      </c>
      <c r="K345" s="5">
        <f t="shared" si="56"/>
        <v>666.70508777181578</v>
      </c>
      <c r="L345" s="5">
        <f t="shared" si="57"/>
        <v>5.9038656663841409E-3</v>
      </c>
    </row>
    <row r="346" spans="2:12">
      <c r="B346">
        <v>3.3046875</v>
      </c>
      <c r="C346">
        <v>0.55080500897020102</v>
      </c>
      <c r="D346">
        <v>33.183703125000001</v>
      </c>
      <c r="E346" s="5">
        <f t="shared" si="51"/>
        <v>33183.703125</v>
      </c>
      <c r="F346" s="5">
        <v>5.9234498621663099E-2</v>
      </c>
      <c r="G346">
        <f t="shared" si="52"/>
        <v>663.67406249999999</v>
      </c>
      <c r="H346">
        <f t="shared" si="53"/>
        <v>5.9234498621663096E-3</v>
      </c>
      <c r="I346">
        <f t="shared" si="54"/>
        <v>7.9059752059089661E-3</v>
      </c>
      <c r="J346">
        <f t="shared" si="55"/>
        <v>646.37945641070689</v>
      </c>
      <c r="K346" s="5">
        <f t="shared" si="56"/>
        <v>667.60530253403897</v>
      </c>
      <c r="L346" s="5">
        <f t="shared" si="57"/>
        <v>5.9059752059089669E-3</v>
      </c>
    </row>
    <row r="347" spans="2:12">
      <c r="B347">
        <v>3.314453125</v>
      </c>
      <c r="C347">
        <v>0.55207312107086204</v>
      </c>
      <c r="D347">
        <v>33.253683593749997</v>
      </c>
      <c r="E347" s="5">
        <f t="shared" si="51"/>
        <v>33253.68359375</v>
      </c>
      <c r="F347" s="5">
        <v>5.9384063206380198E-2</v>
      </c>
      <c r="G347">
        <f t="shared" si="52"/>
        <v>665.07367187499995</v>
      </c>
      <c r="H347">
        <f t="shared" si="53"/>
        <v>5.9384063206380198E-3</v>
      </c>
      <c r="I347">
        <f t="shared" si="54"/>
        <v>7.9208434817063592E-3</v>
      </c>
      <c r="J347">
        <f t="shared" si="55"/>
        <v>648.00671485535258</v>
      </c>
      <c r="K347" s="5">
        <f t="shared" si="56"/>
        <v>669.02314957175236</v>
      </c>
      <c r="L347" s="5">
        <f t="shared" si="57"/>
        <v>5.92084348170636E-3</v>
      </c>
    </row>
    <row r="348" spans="2:12">
      <c r="B348">
        <v>3.32421875</v>
      </c>
      <c r="C348">
        <v>0.55312068434432105</v>
      </c>
      <c r="D348">
        <v>33.331199218750001</v>
      </c>
      <c r="E348" s="5">
        <f t="shared" si="51"/>
        <v>33331.19921875</v>
      </c>
      <c r="F348" s="5">
        <v>5.9581649111350998E-2</v>
      </c>
      <c r="G348">
        <f t="shared" si="52"/>
        <v>666.62398437499996</v>
      </c>
      <c r="H348">
        <f t="shared" si="53"/>
        <v>5.9581649111350998E-3</v>
      </c>
      <c r="I348">
        <f t="shared" si="54"/>
        <v>7.9404852374310234E-3</v>
      </c>
      <c r="J348">
        <f t="shared" si="55"/>
        <v>650.15640681063849</v>
      </c>
      <c r="K348" s="5">
        <f t="shared" si="56"/>
        <v>670.59584000762413</v>
      </c>
      <c r="L348" s="5">
        <f t="shared" si="57"/>
        <v>5.9404852374310242E-3</v>
      </c>
    </row>
    <row r="349" spans="2:12">
      <c r="B349">
        <v>3.333984375</v>
      </c>
      <c r="C349">
        <v>0.55468082427978505</v>
      </c>
      <c r="D349">
        <v>33.407843749999998</v>
      </c>
      <c r="E349" s="5">
        <f t="shared" si="51"/>
        <v>33407.84375</v>
      </c>
      <c r="F349" s="5">
        <v>5.9695052186725703E-2</v>
      </c>
      <c r="G349">
        <f t="shared" si="52"/>
        <v>668.15687500000001</v>
      </c>
      <c r="H349">
        <f t="shared" si="53"/>
        <v>5.9695052186725705E-3</v>
      </c>
      <c r="I349">
        <f t="shared" si="54"/>
        <v>7.9517583141980978E-3</v>
      </c>
      <c r="J349">
        <f t="shared" si="55"/>
        <v>651.39018869741085</v>
      </c>
      <c r="K349" s="5">
        <f t="shared" si="56"/>
        <v>672.14544095220447</v>
      </c>
      <c r="L349" s="5">
        <f t="shared" si="57"/>
        <v>5.9517583141980978E-3</v>
      </c>
    </row>
    <row r="350" spans="2:12">
      <c r="B350">
        <v>3.34375</v>
      </c>
      <c r="C350">
        <v>0.557033694349229</v>
      </c>
      <c r="D350">
        <v>33.483535156249999</v>
      </c>
      <c r="E350" s="5">
        <f t="shared" si="51"/>
        <v>33483.53515625</v>
      </c>
      <c r="F350" s="5">
        <v>5.9829748352058197E-2</v>
      </c>
      <c r="G350">
        <f t="shared" si="52"/>
        <v>669.67070312500005</v>
      </c>
      <c r="H350">
        <f t="shared" si="53"/>
        <v>5.9829748352058197E-3</v>
      </c>
      <c r="I350">
        <f t="shared" si="54"/>
        <v>7.9651479112854973E-3</v>
      </c>
      <c r="J350">
        <f t="shared" si="55"/>
        <v>652.85561315064126</v>
      </c>
      <c r="K350" s="5">
        <f t="shared" si="56"/>
        <v>673.67732608967151</v>
      </c>
      <c r="L350" s="5">
        <f t="shared" si="57"/>
        <v>5.9651479112854972E-3</v>
      </c>
    </row>
    <row r="351" spans="2:12">
      <c r="B351">
        <v>3.353515625</v>
      </c>
      <c r="C351">
        <v>0.559000647626817</v>
      </c>
      <c r="D351">
        <v>33.531546874999997</v>
      </c>
      <c r="E351" s="5">
        <f t="shared" si="51"/>
        <v>33531.546875</v>
      </c>
      <c r="F351" s="5">
        <v>5.9892419812968001E-2</v>
      </c>
      <c r="G351">
        <f t="shared" si="52"/>
        <v>670.63093749999996</v>
      </c>
      <c r="H351">
        <f t="shared" si="53"/>
        <v>5.9892419812968001E-3</v>
      </c>
      <c r="I351">
        <f t="shared" si="54"/>
        <v>7.9713777647980009E-3</v>
      </c>
      <c r="J351">
        <f t="shared" si="55"/>
        <v>653.5374394683173</v>
      </c>
      <c r="K351" s="5">
        <f t="shared" si="56"/>
        <v>674.64750846483139</v>
      </c>
      <c r="L351" s="5">
        <f t="shared" si="57"/>
        <v>5.9713777647980018E-3</v>
      </c>
    </row>
    <row r="352" spans="2:12">
      <c r="B352">
        <v>3.36328125</v>
      </c>
      <c r="C352">
        <v>0.55986194638535403</v>
      </c>
      <c r="D352">
        <v>33.603105468750002</v>
      </c>
      <c r="E352" s="5">
        <f t="shared" si="51"/>
        <v>33603.10546875</v>
      </c>
      <c r="F352" s="5">
        <v>6.0015605413354899E-2</v>
      </c>
      <c r="G352">
        <f t="shared" si="52"/>
        <v>672.06210937499998</v>
      </c>
      <c r="H352">
        <f t="shared" si="53"/>
        <v>6.0015605413354899E-3</v>
      </c>
      <c r="I352">
        <f t="shared" si="54"/>
        <v>7.9836229102762044E-3</v>
      </c>
      <c r="J352">
        <f t="shared" si="55"/>
        <v>654.87760941517911</v>
      </c>
      <c r="K352" s="5">
        <f t="shared" si="56"/>
        <v>676.09553081195168</v>
      </c>
      <c r="L352" s="5">
        <f t="shared" si="57"/>
        <v>5.9836229102762034E-3</v>
      </c>
    </row>
    <row r="353" spans="2:12">
      <c r="B353">
        <v>3.373046875</v>
      </c>
      <c r="C353">
        <v>0.55985746439546302</v>
      </c>
      <c r="D353">
        <v>33.658140625000001</v>
      </c>
      <c r="E353" s="5">
        <f t="shared" si="51"/>
        <v>33658.140625</v>
      </c>
      <c r="F353" s="5">
        <v>6.0150272474856999E-2</v>
      </c>
      <c r="G353">
        <f t="shared" si="52"/>
        <v>673.16281249999997</v>
      </c>
      <c r="H353">
        <f t="shared" si="53"/>
        <v>6.0150272474856995E-3</v>
      </c>
      <c r="I353">
        <f t="shared" si="54"/>
        <v>7.9970091877374777E-3</v>
      </c>
      <c r="J353">
        <f t="shared" si="55"/>
        <v>656.34267055192811</v>
      </c>
      <c r="K353" s="5">
        <f t="shared" si="56"/>
        <v>677.21190515918158</v>
      </c>
      <c r="L353" s="5">
        <f t="shared" si="57"/>
        <v>5.9970091877374768E-3</v>
      </c>
    </row>
    <row r="354" spans="2:12">
      <c r="B354">
        <v>3.3828125</v>
      </c>
      <c r="C354">
        <v>0.56394189596176103</v>
      </c>
      <c r="D354">
        <v>33.74110546875</v>
      </c>
      <c r="E354" s="5">
        <f t="shared" si="51"/>
        <v>33741.10546875</v>
      </c>
      <c r="F354" s="5">
        <v>6.0309175751171999E-2</v>
      </c>
      <c r="G354">
        <f t="shared" si="52"/>
        <v>674.82210937499997</v>
      </c>
      <c r="H354">
        <f t="shared" si="53"/>
        <v>6.0309175751171997E-3</v>
      </c>
      <c r="I354">
        <f t="shared" si="54"/>
        <v>8.012804381353919E-3</v>
      </c>
      <c r="J354">
        <f t="shared" si="55"/>
        <v>658.07137551727976</v>
      </c>
      <c r="K354" s="5">
        <f t="shared" si="56"/>
        <v>678.89190589450732</v>
      </c>
      <c r="L354" s="5">
        <f t="shared" si="57"/>
        <v>6.0128043813539199E-3</v>
      </c>
    </row>
    <row r="355" spans="2:12">
      <c r="B355">
        <v>3.392578125</v>
      </c>
      <c r="C355">
        <v>0.56687445612624299</v>
      </c>
      <c r="D355">
        <v>33.835921874999997</v>
      </c>
      <c r="E355" s="5">
        <f t="shared" si="51"/>
        <v>33835.921875</v>
      </c>
      <c r="F355" s="5">
        <v>6.0434496845118701E-2</v>
      </c>
      <c r="G355">
        <f t="shared" si="52"/>
        <v>676.71843750000005</v>
      </c>
      <c r="H355">
        <f t="shared" si="53"/>
        <v>6.0434496845118701E-3</v>
      </c>
      <c r="I355">
        <f t="shared" si="54"/>
        <v>8.0252612861271763E-3</v>
      </c>
      <c r="J355">
        <f t="shared" si="55"/>
        <v>659.43472146018883</v>
      </c>
      <c r="K355" s="5">
        <f t="shared" si="56"/>
        <v>680.80815132761279</v>
      </c>
      <c r="L355" s="5">
        <f t="shared" si="57"/>
        <v>6.0252612861271763E-3</v>
      </c>
    </row>
    <row r="356" spans="2:12">
      <c r="B356">
        <v>3.40234375</v>
      </c>
      <c r="C356">
        <v>0.56478974875062704</v>
      </c>
      <c r="D356">
        <v>33.892257812499999</v>
      </c>
      <c r="E356" s="5">
        <f t="shared" si="51"/>
        <v>33892.2578125</v>
      </c>
      <c r="F356" s="5">
        <v>6.0585334722418303E-2</v>
      </c>
      <c r="G356">
        <f t="shared" si="52"/>
        <v>677.84515624999995</v>
      </c>
      <c r="H356">
        <f t="shared" si="53"/>
        <v>6.0585334722418303E-3</v>
      </c>
      <c r="I356">
        <f t="shared" si="54"/>
        <v>8.0402543509484545E-3</v>
      </c>
      <c r="J356">
        <f t="shared" si="55"/>
        <v>661.07563743955359</v>
      </c>
      <c r="K356" s="5">
        <f t="shared" si="56"/>
        <v>681.95190381813757</v>
      </c>
      <c r="L356" s="5">
        <f t="shared" si="57"/>
        <v>6.0402543509484544E-3</v>
      </c>
    </row>
    <row r="357" spans="2:12">
      <c r="B357">
        <v>3.412109375</v>
      </c>
      <c r="C357">
        <v>0.56723505258560203</v>
      </c>
      <c r="D357">
        <v>33.97126171875</v>
      </c>
      <c r="E357" s="5">
        <f t="shared" si="51"/>
        <v>33971.26171875</v>
      </c>
      <c r="F357" s="5">
        <v>6.0705940995831001E-2</v>
      </c>
      <c r="G357">
        <f t="shared" si="52"/>
        <v>679.42523437499995</v>
      </c>
      <c r="H357">
        <f t="shared" si="53"/>
        <v>6.0705940995830999E-3</v>
      </c>
      <c r="I357">
        <f t="shared" si="54"/>
        <v>8.0522422767491907E-3</v>
      </c>
      <c r="J357">
        <f t="shared" si="55"/>
        <v>662.38765597881513</v>
      </c>
      <c r="K357" s="5">
        <f t="shared" si="56"/>
        <v>683.54974919390463</v>
      </c>
      <c r="L357" s="5">
        <f t="shared" si="57"/>
        <v>6.0522422767491906E-3</v>
      </c>
    </row>
    <row r="358" spans="2:12">
      <c r="B358">
        <v>3.421875</v>
      </c>
      <c r="C358">
        <v>0.57040306273847796</v>
      </c>
      <c r="D358">
        <v>34.056996093750001</v>
      </c>
      <c r="E358" s="5">
        <f t="shared" si="51"/>
        <v>34056.99609375</v>
      </c>
      <c r="F358" s="5">
        <v>6.0859696532134001E-2</v>
      </c>
      <c r="G358">
        <f t="shared" si="52"/>
        <v>681.13992187500003</v>
      </c>
      <c r="H358">
        <f t="shared" si="53"/>
        <v>6.0859696532134001E-3</v>
      </c>
      <c r="I358">
        <f t="shared" si="54"/>
        <v>8.0675249380565348E-3</v>
      </c>
      <c r="J358">
        <f t="shared" si="55"/>
        <v>664.06026684559743</v>
      </c>
      <c r="K358" s="5">
        <f t="shared" si="56"/>
        <v>685.28531876912348</v>
      </c>
      <c r="L358" s="5">
        <f t="shared" si="57"/>
        <v>6.0675249380565347E-3</v>
      </c>
    </row>
    <row r="359" spans="2:12">
      <c r="B359">
        <v>3.431640625</v>
      </c>
      <c r="C359">
        <v>0.57026592548936605</v>
      </c>
      <c r="D359">
        <v>34.111777343749999</v>
      </c>
      <c r="E359" s="5">
        <f t="shared" si="51"/>
        <v>34111.77734375</v>
      </c>
      <c r="F359" s="5">
        <v>6.0992337239440503E-2</v>
      </c>
      <c r="G359">
        <f t="shared" si="52"/>
        <v>682.23554687499995</v>
      </c>
      <c r="H359">
        <f t="shared" si="53"/>
        <v>6.0992337239440505E-3</v>
      </c>
      <c r="I359">
        <f t="shared" si="54"/>
        <v>8.0807086854656554E-3</v>
      </c>
      <c r="J359">
        <f t="shared" si="55"/>
        <v>665.5031620807888</v>
      </c>
      <c r="K359" s="5">
        <f t="shared" si="56"/>
        <v>686.39666093017331</v>
      </c>
      <c r="L359" s="5">
        <f t="shared" si="57"/>
        <v>6.0807086854656562E-3</v>
      </c>
    </row>
    <row r="360" spans="2:12">
      <c r="B360">
        <v>3.44140625</v>
      </c>
      <c r="C360">
        <v>0.57224184274673495</v>
      </c>
      <c r="D360">
        <v>34.182007812499997</v>
      </c>
      <c r="E360" s="5">
        <f t="shared" si="51"/>
        <v>34182.0078125</v>
      </c>
      <c r="F360" s="5">
        <v>6.1111051763873499E-2</v>
      </c>
      <c r="G360">
        <f t="shared" si="52"/>
        <v>683.64015625000002</v>
      </c>
      <c r="H360">
        <f t="shared" si="53"/>
        <v>6.1111051763873495E-3</v>
      </c>
      <c r="I360">
        <f t="shared" si="54"/>
        <v>8.0925081004810141E-3</v>
      </c>
      <c r="J360">
        <f t="shared" si="55"/>
        <v>666.79454905714454</v>
      </c>
      <c r="K360" s="5">
        <f t="shared" si="56"/>
        <v>687.81795314764565</v>
      </c>
      <c r="L360" s="5">
        <f t="shared" si="57"/>
        <v>6.0925081004810141E-3</v>
      </c>
    </row>
    <row r="361" spans="2:12">
      <c r="B361">
        <v>3.451171875</v>
      </c>
      <c r="C361">
        <v>0.57277531595900699</v>
      </c>
      <c r="D361">
        <v>34.261332031249999</v>
      </c>
      <c r="E361" s="5">
        <f t="shared" si="51"/>
        <v>34261.33203125</v>
      </c>
      <c r="F361" s="5">
        <v>6.1285827541723799E-2</v>
      </c>
      <c r="G361">
        <f t="shared" si="52"/>
        <v>685.22664062499996</v>
      </c>
      <c r="H361">
        <f t="shared" si="53"/>
        <v>6.1285827541723795E-3</v>
      </c>
      <c r="I361">
        <f t="shared" si="54"/>
        <v>8.109879368814802E-3</v>
      </c>
      <c r="J361">
        <f t="shared" si="55"/>
        <v>668.69574751993605</v>
      </c>
      <c r="K361" s="5">
        <f t="shared" si="56"/>
        <v>689.42610879743381</v>
      </c>
      <c r="L361" s="5">
        <f t="shared" si="57"/>
        <v>6.109879368814802E-3</v>
      </c>
    </row>
    <row r="362" spans="2:12">
      <c r="B362">
        <v>3.4609375</v>
      </c>
      <c r="C362">
        <v>0.57608186034485698</v>
      </c>
      <c r="D362">
        <v>34.349269531250002</v>
      </c>
      <c r="E362" s="5">
        <f t="shared" si="51"/>
        <v>34349.26953125</v>
      </c>
      <c r="F362" s="5">
        <v>6.1484992329496897E-2</v>
      </c>
      <c r="G362">
        <f t="shared" si="52"/>
        <v>686.98539062500004</v>
      </c>
      <c r="H362">
        <f t="shared" si="53"/>
        <v>6.1484992329496899E-3</v>
      </c>
      <c r="I362">
        <f t="shared" si="54"/>
        <v>8.129674335379037E-3</v>
      </c>
      <c r="J362">
        <f t="shared" si="55"/>
        <v>670.86220763555855</v>
      </c>
      <c r="K362" s="5">
        <f t="shared" si="56"/>
        <v>691.20931977230555</v>
      </c>
      <c r="L362" s="5">
        <f t="shared" si="57"/>
        <v>6.1296743353790361E-3</v>
      </c>
    </row>
    <row r="363" spans="2:12">
      <c r="B363">
        <v>3.470703125</v>
      </c>
      <c r="C363">
        <v>0.57759729679673899</v>
      </c>
      <c r="D363">
        <v>34.44430078125</v>
      </c>
      <c r="E363" s="5">
        <f t="shared" si="51"/>
        <v>34444.30078125</v>
      </c>
      <c r="F363" s="5">
        <v>6.1607119278051001E-2</v>
      </c>
      <c r="G363">
        <f t="shared" si="52"/>
        <v>688.88601562500003</v>
      </c>
      <c r="H363">
        <f t="shared" si="53"/>
        <v>6.1607119278051002E-3</v>
      </c>
      <c r="I363">
        <f t="shared" si="54"/>
        <v>8.1418123256916802E-3</v>
      </c>
      <c r="J363">
        <f t="shared" si="55"/>
        <v>672.19064998532599</v>
      </c>
      <c r="K363" s="5">
        <f t="shared" si="56"/>
        <v>693.13004391835909</v>
      </c>
      <c r="L363" s="5">
        <f t="shared" si="57"/>
        <v>6.1418123256916802E-3</v>
      </c>
    </row>
    <row r="364" spans="2:12">
      <c r="B364">
        <v>3.48046875</v>
      </c>
      <c r="C364">
        <v>0.57951360940933205</v>
      </c>
      <c r="D364">
        <v>34.517515625000001</v>
      </c>
      <c r="E364" s="5">
        <f t="shared" si="51"/>
        <v>34517.515625</v>
      </c>
      <c r="F364" s="5">
        <v>6.1752754845656503E-2</v>
      </c>
      <c r="G364">
        <f t="shared" si="52"/>
        <v>690.35031249999997</v>
      </c>
      <c r="H364">
        <f t="shared" si="53"/>
        <v>6.1752754845656507E-3</v>
      </c>
      <c r="I364">
        <f t="shared" si="54"/>
        <v>8.1562866051876522E-3</v>
      </c>
      <c r="J364">
        <f t="shared" si="55"/>
        <v>673.77478750476246</v>
      </c>
      <c r="K364" s="5">
        <f t="shared" si="56"/>
        <v>694.61341586054345</v>
      </c>
      <c r="L364" s="5">
        <f t="shared" si="57"/>
        <v>6.1562866051876513E-3</v>
      </c>
    </row>
    <row r="365" spans="2:12">
      <c r="B365">
        <v>3.490234375</v>
      </c>
      <c r="C365">
        <v>0.58103504125028804</v>
      </c>
      <c r="D365">
        <v>34.573425781250002</v>
      </c>
      <c r="E365" s="5">
        <f t="shared" si="51"/>
        <v>34573.42578125</v>
      </c>
      <c r="F365" s="5">
        <v>6.1888131313026E-2</v>
      </c>
      <c r="G365">
        <f t="shared" si="52"/>
        <v>691.46851562500001</v>
      </c>
      <c r="H365">
        <f t="shared" si="53"/>
        <v>6.1888131313026003E-3</v>
      </c>
      <c r="I365">
        <f t="shared" si="54"/>
        <v>8.1697410757913917E-3</v>
      </c>
      <c r="J365">
        <f t="shared" si="55"/>
        <v>675.24731203998897</v>
      </c>
      <c r="K365" s="5">
        <f t="shared" si="56"/>
        <v>695.74788505438232</v>
      </c>
      <c r="L365" s="5">
        <f t="shared" si="57"/>
        <v>6.1697410757913925E-3</v>
      </c>
    </row>
    <row r="366" spans="2:12">
      <c r="B366">
        <v>3.5</v>
      </c>
      <c r="C366">
        <v>0.58152526617050204</v>
      </c>
      <c r="D366">
        <v>34.6297421875</v>
      </c>
      <c r="E366" s="5">
        <f t="shared" si="51"/>
        <v>34629.7421875</v>
      </c>
      <c r="F366" s="5">
        <v>6.1949031078256701E-2</v>
      </c>
      <c r="G366">
        <f t="shared" si="52"/>
        <v>692.59484375</v>
      </c>
      <c r="H366">
        <f t="shared" si="53"/>
        <v>6.1949031078256701E-3</v>
      </c>
      <c r="I366">
        <f t="shared" si="54"/>
        <v>8.1757935760913558E-3</v>
      </c>
      <c r="J366">
        <f t="shared" si="55"/>
        <v>675.90972793531853</v>
      </c>
      <c r="K366" s="5">
        <f t="shared" si="56"/>
        <v>696.8854017000109</v>
      </c>
      <c r="L366" s="5">
        <f t="shared" si="57"/>
        <v>6.1757935760913566E-3</v>
      </c>
    </row>
    <row r="367" spans="2:12">
      <c r="B367">
        <v>3.509765625</v>
      </c>
      <c r="C367">
        <v>0.58461277512833498</v>
      </c>
      <c r="D367">
        <v>34.703027343750001</v>
      </c>
      <c r="E367" s="5">
        <f t="shared" si="51"/>
        <v>34703.02734375</v>
      </c>
      <c r="F367" s="5">
        <v>6.2083534430712503E-2</v>
      </c>
      <c r="G367">
        <f t="shared" si="52"/>
        <v>694.060546875</v>
      </c>
      <c r="H367">
        <f t="shared" si="53"/>
        <v>6.2083534430712505E-3</v>
      </c>
      <c r="I367">
        <f t="shared" si="54"/>
        <v>8.1891610114719106E-3</v>
      </c>
      <c r="J367">
        <f t="shared" si="55"/>
        <v>677.37272690054328</v>
      </c>
      <c r="K367" s="5">
        <f t="shared" si="56"/>
        <v>698.36952006089132</v>
      </c>
      <c r="L367" s="5">
        <f t="shared" si="57"/>
        <v>6.1891610114719105E-3</v>
      </c>
    </row>
    <row r="368" spans="2:12">
      <c r="B368">
        <v>3.51953125</v>
      </c>
      <c r="C368">
        <v>0.58387371245771602</v>
      </c>
      <c r="D368">
        <v>34.7895859375</v>
      </c>
      <c r="E368" s="5">
        <f t="shared" si="51"/>
        <v>34789.5859375</v>
      </c>
      <c r="F368" s="5">
        <v>6.2226579757407301E-2</v>
      </c>
      <c r="G368">
        <f t="shared" si="52"/>
        <v>695.79171874999997</v>
      </c>
      <c r="H368">
        <f t="shared" si="53"/>
        <v>6.2226579757407299E-3</v>
      </c>
      <c r="I368">
        <f t="shared" si="54"/>
        <v>8.203377183443581E-3</v>
      </c>
      <c r="J368">
        <f t="shared" si="55"/>
        <v>678.92861584198261</v>
      </c>
      <c r="K368" s="5">
        <f t="shared" si="56"/>
        <v>700.12139263813401</v>
      </c>
      <c r="L368" s="5">
        <f t="shared" si="57"/>
        <v>6.2033771834435801E-3</v>
      </c>
    </row>
    <row r="369" spans="2:12">
      <c r="B369">
        <v>3.529296875</v>
      </c>
      <c r="C369">
        <v>0.58896839618682895</v>
      </c>
      <c r="D369">
        <v>34.85888671875</v>
      </c>
      <c r="E369" s="5">
        <f t="shared" si="51"/>
        <v>34858.88671875</v>
      </c>
      <c r="F369" s="5">
        <v>6.2408551457338E-2</v>
      </c>
      <c r="G369">
        <f t="shared" si="52"/>
        <v>697.177734375</v>
      </c>
      <c r="H369">
        <f t="shared" si="53"/>
        <v>6.2408551457338E-3</v>
      </c>
      <c r="I369">
        <f t="shared" si="54"/>
        <v>8.2214616554103226E-3</v>
      </c>
      <c r="J369">
        <f t="shared" si="55"/>
        <v>680.90787087638273</v>
      </c>
      <c r="K369" s="5">
        <f t="shared" si="56"/>
        <v>701.52871962606525</v>
      </c>
      <c r="L369" s="5">
        <f t="shared" si="57"/>
        <v>6.2214616554103225E-3</v>
      </c>
    </row>
    <row r="370" spans="2:12">
      <c r="B370">
        <v>3.5390625</v>
      </c>
      <c r="C370">
        <v>0.58604776859283403</v>
      </c>
      <c r="D370">
        <v>34.925585937500003</v>
      </c>
      <c r="E370" s="5">
        <f t="shared" si="51"/>
        <v>34925.5859375</v>
      </c>
      <c r="F370" s="5">
        <v>6.2528379203285994E-2</v>
      </c>
      <c r="G370">
        <f t="shared" si="52"/>
        <v>698.51171875</v>
      </c>
      <c r="H370">
        <f t="shared" si="53"/>
        <v>6.2528379203285996E-3</v>
      </c>
      <c r="I370">
        <f t="shared" si="54"/>
        <v>8.2333700401533167E-3</v>
      </c>
      <c r="J370">
        <f t="shared" si="55"/>
        <v>682.2111840445798</v>
      </c>
      <c r="K370" s="5">
        <f t="shared" si="56"/>
        <v>702.87939931279391</v>
      </c>
      <c r="L370" s="5">
        <f t="shared" si="57"/>
        <v>6.2333700401533167E-3</v>
      </c>
    </row>
    <row r="371" spans="2:12">
      <c r="B371">
        <v>3.548828125</v>
      </c>
      <c r="C371">
        <v>0.59070141287520495</v>
      </c>
      <c r="D371">
        <v>34.976156250000003</v>
      </c>
      <c r="E371" s="5">
        <f t="shared" si="51"/>
        <v>34976.15625</v>
      </c>
      <c r="F371" s="5">
        <v>6.2680664996150895E-2</v>
      </c>
      <c r="G371">
        <f t="shared" si="52"/>
        <v>699.52312500000005</v>
      </c>
      <c r="H371">
        <f t="shared" si="53"/>
        <v>6.2680664996150898E-3</v>
      </c>
      <c r="I371">
        <f t="shared" si="54"/>
        <v>8.2485038747915872E-3</v>
      </c>
      <c r="J371">
        <f t="shared" si="55"/>
        <v>683.86750657656523</v>
      </c>
      <c r="K371" s="5">
        <f t="shared" si="56"/>
        <v>703.90778246551861</v>
      </c>
      <c r="L371" s="5">
        <f t="shared" si="57"/>
        <v>6.2485038747915871E-3</v>
      </c>
    </row>
    <row r="372" spans="2:12">
      <c r="B372">
        <v>3.55859375</v>
      </c>
      <c r="C372">
        <v>0.59151649475097701</v>
      </c>
      <c r="D372">
        <v>35.024593750000001</v>
      </c>
      <c r="E372" s="5">
        <f t="shared" si="51"/>
        <v>35024.59375</v>
      </c>
      <c r="F372" s="5">
        <v>6.2703125877305907E-2</v>
      </c>
      <c r="G372">
        <f t="shared" si="52"/>
        <v>700.49187500000005</v>
      </c>
      <c r="H372">
        <f t="shared" si="53"/>
        <v>6.2703125877305909E-3</v>
      </c>
      <c r="I372">
        <f t="shared" si="54"/>
        <v>8.2507359694823906E-3</v>
      </c>
      <c r="J372">
        <f t="shared" si="55"/>
        <v>684.11179818000028</v>
      </c>
      <c r="K372" s="5">
        <f t="shared" si="56"/>
        <v>704.88417802141555</v>
      </c>
      <c r="L372" s="5">
        <f t="shared" si="57"/>
        <v>6.2507359694823905E-3</v>
      </c>
    </row>
    <row r="373" spans="2:12">
      <c r="B373">
        <v>3.568359375</v>
      </c>
      <c r="C373">
        <v>0.59288443299010396</v>
      </c>
      <c r="D373">
        <v>35.096078124999998</v>
      </c>
      <c r="E373" s="5">
        <f t="shared" si="51"/>
        <v>35096.078125</v>
      </c>
      <c r="F373" s="5">
        <v>6.2885002989787595E-2</v>
      </c>
      <c r="G373">
        <f t="shared" si="52"/>
        <v>701.92156250000005</v>
      </c>
      <c r="H373">
        <f t="shared" si="53"/>
        <v>6.2885002989787591E-3</v>
      </c>
      <c r="I373">
        <f t="shared" si="54"/>
        <v>8.2688101853832727E-3</v>
      </c>
      <c r="J373">
        <f t="shared" si="55"/>
        <v>686.0899307392724</v>
      </c>
      <c r="K373" s="5">
        <f t="shared" si="56"/>
        <v>706.33559645564094</v>
      </c>
      <c r="L373" s="5">
        <f t="shared" si="57"/>
        <v>6.2688101853832735E-3</v>
      </c>
    </row>
    <row r="374" spans="2:12">
      <c r="B374">
        <v>3.578125</v>
      </c>
      <c r="C374">
        <v>0.59448630781844303</v>
      </c>
      <c r="D374">
        <v>35.1845</v>
      </c>
      <c r="E374" s="5">
        <f t="shared" si="51"/>
        <v>35184.5</v>
      </c>
      <c r="F374" s="5">
        <v>6.30166905466467E-2</v>
      </c>
      <c r="G374">
        <f t="shared" si="52"/>
        <v>703.69</v>
      </c>
      <c r="H374">
        <f t="shared" si="53"/>
        <v>6.3016690546646697E-3</v>
      </c>
      <c r="I374">
        <f t="shared" si="54"/>
        <v>8.281896561225334E-3</v>
      </c>
      <c r="J374">
        <f t="shared" si="55"/>
        <v>687.52216914330654</v>
      </c>
      <c r="K374" s="5">
        <f t="shared" si="56"/>
        <v>708.12442149707704</v>
      </c>
      <c r="L374" s="5">
        <f t="shared" si="57"/>
        <v>6.2818965612253331E-3</v>
      </c>
    </row>
    <row r="375" spans="2:12">
      <c r="B375">
        <v>3.587890625</v>
      </c>
      <c r="C375">
        <v>0.59646216686815001</v>
      </c>
      <c r="D375">
        <v>35.251347656249997</v>
      </c>
      <c r="E375" s="5">
        <f t="shared" si="51"/>
        <v>35251.34765625</v>
      </c>
      <c r="F375" s="5">
        <v>6.31609946140088E-2</v>
      </c>
      <c r="G375">
        <f t="shared" si="52"/>
        <v>705.02695312499998</v>
      </c>
      <c r="H375">
        <f t="shared" si="53"/>
        <v>6.3160994614008797E-3</v>
      </c>
      <c r="I375">
        <f t="shared" si="54"/>
        <v>8.2962364989543902E-3</v>
      </c>
      <c r="J375">
        <f t="shared" si="55"/>
        <v>689.09160362806324</v>
      </c>
      <c r="K375" s="5">
        <f t="shared" si="56"/>
        <v>709.47997348390584</v>
      </c>
      <c r="L375" s="5">
        <f t="shared" si="57"/>
        <v>6.2962364989543902E-3</v>
      </c>
    </row>
    <row r="376" spans="2:12">
      <c r="B376">
        <v>3.59765625</v>
      </c>
      <c r="C376">
        <v>0.59823540505021799</v>
      </c>
      <c r="D376">
        <v>35.324335937500003</v>
      </c>
      <c r="E376" s="5">
        <f t="shared" si="51"/>
        <v>35324.3359375</v>
      </c>
      <c r="F376" s="5">
        <v>6.3293926359619904E-2</v>
      </c>
      <c r="G376">
        <f t="shared" si="52"/>
        <v>706.48671875000002</v>
      </c>
      <c r="H376">
        <f t="shared" si="53"/>
        <v>6.3293926359619902E-3</v>
      </c>
      <c r="I376">
        <f t="shared" si="54"/>
        <v>8.3094461522326274E-3</v>
      </c>
      <c r="J376">
        <f t="shared" si="55"/>
        <v>690.5373341310999</v>
      </c>
      <c r="K376" s="5">
        <f t="shared" si="56"/>
        <v>710.95835058506123</v>
      </c>
      <c r="L376" s="5">
        <f t="shared" si="57"/>
        <v>6.3094461522326274E-3</v>
      </c>
    </row>
    <row r="377" spans="2:12">
      <c r="B377">
        <v>3.607421875</v>
      </c>
      <c r="C377">
        <v>0.60004147235304095</v>
      </c>
      <c r="D377">
        <v>35.408000000000001</v>
      </c>
      <c r="E377" s="5">
        <f t="shared" si="51"/>
        <v>35408</v>
      </c>
      <c r="F377" s="5">
        <v>6.34130265098065E-2</v>
      </c>
      <c r="G377">
        <f t="shared" si="52"/>
        <v>708.16</v>
      </c>
      <c r="H377">
        <f t="shared" si="53"/>
        <v>6.3413026509806496E-3</v>
      </c>
      <c r="I377">
        <f t="shared" si="54"/>
        <v>8.3212811881842978E-3</v>
      </c>
      <c r="J377">
        <f t="shared" si="55"/>
        <v>691.83261964083033</v>
      </c>
      <c r="K377" s="5">
        <f t="shared" si="56"/>
        <v>712.65065688531843</v>
      </c>
      <c r="L377" s="5">
        <f t="shared" si="57"/>
        <v>6.3212811881842969E-3</v>
      </c>
    </row>
    <row r="378" spans="2:12">
      <c r="B378">
        <v>3.6171875</v>
      </c>
      <c r="C378">
        <v>0.60158519772812702</v>
      </c>
      <c r="D378">
        <v>35.443246093749998</v>
      </c>
      <c r="E378" s="5">
        <f t="shared" si="51"/>
        <v>35443.24609375</v>
      </c>
      <c r="F378" s="5">
        <v>6.3631101511418806E-2</v>
      </c>
      <c r="G378">
        <f t="shared" si="52"/>
        <v>708.86492187500005</v>
      </c>
      <c r="H378">
        <f t="shared" si="53"/>
        <v>6.3631101511418802E-3</v>
      </c>
      <c r="I378">
        <f t="shared" si="54"/>
        <v>8.3429510369940618E-3</v>
      </c>
      <c r="J378">
        <f t="shared" si="55"/>
        <v>694.204276243815</v>
      </c>
      <c r="K378" s="5">
        <f t="shared" si="56"/>
        <v>713.37550745517126</v>
      </c>
      <c r="L378" s="5">
        <f t="shared" si="57"/>
        <v>6.3429510369940609E-3</v>
      </c>
    </row>
    <row r="379" spans="2:12">
      <c r="B379">
        <v>3.626953125</v>
      </c>
      <c r="C379">
        <v>0.60203520115464904</v>
      </c>
      <c r="D379">
        <v>35.499000000000002</v>
      </c>
      <c r="E379" s="5">
        <f t="shared" si="51"/>
        <v>35499</v>
      </c>
      <c r="F379" s="5">
        <v>6.3565217715222402E-2</v>
      </c>
      <c r="G379">
        <f t="shared" si="52"/>
        <v>709.98</v>
      </c>
      <c r="H379">
        <f t="shared" si="53"/>
        <v>6.3565217715222406E-3</v>
      </c>
      <c r="I379">
        <f t="shared" si="54"/>
        <v>8.3364042934584263E-3</v>
      </c>
      <c r="J379">
        <f t="shared" si="55"/>
        <v>693.48776789755755</v>
      </c>
      <c r="K379" s="5">
        <f t="shared" si="56"/>
        <v>714.49300332734538</v>
      </c>
      <c r="L379" s="5">
        <f t="shared" si="57"/>
        <v>6.3364042934584272E-3</v>
      </c>
    </row>
    <row r="380" spans="2:12">
      <c r="B380">
        <v>3.63671875</v>
      </c>
      <c r="C380">
        <v>0.60430017765611399</v>
      </c>
      <c r="D380">
        <v>35.618882812499997</v>
      </c>
      <c r="E380" s="5">
        <f t="shared" si="51"/>
        <v>35618.8828125</v>
      </c>
      <c r="F380" s="5">
        <v>6.3848587160464404E-2</v>
      </c>
      <c r="G380">
        <f t="shared" si="52"/>
        <v>712.37765624999997</v>
      </c>
      <c r="H380">
        <f t="shared" si="53"/>
        <v>6.3848587160464402E-3</v>
      </c>
      <c r="I380">
        <f t="shared" si="54"/>
        <v>8.3645618548826434E-3</v>
      </c>
      <c r="J380">
        <f t="shared" si="55"/>
        <v>696.56947220763095</v>
      </c>
      <c r="K380" s="5">
        <f t="shared" si="56"/>
        <v>716.92608693762452</v>
      </c>
      <c r="L380" s="5">
        <f t="shared" si="57"/>
        <v>6.3645618548826442E-3</v>
      </c>
    </row>
    <row r="381" spans="2:12">
      <c r="B381">
        <v>3.646484375</v>
      </c>
      <c r="C381">
        <v>0.60569646302610602</v>
      </c>
      <c r="D381">
        <v>35.698566406250002</v>
      </c>
      <c r="E381" s="5">
        <f t="shared" si="51"/>
        <v>35698.56640625</v>
      </c>
      <c r="F381" s="5">
        <v>6.3991799834184293E-2</v>
      </c>
      <c r="G381">
        <f t="shared" si="52"/>
        <v>713.97132812500001</v>
      </c>
      <c r="H381">
        <f t="shared" si="53"/>
        <v>6.3991799834184297E-3</v>
      </c>
      <c r="I381">
        <f t="shared" si="54"/>
        <v>8.3787921618573482E-3</v>
      </c>
      <c r="J381">
        <f t="shared" si="55"/>
        <v>698.12690815447752</v>
      </c>
      <c r="K381" s="5">
        <f t="shared" si="56"/>
        <v>718.54015915667219</v>
      </c>
      <c r="L381" s="5">
        <f t="shared" si="57"/>
        <v>6.3787921618573482E-3</v>
      </c>
    </row>
    <row r="382" spans="2:12">
      <c r="B382">
        <v>3.65625</v>
      </c>
      <c r="C382">
        <v>0.60806871624663505</v>
      </c>
      <c r="D382">
        <v>35.817402343749997</v>
      </c>
      <c r="E382" s="5">
        <f t="shared" si="51"/>
        <v>35817.40234375</v>
      </c>
      <c r="F382" s="5">
        <v>6.4146363001782405E-2</v>
      </c>
      <c r="G382">
        <f t="shared" si="52"/>
        <v>716.34804687500002</v>
      </c>
      <c r="H382">
        <f t="shared" si="53"/>
        <v>6.4146363001782404E-3</v>
      </c>
      <c r="I382">
        <f t="shared" si="54"/>
        <v>8.3941500818349168E-3</v>
      </c>
      <c r="J382">
        <f t="shared" si="55"/>
        <v>699.80775570642243</v>
      </c>
      <c r="K382" s="5">
        <f t="shared" si="56"/>
        <v>720.94315906004624</v>
      </c>
      <c r="L382" s="5">
        <f t="shared" si="57"/>
        <v>6.3941500818349168E-3</v>
      </c>
    </row>
    <row r="383" spans="2:12">
      <c r="B383">
        <v>3.666015625</v>
      </c>
      <c r="C383">
        <v>0.609683978836983</v>
      </c>
      <c r="D383">
        <v>35.906140624999999</v>
      </c>
      <c r="E383" s="5">
        <f t="shared" si="51"/>
        <v>35906.140625</v>
      </c>
      <c r="F383" s="5">
        <v>6.4415326050948393E-2</v>
      </c>
      <c r="G383">
        <f t="shared" si="52"/>
        <v>718.12281250000001</v>
      </c>
      <c r="H383">
        <f t="shared" si="53"/>
        <v>6.4415326050948395E-3</v>
      </c>
      <c r="I383">
        <f t="shared" si="54"/>
        <v>8.4208745992978996E-3</v>
      </c>
      <c r="J383">
        <f t="shared" si="55"/>
        <v>702.73262052015866</v>
      </c>
      <c r="K383" s="5">
        <f t="shared" si="56"/>
        <v>722.74862401118116</v>
      </c>
      <c r="L383" s="5">
        <f t="shared" si="57"/>
        <v>6.4208745992978995E-3</v>
      </c>
    </row>
    <row r="384" spans="2:12">
      <c r="B384">
        <v>3.67578125</v>
      </c>
      <c r="C384">
        <v>0.61203539371490501</v>
      </c>
      <c r="D384">
        <v>35.995621093750003</v>
      </c>
      <c r="E384" s="5">
        <f t="shared" si="51"/>
        <v>35995.62109375</v>
      </c>
      <c r="F384" s="5">
        <v>6.4677296904846998E-2</v>
      </c>
      <c r="G384">
        <f t="shared" si="52"/>
        <v>719.91242187499995</v>
      </c>
      <c r="H384">
        <f t="shared" si="53"/>
        <v>6.4677296904847E-3</v>
      </c>
      <c r="I384">
        <f t="shared" si="54"/>
        <v>8.4469036765961684E-3</v>
      </c>
      <c r="J384">
        <f t="shared" si="55"/>
        <v>705.58137288506759</v>
      </c>
      <c r="K384" s="5">
        <f t="shared" si="56"/>
        <v>724.56862082050964</v>
      </c>
      <c r="L384" s="5">
        <f t="shared" si="57"/>
        <v>6.4469036765961683E-3</v>
      </c>
    </row>
    <row r="385" spans="2:12">
      <c r="B385">
        <v>3.685546875</v>
      </c>
      <c r="C385">
        <v>0.61398150864988599</v>
      </c>
      <c r="D385">
        <v>36.06930078125</v>
      </c>
      <c r="E385" s="5">
        <f t="shared" si="51"/>
        <v>36069.30078125</v>
      </c>
      <c r="F385" s="5">
        <v>6.4707273850217503E-2</v>
      </c>
      <c r="G385">
        <f t="shared" si="52"/>
        <v>721.38601562500003</v>
      </c>
      <c r="H385">
        <f t="shared" si="53"/>
        <v>6.4707273850217505E-3</v>
      </c>
      <c r="I385">
        <f t="shared" si="54"/>
        <v>8.4498821030120474E-3</v>
      </c>
      <c r="J385">
        <f t="shared" si="55"/>
        <v>705.90734676415354</v>
      </c>
      <c r="K385" s="5">
        <f t="shared" si="56"/>
        <v>726.05390787147644</v>
      </c>
      <c r="L385" s="5">
        <f t="shared" si="57"/>
        <v>6.4498821030120473E-3</v>
      </c>
    </row>
    <row r="386" spans="2:12">
      <c r="B386">
        <v>3.6953125</v>
      </c>
      <c r="C386">
        <v>0.61484874458983496</v>
      </c>
      <c r="D386">
        <v>36.152421875000002</v>
      </c>
      <c r="E386" s="5">
        <f t="shared" si="51"/>
        <v>36152.421875</v>
      </c>
      <c r="F386" s="5">
        <v>6.4849977206904399E-2</v>
      </c>
      <c r="G386">
        <f t="shared" si="52"/>
        <v>723.04843749999998</v>
      </c>
      <c r="H386">
        <f t="shared" si="53"/>
        <v>6.4849977206904398E-3</v>
      </c>
      <c r="I386">
        <f t="shared" si="54"/>
        <v>8.4640605923756787E-3</v>
      </c>
      <c r="J386">
        <f t="shared" si="55"/>
        <v>707.45911153255622</v>
      </c>
      <c r="K386" s="5">
        <f t="shared" si="56"/>
        <v>727.73740496913626</v>
      </c>
      <c r="L386" s="5">
        <f t="shared" si="57"/>
        <v>6.4640605923756795E-3</v>
      </c>
    </row>
    <row r="387" spans="2:12">
      <c r="B387">
        <v>3.705078125</v>
      </c>
      <c r="C387">
        <v>0.61769783496856701</v>
      </c>
      <c r="D387">
        <v>36.258863281250001</v>
      </c>
      <c r="E387" s="5">
        <f t="shared" si="51"/>
        <v>36258.86328125</v>
      </c>
      <c r="F387" s="5">
        <v>6.5054402512032497E-2</v>
      </c>
      <c r="G387">
        <f t="shared" si="52"/>
        <v>725.17726562500002</v>
      </c>
      <c r="H387">
        <f t="shared" si="53"/>
        <v>6.5054402512032495E-3</v>
      </c>
      <c r="I387">
        <f t="shared" si="54"/>
        <v>8.4843712010381905E-3</v>
      </c>
      <c r="J387">
        <f t="shared" si="55"/>
        <v>709.68200609762482</v>
      </c>
      <c r="K387" s="5">
        <f t="shared" si="56"/>
        <v>729.89486299805446</v>
      </c>
      <c r="L387" s="5">
        <f t="shared" si="57"/>
        <v>6.4843712010381914E-3</v>
      </c>
    </row>
    <row r="388" spans="2:12">
      <c r="B388">
        <v>3.71484375</v>
      </c>
      <c r="C388">
        <v>0.61963201733306095</v>
      </c>
      <c r="D388">
        <v>36.3479375</v>
      </c>
      <c r="E388" s="5">
        <f t="shared" si="51"/>
        <v>36347.9375</v>
      </c>
      <c r="F388" s="5">
        <v>6.5232510678470093E-2</v>
      </c>
      <c r="G388">
        <f t="shared" si="52"/>
        <v>726.95875000000001</v>
      </c>
      <c r="H388">
        <f t="shared" si="53"/>
        <v>6.5232510678470091E-3</v>
      </c>
      <c r="I388">
        <f t="shared" si="54"/>
        <v>8.5020667428067024E-3</v>
      </c>
      <c r="J388">
        <f t="shared" si="55"/>
        <v>711.61869466647954</v>
      </c>
      <c r="K388" s="5">
        <f t="shared" si="56"/>
        <v>731.70088444221824</v>
      </c>
      <c r="L388" s="5">
        <f t="shared" si="57"/>
        <v>6.5020667428067024E-3</v>
      </c>
    </row>
    <row r="389" spans="2:12">
      <c r="B389">
        <v>3.724609375</v>
      </c>
      <c r="C389">
        <v>0.62095670728012897</v>
      </c>
      <c r="D389">
        <v>36.437390624999999</v>
      </c>
      <c r="E389" s="5">
        <f t="shared" si="51"/>
        <v>36437.390625</v>
      </c>
      <c r="F389" s="5">
        <v>6.5426851506345002E-2</v>
      </c>
      <c r="G389">
        <f t="shared" si="52"/>
        <v>728.74781250000001</v>
      </c>
      <c r="H389">
        <f t="shared" si="53"/>
        <v>6.5426851506345E-3</v>
      </c>
      <c r="I389">
        <f t="shared" si="54"/>
        <v>8.5213746874084513E-3</v>
      </c>
      <c r="J389">
        <f t="shared" si="55"/>
        <v>713.73185266341807</v>
      </c>
      <c r="K389" s="5">
        <f t="shared" si="56"/>
        <v>733.51577999140113</v>
      </c>
      <c r="L389" s="5">
        <f t="shared" si="57"/>
        <v>6.5213746874084521E-3</v>
      </c>
    </row>
    <row r="390" spans="2:12">
      <c r="B390">
        <v>3.734375</v>
      </c>
      <c r="C390">
        <v>0.62211451586335897</v>
      </c>
      <c r="D390">
        <v>36.515398437499996</v>
      </c>
      <c r="E390" s="5">
        <f t="shared" si="51"/>
        <v>36515.3984375</v>
      </c>
      <c r="F390" s="5">
        <v>6.5572385210543899E-2</v>
      </c>
      <c r="G390">
        <f t="shared" si="52"/>
        <v>730.30796874999999</v>
      </c>
      <c r="H390">
        <f t="shared" si="53"/>
        <v>6.5572385210543897E-3</v>
      </c>
      <c r="I390">
        <f t="shared" si="54"/>
        <v>8.5358333541134812E-3</v>
      </c>
      <c r="J390">
        <f t="shared" si="55"/>
        <v>715.3142814409498</v>
      </c>
      <c r="K390" s="5">
        <f t="shared" si="56"/>
        <v>735.09677229492047</v>
      </c>
      <c r="L390" s="5">
        <f t="shared" si="57"/>
        <v>6.5358333541134803E-3</v>
      </c>
    </row>
    <row r="391" spans="2:12">
      <c r="B391">
        <v>3.744140625</v>
      </c>
      <c r="C391">
        <v>0.62475801678374399</v>
      </c>
      <c r="D391">
        <v>36.57847265625</v>
      </c>
      <c r="E391" s="5">
        <f t="shared" si="51"/>
        <v>36578.47265625</v>
      </c>
      <c r="F391" s="5">
        <v>6.57155687804334E-2</v>
      </c>
      <c r="G391">
        <f t="shared" si="52"/>
        <v>731.569453125</v>
      </c>
      <c r="H391">
        <f t="shared" si="53"/>
        <v>6.5715568780433404E-3</v>
      </c>
      <c r="I391">
        <f t="shared" si="54"/>
        <v>8.5500583326860551E-3</v>
      </c>
      <c r="J391">
        <f t="shared" si="55"/>
        <v>716.8711342208253</v>
      </c>
      <c r="K391" s="5">
        <f t="shared" si="56"/>
        <v>736.37700339644994</v>
      </c>
      <c r="L391" s="5">
        <f t="shared" si="57"/>
        <v>6.550058332686055E-3</v>
      </c>
    </row>
    <row r="392" spans="2:12">
      <c r="B392">
        <v>3.75390625</v>
      </c>
      <c r="C392">
        <v>0.62603654805570796</v>
      </c>
      <c r="D392">
        <v>36.662792968749997</v>
      </c>
      <c r="E392" s="5">
        <f t="shared" si="51"/>
        <v>36662.79296875</v>
      </c>
      <c r="F392" s="5">
        <v>6.59330762573518E-2</v>
      </c>
      <c r="G392">
        <f t="shared" si="52"/>
        <v>733.255859375</v>
      </c>
      <c r="H392">
        <f t="shared" si="53"/>
        <v>6.5933076257351803E-3</v>
      </c>
      <c r="I392">
        <f t="shared" si="54"/>
        <v>8.5716668438181494E-3</v>
      </c>
      <c r="J392">
        <f t="shared" si="55"/>
        <v>719.23607772167747</v>
      </c>
      <c r="K392" s="5">
        <f t="shared" si="56"/>
        <v>738.09044082423225</v>
      </c>
      <c r="L392" s="5">
        <f t="shared" si="57"/>
        <v>6.5716668438181502E-3</v>
      </c>
    </row>
    <row r="393" spans="2:12">
      <c r="B393">
        <v>3.763671875</v>
      </c>
      <c r="C393">
        <v>0.62788429204374596</v>
      </c>
      <c r="D393">
        <v>36.748281249999998</v>
      </c>
      <c r="E393" s="5">
        <f t="shared" ref="E393:E456" si="58" xml:space="preserve"> D393*R$3</f>
        <v>36748.28125</v>
      </c>
      <c r="F393" s="5">
        <v>6.6082080593332607E-2</v>
      </c>
      <c r="G393">
        <f t="shared" ref="G393:G456" si="59" xml:space="preserve"> E393/C$3</f>
        <v>734.96562500000005</v>
      </c>
      <c r="H393">
        <f t="shared" ref="H393:H456" si="60" xml:space="preserve"> F393/C$4</f>
        <v>6.6082080593332605E-3</v>
      </c>
      <c r="I393">
        <f t="shared" ref="I393:I456" si="61">L393+0.002</f>
        <v>8.5864695682173406E-3</v>
      </c>
      <c r="J393">
        <f t="shared" ref="J393:J456" si="62">L393*G$2</f>
        <v>720.85616189354675</v>
      </c>
      <c r="K393" s="5">
        <f t="shared" ref="K393:K456" si="63" xml:space="preserve"> G393 * (1 + H393)</f>
        <v>739.82243076645796</v>
      </c>
      <c r="L393" s="5">
        <f t="shared" ref="L393:L456" si="64">LN(1 + H393)</f>
        <v>6.5864695682173397E-3</v>
      </c>
    </row>
    <row r="394" spans="2:12">
      <c r="B394">
        <v>3.7734375</v>
      </c>
      <c r="C394">
        <v>0.63010753365233496</v>
      </c>
      <c r="D394">
        <v>36.816078124999997</v>
      </c>
      <c r="E394" s="5">
        <f t="shared" si="58"/>
        <v>36816.078125</v>
      </c>
      <c r="F394" s="5">
        <v>6.6182314185425598E-2</v>
      </c>
      <c r="G394">
        <f t="shared" si="59"/>
        <v>736.32156250000003</v>
      </c>
      <c r="H394">
        <f t="shared" si="60"/>
        <v>6.6182314185425596E-3</v>
      </c>
      <c r="I394">
        <f t="shared" si="61"/>
        <v>8.5964270762381272E-3</v>
      </c>
      <c r="J394">
        <f t="shared" si="62"/>
        <v>721.94596135888196</v>
      </c>
      <c r="K394" s="5">
        <f t="shared" si="63"/>
        <v>741.19470899908788</v>
      </c>
      <c r="L394" s="5">
        <f t="shared" si="64"/>
        <v>6.596427076238128E-3</v>
      </c>
    </row>
    <row r="395" spans="2:12">
      <c r="B395">
        <v>3.783203125</v>
      </c>
      <c r="C395">
        <v>0.63153204973787103</v>
      </c>
      <c r="D395">
        <v>36.879093750000003</v>
      </c>
      <c r="E395" s="5">
        <f t="shared" si="58"/>
        <v>36879.09375</v>
      </c>
      <c r="F395" s="5">
        <v>6.6339976910967394E-2</v>
      </c>
      <c r="G395">
        <f t="shared" si="59"/>
        <v>737.58187499999997</v>
      </c>
      <c r="H395">
        <f t="shared" si="60"/>
        <v>6.6339976910967397E-3</v>
      </c>
      <c r="I395">
        <f t="shared" si="61"/>
        <v>8.6120895673324205E-3</v>
      </c>
      <c r="J395">
        <f t="shared" si="62"/>
        <v>723.66014269669665</v>
      </c>
      <c r="K395" s="5">
        <f t="shared" si="63"/>
        <v>742.47499145574477</v>
      </c>
      <c r="L395" s="5">
        <f t="shared" si="64"/>
        <v>6.6120895673324196E-3</v>
      </c>
    </row>
    <row r="396" spans="2:12">
      <c r="B396">
        <v>3.79296875</v>
      </c>
      <c r="C396">
        <v>0.63491315813735105</v>
      </c>
      <c r="D396">
        <v>36.94873046875</v>
      </c>
      <c r="E396" s="5">
        <f t="shared" si="58"/>
        <v>36948.73046875</v>
      </c>
      <c r="F396" s="5">
        <v>6.6501248511485797E-2</v>
      </c>
      <c r="G396">
        <f t="shared" si="59"/>
        <v>738.974609375</v>
      </c>
      <c r="H396">
        <f t="shared" si="60"/>
        <v>6.6501248511485799E-3</v>
      </c>
      <c r="I396">
        <f t="shared" si="61"/>
        <v>8.6281103165864476E-3</v>
      </c>
      <c r="J396">
        <f t="shared" si="62"/>
        <v>725.41353359880372</v>
      </c>
      <c r="K396" s="5">
        <f t="shared" si="63"/>
        <v>743.8888827891725</v>
      </c>
      <c r="L396" s="5">
        <f t="shared" si="64"/>
        <v>6.6281103165864476E-3</v>
      </c>
    </row>
    <row r="397" spans="2:12">
      <c r="B397">
        <v>3.802734375</v>
      </c>
      <c r="C397">
        <v>0.63565967138856605</v>
      </c>
      <c r="D397">
        <v>37.033699218750002</v>
      </c>
      <c r="E397" s="5">
        <f t="shared" si="58"/>
        <v>37033.69921875</v>
      </c>
      <c r="F397" s="5">
        <v>6.6612607042770805E-2</v>
      </c>
      <c r="G397">
        <f t="shared" si="59"/>
        <v>740.67398437500003</v>
      </c>
      <c r="H397">
        <f t="shared" si="60"/>
        <v>6.6612607042770807E-3</v>
      </c>
      <c r="I397">
        <f t="shared" si="61"/>
        <v>8.6391725429350551E-3</v>
      </c>
      <c r="J397">
        <f t="shared" si="62"/>
        <v>726.62423896152711</v>
      </c>
      <c r="K397" s="5">
        <f t="shared" si="63"/>
        <v>745.60780688179761</v>
      </c>
      <c r="L397" s="5">
        <f t="shared" si="64"/>
        <v>6.639172542935055E-3</v>
      </c>
    </row>
    <row r="398" spans="2:12">
      <c r="B398">
        <v>3.8125</v>
      </c>
      <c r="C398">
        <v>0.63433946343138803</v>
      </c>
      <c r="D398">
        <v>37.085890624999998</v>
      </c>
      <c r="E398" s="5">
        <f t="shared" si="58"/>
        <v>37085.890625</v>
      </c>
      <c r="F398" s="5">
        <v>6.6732070990838097E-2</v>
      </c>
      <c r="G398">
        <f t="shared" si="59"/>
        <v>741.71781250000004</v>
      </c>
      <c r="H398">
        <f t="shared" si="60"/>
        <v>6.6732070990838093E-3</v>
      </c>
      <c r="I398">
        <f t="shared" si="61"/>
        <v>8.6510398158575735E-3</v>
      </c>
      <c r="J398">
        <f t="shared" si="62"/>
        <v>727.92305264653214</v>
      </c>
      <c r="K398" s="5">
        <f t="shared" si="63"/>
        <v>746.66744907189195</v>
      </c>
      <c r="L398" s="5">
        <f t="shared" si="64"/>
        <v>6.6510398158575734E-3</v>
      </c>
    </row>
    <row r="399" spans="2:12">
      <c r="B399">
        <v>3.822265625</v>
      </c>
      <c r="C399">
        <v>0.63848792342469096</v>
      </c>
      <c r="D399">
        <v>37.147222656250001</v>
      </c>
      <c r="E399" s="5">
        <f t="shared" si="58"/>
        <v>37147.22265625</v>
      </c>
      <c r="F399" s="5">
        <v>6.6861430241260705E-2</v>
      </c>
      <c r="G399">
        <f t="shared" si="59"/>
        <v>742.944453125</v>
      </c>
      <c r="H399">
        <f t="shared" si="60"/>
        <v>6.6861430241260704E-3</v>
      </c>
      <c r="I399">
        <f t="shared" si="61"/>
        <v>8.6638899064702037E-3</v>
      </c>
      <c r="J399">
        <f t="shared" si="62"/>
        <v>729.32943081363146</v>
      </c>
      <c r="K399" s="5">
        <f t="shared" si="63"/>
        <v>747.91188599757481</v>
      </c>
      <c r="L399" s="5">
        <f t="shared" si="64"/>
        <v>6.6638899064702037E-3</v>
      </c>
    </row>
    <row r="400" spans="2:12">
      <c r="B400">
        <v>3.83203125</v>
      </c>
      <c r="C400">
        <v>0.63795893220230904</v>
      </c>
      <c r="D400">
        <v>37.221160156250001</v>
      </c>
      <c r="E400" s="5">
        <f t="shared" si="58"/>
        <v>37221.16015625</v>
      </c>
      <c r="F400" s="5">
        <v>6.6980668634641902E-2</v>
      </c>
      <c r="G400">
        <f t="shared" si="59"/>
        <v>744.42320312499999</v>
      </c>
      <c r="H400">
        <f t="shared" si="60"/>
        <v>6.6980668634641898E-3</v>
      </c>
      <c r="I400">
        <f t="shared" si="61"/>
        <v>8.6757344806748758E-3</v>
      </c>
      <c r="J400">
        <f t="shared" si="62"/>
        <v>730.62576023746169</v>
      </c>
      <c r="K400" s="5">
        <f t="shared" si="63"/>
        <v>749.40939951424537</v>
      </c>
      <c r="L400" s="5">
        <f t="shared" si="64"/>
        <v>6.6757344806748749E-3</v>
      </c>
    </row>
    <row r="401" spans="2:12">
      <c r="B401">
        <v>3.841796875</v>
      </c>
      <c r="C401">
        <v>0.64020307036116697</v>
      </c>
      <c r="D401">
        <v>37.282757812500002</v>
      </c>
      <c r="E401" s="5">
        <f t="shared" si="58"/>
        <v>37282.7578125</v>
      </c>
      <c r="F401" s="5">
        <v>6.7153319832868902E-2</v>
      </c>
      <c r="G401">
        <f t="shared" si="59"/>
        <v>745.65515625</v>
      </c>
      <c r="H401">
        <f t="shared" si="60"/>
        <v>6.71533198328689E-3</v>
      </c>
      <c r="I401">
        <f t="shared" si="61"/>
        <v>8.6928845799371605E-3</v>
      </c>
      <c r="J401">
        <f t="shared" si="62"/>
        <v>732.50275285122257</v>
      </c>
      <c r="K401" s="5">
        <f t="shared" si="63"/>
        <v>750.66247816926841</v>
      </c>
      <c r="L401" s="5">
        <f t="shared" si="64"/>
        <v>6.6928845799371604E-3</v>
      </c>
    </row>
    <row r="402" spans="2:12">
      <c r="B402">
        <v>3.8515625</v>
      </c>
      <c r="C402">
        <v>0.64205226954072703</v>
      </c>
      <c r="D402">
        <v>37.341257812499997</v>
      </c>
      <c r="E402" s="5">
        <f t="shared" si="58"/>
        <v>37341.2578125</v>
      </c>
      <c r="F402" s="5">
        <v>6.7219079937785906E-2</v>
      </c>
      <c r="G402">
        <f t="shared" si="59"/>
        <v>746.82515624999996</v>
      </c>
      <c r="H402">
        <f t="shared" si="60"/>
        <v>6.7219079937785907E-3</v>
      </c>
      <c r="I402">
        <f t="shared" si="61"/>
        <v>8.6994167035724587E-3</v>
      </c>
      <c r="J402">
        <f t="shared" si="62"/>
        <v>733.21766112248781</v>
      </c>
      <c r="K402" s="5">
        <f t="shared" si="63"/>
        <v>751.84524623775178</v>
      </c>
      <c r="L402" s="5">
        <f t="shared" si="64"/>
        <v>6.6994167035724595E-3</v>
      </c>
    </row>
    <row r="403" spans="2:12">
      <c r="B403">
        <v>3.861328125</v>
      </c>
      <c r="C403">
        <v>0.64415036467835296</v>
      </c>
      <c r="D403">
        <v>37.4386875</v>
      </c>
      <c r="E403" s="5">
        <f t="shared" si="58"/>
        <v>37438.6875</v>
      </c>
      <c r="F403" s="5">
        <v>6.7423672589939102E-2</v>
      </c>
      <c r="G403">
        <f t="shared" si="59"/>
        <v>748.77374999999995</v>
      </c>
      <c r="H403">
        <f t="shared" si="60"/>
        <v>6.7423672589939105E-3</v>
      </c>
      <c r="I403">
        <f t="shared" si="61"/>
        <v>8.719739155246908E-3</v>
      </c>
      <c r="J403">
        <f t="shared" si="62"/>
        <v>735.4418518459978</v>
      </c>
      <c r="K403" s="5">
        <f t="shared" si="63"/>
        <v>753.82225761639404</v>
      </c>
      <c r="L403" s="5">
        <f t="shared" si="64"/>
        <v>6.719739155246908E-3</v>
      </c>
    </row>
    <row r="404" spans="2:12">
      <c r="B404">
        <v>3.87109375</v>
      </c>
      <c r="C404">
        <v>0.64526201458647803</v>
      </c>
      <c r="D404">
        <v>37.509757812499998</v>
      </c>
      <c r="E404" s="5">
        <f t="shared" si="58"/>
        <v>37509.7578125</v>
      </c>
      <c r="F404" s="5">
        <v>6.7519213189370902E-2</v>
      </c>
      <c r="G404">
        <f t="shared" si="59"/>
        <v>750.19515624999997</v>
      </c>
      <c r="H404">
        <f t="shared" si="60"/>
        <v>6.7519213189370904E-3</v>
      </c>
      <c r="I404">
        <f t="shared" si="61"/>
        <v>8.7292291845928599E-3</v>
      </c>
      <c r="J404">
        <f t="shared" si="62"/>
        <v>736.4804881077655</v>
      </c>
      <c r="K404" s="5">
        <f t="shared" si="63"/>
        <v>755.26041491884769</v>
      </c>
      <c r="L404" s="5">
        <f t="shared" si="64"/>
        <v>6.7292291845928599E-3</v>
      </c>
    </row>
    <row r="405" spans="2:12">
      <c r="B405">
        <v>3.880859375</v>
      </c>
      <c r="C405">
        <v>0.64688175916671797</v>
      </c>
      <c r="D405">
        <v>37.5494921875</v>
      </c>
      <c r="E405" s="5">
        <f t="shared" si="58"/>
        <v>37549.4921875</v>
      </c>
      <c r="F405" s="5">
        <v>6.7643450165633098E-2</v>
      </c>
      <c r="G405">
        <f t="shared" si="59"/>
        <v>750.98984374999998</v>
      </c>
      <c r="H405">
        <f t="shared" si="60"/>
        <v>6.7643450165633095E-3</v>
      </c>
      <c r="I405">
        <f t="shared" si="61"/>
        <v>8.7415694848269245E-3</v>
      </c>
      <c r="J405">
        <f t="shared" si="62"/>
        <v>737.83107226688276</v>
      </c>
      <c r="K405" s="5">
        <f t="shared" si="63"/>
        <v>756.06979815705995</v>
      </c>
      <c r="L405" s="5">
        <f t="shared" si="64"/>
        <v>6.7415694848269245E-3</v>
      </c>
    </row>
    <row r="406" spans="2:12">
      <c r="B406">
        <v>3.890625</v>
      </c>
      <c r="C406">
        <v>0.64935086993500601</v>
      </c>
      <c r="D406">
        <v>37.626230468750002</v>
      </c>
      <c r="E406" s="5">
        <f t="shared" si="58"/>
        <v>37626.23046875</v>
      </c>
      <c r="F406" s="5">
        <v>6.7815824877470704E-2</v>
      </c>
      <c r="G406">
        <f t="shared" si="59"/>
        <v>752.52460937499995</v>
      </c>
      <c r="H406">
        <f t="shared" si="60"/>
        <v>6.7815824877470706E-3</v>
      </c>
      <c r="I406">
        <f t="shared" si="61"/>
        <v>8.7586909926591766E-3</v>
      </c>
      <c r="J406">
        <f t="shared" si="62"/>
        <v>739.70493569158373</v>
      </c>
      <c r="K406" s="5">
        <f t="shared" si="63"/>
        <v>757.62791708753616</v>
      </c>
      <c r="L406" s="5">
        <f t="shared" si="64"/>
        <v>6.7586909926591774E-3</v>
      </c>
    </row>
    <row r="407" spans="2:12">
      <c r="B407">
        <v>3.900390625</v>
      </c>
      <c r="C407">
        <v>0.65082311630249001</v>
      </c>
      <c r="D407">
        <v>37.7043828125</v>
      </c>
      <c r="E407" s="5">
        <f t="shared" si="58"/>
        <v>37704.3828125</v>
      </c>
      <c r="F407" s="5">
        <v>6.7934728576801703E-2</v>
      </c>
      <c r="G407">
        <f t="shared" si="59"/>
        <v>754.08765625000001</v>
      </c>
      <c r="H407">
        <f t="shared" si="60"/>
        <v>6.79347285768017E-3</v>
      </c>
      <c r="I407">
        <f t="shared" si="61"/>
        <v>8.7705012004800093E-3</v>
      </c>
      <c r="J407">
        <f t="shared" si="62"/>
        <v>740.99750388653456</v>
      </c>
      <c r="K407" s="5">
        <f t="shared" si="63"/>
        <v>759.21053027504604</v>
      </c>
      <c r="L407" s="5">
        <f t="shared" si="64"/>
        <v>6.7705012004800093E-3</v>
      </c>
    </row>
    <row r="408" spans="2:12">
      <c r="B408">
        <v>3.91015625</v>
      </c>
      <c r="C408">
        <v>0.65191386966034803</v>
      </c>
      <c r="D408">
        <v>37.781820312500003</v>
      </c>
      <c r="E408" s="5">
        <f t="shared" si="58"/>
        <v>37781.8203125</v>
      </c>
      <c r="F408" s="5">
        <v>6.8046450905967504E-2</v>
      </c>
      <c r="G408">
        <f t="shared" si="59"/>
        <v>755.63640625000005</v>
      </c>
      <c r="H408">
        <f t="shared" si="60"/>
        <v>6.8046450905967504E-3</v>
      </c>
      <c r="I408">
        <f t="shared" si="61"/>
        <v>8.7815979856995727E-3</v>
      </c>
      <c r="J408">
        <f t="shared" si="62"/>
        <v>742.21199154488966</v>
      </c>
      <c r="K408" s="5">
        <f t="shared" si="63"/>
        <v>760.77824381206528</v>
      </c>
      <c r="L408" s="5">
        <f t="shared" si="64"/>
        <v>6.7815979856995718E-3</v>
      </c>
    </row>
    <row r="409" spans="2:12">
      <c r="B409">
        <v>3.919921875</v>
      </c>
      <c r="C409">
        <v>0.65338017884641897</v>
      </c>
      <c r="D409">
        <v>37.852078124999998</v>
      </c>
      <c r="E409" s="5">
        <f t="shared" si="58"/>
        <v>37852.078125</v>
      </c>
      <c r="F409" s="5">
        <v>6.8260713305790005E-2</v>
      </c>
      <c r="G409">
        <f t="shared" si="59"/>
        <v>757.04156250000005</v>
      </c>
      <c r="H409">
        <f t="shared" si="60"/>
        <v>6.8260713305790003E-3</v>
      </c>
      <c r="I409">
        <f t="shared" si="61"/>
        <v>8.8028791866748297E-3</v>
      </c>
      <c r="J409">
        <f t="shared" si="62"/>
        <v>744.54111258562671</v>
      </c>
      <c r="K409" s="5">
        <f t="shared" si="63"/>
        <v>762.20918220583803</v>
      </c>
      <c r="L409" s="5">
        <f t="shared" si="64"/>
        <v>6.8028791866748296E-3</v>
      </c>
    </row>
    <row r="410" spans="2:12">
      <c r="B410">
        <v>3.9296875</v>
      </c>
      <c r="C410">
        <v>0.65546634141355797</v>
      </c>
      <c r="D410">
        <v>37.899605468750003</v>
      </c>
      <c r="E410" s="5">
        <f t="shared" si="58"/>
        <v>37899.60546875</v>
      </c>
      <c r="F410" s="5">
        <v>6.8400702730286894E-2</v>
      </c>
      <c r="G410">
        <f t="shared" si="59"/>
        <v>757.99210937500004</v>
      </c>
      <c r="H410">
        <f t="shared" si="60"/>
        <v>6.8400702730286892E-3</v>
      </c>
      <c r="I410">
        <f t="shared" si="61"/>
        <v>8.8167831225465093E-3</v>
      </c>
      <c r="J410">
        <f t="shared" si="62"/>
        <v>746.06282884710265</v>
      </c>
      <c r="K410" s="5">
        <f t="shared" si="63"/>
        <v>763.17682866952634</v>
      </c>
      <c r="L410" s="5">
        <f t="shared" si="64"/>
        <v>6.8167831225465093E-3</v>
      </c>
    </row>
    <row r="411" spans="2:12">
      <c r="B411">
        <v>3.939453125</v>
      </c>
      <c r="C411">
        <v>0.65538135822862398</v>
      </c>
      <c r="D411">
        <v>37.962406250000001</v>
      </c>
      <c r="E411" s="5">
        <f t="shared" si="58"/>
        <v>37962.40625</v>
      </c>
      <c r="F411" s="5">
        <v>6.8433480919338804E-2</v>
      </c>
      <c r="G411">
        <f t="shared" si="59"/>
        <v>759.24812499999996</v>
      </c>
      <c r="H411">
        <f t="shared" si="60"/>
        <v>6.8433480919338806E-3</v>
      </c>
      <c r="I411">
        <f t="shared" si="61"/>
        <v>8.8200386679567755E-3</v>
      </c>
      <c r="J411">
        <f t="shared" si="62"/>
        <v>746.41913201452917</v>
      </c>
      <c r="K411" s="5">
        <f t="shared" si="63"/>
        <v>764.44392420752308</v>
      </c>
      <c r="L411" s="5">
        <f t="shared" si="64"/>
        <v>6.8200386679567746E-3</v>
      </c>
    </row>
    <row r="412" spans="2:12">
      <c r="B412">
        <v>3.94921875</v>
      </c>
      <c r="C412">
        <v>0.65946578979492199</v>
      </c>
      <c r="D412">
        <v>38.053085937500001</v>
      </c>
      <c r="E412" s="5">
        <f t="shared" si="58"/>
        <v>38053.0859375</v>
      </c>
      <c r="F412" s="5">
        <v>6.8693814682774204E-2</v>
      </c>
      <c r="G412">
        <f t="shared" si="59"/>
        <v>761.06171874999995</v>
      </c>
      <c r="H412">
        <f t="shared" si="60"/>
        <v>6.8693814682774202E-3</v>
      </c>
      <c r="I412">
        <f t="shared" si="61"/>
        <v>8.8458947654654636E-3</v>
      </c>
      <c r="J412">
        <f t="shared" si="62"/>
        <v>749.24895260636765</v>
      </c>
      <c r="K412" s="5">
        <f t="shared" si="63"/>
        <v>766.28974201699657</v>
      </c>
      <c r="L412" s="5">
        <f t="shared" si="64"/>
        <v>6.8458947654654635E-3</v>
      </c>
    </row>
    <row r="413" spans="2:12">
      <c r="B413">
        <v>3.958984375</v>
      </c>
      <c r="C413">
        <v>0.66168903140351198</v>
      </c>
      <c r="D413">
        <v>38.116007812500001</v>
      </c>
      <c r="E413" s="5">
        <f t="shared" si="58"/>
        <v>38116.0078125</v>
      </c>
      <c r="F413" s="5">
        <v>6.87438005115837E-2</v>
      </c>
      <c r="G413">
        <f t="shared" si="59"/>
        <v>762.32015624999997</v>
      </c>
      <c r="H413">
        <f t="shared" si="60"/>
        <v>6.8743800511583703E-3</v>
      </c>
      <c r="I413">
        <f t="shared" si="61"/>
        <v>8.8508592331166831E-3</v>
      </c>
      <c r="J413">
        <f t="shared" si="62"/>
        <v>749.79228876845536</v>
      </c>
      <c r="K413" s="5">
        <f t="shared" si="63"/>
        <v>767.5606347247209</v>
      </c>
      <c r="L413" s="5">
        <f t="shared" si="64"/>
        <v>6.850859233116683E-3</v>
      </c>
    </row>
    <row r="414" spans="2:12">
      <c r="B414">
        <v>3.96875</v>
      </c>
      <c r="C414">
        <v>0.66238048020750295</v>
      </c>
      <c r="D414">
        <v>38.200601562499997</v>
      </c>
      <c r="E414" s="5">
        <f t="shared" si="58"/>
        <v>38200.6015625</v>
      </c>
      <c r="F414" s="5">
        <v>6.8879424361512107E-2</v>
      </c>
      <c r="G414">
        <f t="shared" si="59"/>
        <v>764.01203124999995</v>
      </c>
      <c r="H414">
        <f t="shared" si="60"/>
        <v>6.8879424361512108E-3</v>
      </c>
      <c r="I414">
        <f t="shared" si="61"/>
        <v>8.8643289309470533E-3</v>
      </c>
      <c r="J414">
        <f t="shared" si="62"/>
        <v>751.26647984750014</v>
      </c>
      <c r="K414" s="5">
        <f t="shared" si="63"/>
        <v>769.27450214177691</v>
      </c>
      <c r="L414" s="5">
        <f t="shared" si="64"/>
        <v>6.8643289309470524E-3</v>
      </c>
    </row>
    <row r="415" spans="2:12">
      <c r="B415">
        <v>3.978515625</v>
      </c>
      <c r="C415">
        <v>0.66266360227018595</v>
      </c>
      <c r="D415">
        <v>38.250113281250002</v>
      </c>
      <c r="E415" s="5">
        <f t="shared" si="58"/>
        <v>38250.11328125</v>
      </c>
      <c r="F415" s="5">
        <v>6.9044188421685193E-2</v>
      </c>
      <c r="G415">
        <f t="shared" si="59"/>
        <v>765.00226562499995</v>
      </c>
      <c r="H415">
        <f t="shared" si="60"/>
        <v>6.9044188421685197E-3</v>
      </c>
      <c r="I415">
        <f t="shared" si="61"/>
        <v>8.880692490899407E-3</v>
      </c>
      <c r="J415">
        <f t="shared" si="62"/>
        <v>753.05738966648562</v>
      </c>
      <c r="K415" s="5">
        <f t="shared" si="63"/>
        <v>770.28416168208275</v>
      </c>
      <c r="L415" s="5">
        <f t="shared" si="64"/>
        <v>6.8806924908994069E-3</v>
      </c>
    </row>
    <row r="416" spans="2:12">
      <c r="B416">
        <v>3.98828125</v>
      </c>
      <c r="C416">
        <v>0.66367833642288998</v>
      </c>
      <c r="D416">
        <v>38.314328125000003</v>
      </c>
      <c r="E416" s="5">
        <f t="shared" si="58"/>
        <v>38314.328125</v>
      </c>
      <c r="F416" s="5">
        <v>6.9098823587410194E-2</v>
      </c>
      <c r="G416">
        <f t="shared" si="59"/>
        <v>766.28656249999995</v>
      </c>
      <c r="H416">
        <f t="shared" si="60"/>
        <v>6.9098823587410195E-3</v>
      </c>
      <c r="I416">
        <f t="shared" si="61"/>
        <v>8.8861185290095204E-3</v>
      </c>
      <c r="J416">
        <f t="shared" si="62"/>
        <v>753.65124240744694</v>
      </c>
      <c r="K416" s="5">
        <f t="shared" si="63"/>
        <v>771.58151249995899</v>
      </c>
      <c r="L416" s="5">
        <f t="shared" si="64"/>
        <v>6.8861185290095203E-3</v>
      </c>
    </row>
    <row r="417" spans="2:12">
      <c r="B417">
        <v>3.998046875</v>
      </c>
      <c r="C417">
        <v>0.66619517747312795</v>
      </c>
      <c r="D417">
        <v>38.395476562500001</v>
      </c>
      <c r="E417" s="5">
        <f t="shared" si="58"/>
        <v>38395.4765625</v>
      </c>
      <c r="F417" s="5">
        <v>6.9341687776613994E-2</v>
      </c>
      <c r="G417">
        <f t="shared" si="59"/>
        <v>767.90953124999999</v>
      </c>
      <c r="H417">
        <f t="shared" si="60"/>
        <v>6.9341687776613998E-3</v>
      </c>
      <c r="I417">
        <f t="shared" si="61"/>
        <v>8.9102379923888773E-3</v>
      </c>
      <c r="J417">
        <f t="shared" si="62"/>
        <v>756.29099707700072</v>
      </c>
      <c r="K417" s="5">
        <f t="shared" si="63"/>
        <v>773.23434554566234</v>
      </c>
      <c r="L417" s="5">
        <f t="shared" si="64"/>
        <v>6.9102379923888773E-3</v>
      </c>
    </row>
    <row r="418" spans="2:12">
      <c r="B418">
        <v>4.0078125</v>
      </c>
      <c r="C418">
        <v>0.66866725683212302</v>
      </c>
      <c r="D418">
        <v>38.471175781249997</v>
      </c>
      <c r="E418" s="5">
        <f t="shared" si="58"/>
        <v>38471.17578125</v>
      </c>
      <c r="F418" s="5">
        <v>6.9518253440037397E-2</v>
      </c>
      <c r="G418">
        <f t="shared" si="59"/>
        <v>769.42351562500005</v>
      </c>
      <c r="H418">
        <f t="shared" si="60"/>
        <v>6.9518253440037396E-3</v>
      </c>
      <c r="I418">
        <f t="shared" si="61"/>
        <v>8.927772814513197E-3</v>
      </c>
      <c r="J418">
        <f t="shared" si="62"/>
        <v>758.21009568439683</v>
      </c>
      <c r="K418" s="5">
        <f t="shared" si="63"/>
        <v>774.77241352119438</v>
      </c>
      <c r="L418" s="5">
        <f t="shared" si="64"/>
        <v>6.9277728145131969E-3</v>
      </c>
    </row>
    <row r="419" spans="2:12">
      <c r="B419">
        <v>4.017578125</v>
      </c>
      <c r="C419">
        <v>0.67079812288284302</v>
      </c>
      <c r="D419">
        <v>38.563410156250001</v>
      </c>
      <c r="E419" s="5">
        <f t="shared" si="58"/>
        <v>38563.41015625</v>
      </c>
      <c r="F419" s="5">
        <v>6.9660833105444894E-2</v>
      </c>
      <c r="G419">
        <f t="shared" si="59"/>
        <v>771.26820312500001</v>
      </c>
      <c r="H419">
        <f t="shared" si="60"/>
        <v>6.9660833105444891E-3</v>
      </c>
      <c r="I419">
        <f t="shared" si="61"/>
        <v>8.9419322462156725E-3</v>
      </c>
      <c r="J419">
        <f t="shared" si="62"/>
        <v>759.75977468707413</v>
      </c>
      <c r="K419" s="5">
        <f t="shared" si="63"/>
        <v>776.64092168274271</v>
      </c>
      <c r="L419" s="5">
        <f t="shared" si="64"/>
        <v>6.9419322462156716E-3</v>
      </c>
    </row>
    <row r="420" spans="2:12">
      <c r="B420">
        <v>4.02734375</v>
      </c>
      <c r="C420">
        <v>0.67130924435332395</v>
      </c>
      <c r="D420">
        <v>38.631246093750001</v>
      </c>
      <c r="E420" s="5">
        <f t="shared" si="58"/>
        <v>38631.24609375</v>
      </c>
      <c r="F420" s="5">
        <v>6.9850939325988307E-2</v>
      </c>
      <c r="G420">
        <f t="shared" si="59"/>
        <v>772.62492187500004</v>
      </c>
      <c r="H420">
        <f t="shared" si="60"/>
        <v>6.985093932598831E-3</v>
      </c>
      <c r="I420">
        <f t="shared" si="61"/>
        <v>8.9608111766184689E-3</v>
      </c>
      <c r="J420">
        <f t="shared" si="62"/>
        <v>761.82597922500838</v>
      </c>
      <c r="K420" s="5">
        <f t="shared" si="63"/>
        <v>778.02177952896375</v>
      </c>
      <c r="L420" s="5">
        <f t="shared" si="64"/>
        <v>6.9608111766184698E-3</v>
      </c>
    </row>
    <row r="421" spans="2:12">
      <c r="B421">
        <v>4.037109375</v>
      </c>
      <c r="C421">
        <v>0.67302584648132302</v>
      </c>
      <c r="D421">
        <v>38.68721875</v>
      </c>
      <c r="E421" s="5">
        <f t="shared" si="58"/>
        <v>38687.21875</v>
      </c>
      <c r="F421" s="5">
        <v>6.9851063017267706E-2</v>
      </c>
      <c r="G421">
        <f t="shared" si="59"/>
        <v>773.74437499999999</v>
      </c>
      <c r="H421">
        <f t="shared" si="60"/>
        <v>6.9851063017267708E-3</v>
      </c>
      <c r="I421">
        <f t="shared" si="61"/>
        <v>8.9608234599461399E-3</v>
      </c>
      <c r="J421">
        <f t="shared" si="62"/>
        <v>761.8273235738053</v>
      </c>
      <c r="K421" s="5">
        <f t="shared" si="63"/>
        <v>779.14906170973813</v>
      </c>
      <c r="L421" s="5">
        <f t="shared" si="64"/>
        <v>6.9608234599461399E-3</v>
      </c>
    </row>
    <row r="422" spans="2:12">
      <c r="B422">
        <v>4.046875</v>
      </c>
      <c r="C422">
        <v>0.674706709105521</v>
      </c>
      <c r="D422">
        <v>38.751171874999997</v>
      </c>
      <c r="E422" s="5">
        <f t="shared" si="58"/>
        <v>38751.171875</v>
      </c>
      <c r="F422" s="5">
        <v>7.0046975451987195E-2</v>
      </c>
      <c r="G422">
        <f t="shared" si="59"/>
        <v>775.0234375</v>
      </c>
      <c r="H422">
        <f t="shared" si="60"/>
        <v>7.0046975451987193E-3</v>
      </c>
      <c r="I422">
        <f t="shared" si="61"/>
        <v>8.980278616506663E-3</v>
      </c>
      <c r="J422">
        <f t="shared" si="62"/>
        <v>763.95659318357161</v>
      </c>
      <c r="K422" s="5">
        <f t="shared" si="63"/>
        <v>780.45224227012773</v>
      </c>
      <c r="L422" s="5">
        <f t="shared" si="64"/>
        <v>6.980278616506662E-3</v>
      </c>
    </row>
    <row r="423" spans="2:12">
      <c r="B423">
        <v>4.056640625</v>
      </c>
      <c r="C423">
        <v>0.676359224598855</v>
      </c>
      <c r="D423">
        <v>38.817792968749998</v>
      </c>
      <c r="E423" s="5">
        <f t="shared" si="58"/>
        <v>38817.79296875</v>
      </c>
      <c r="F423" s="5">
        <v>7.0194881118368399E-2</v>
      </c>
      <c r="G423">
        <f t="shared" si="59"/>
        <v>776.35585937500002</v>
      </c>
      <c r="H423">
        <f t="shared" si="60"/>
        <v>7.0194881118368401E-3</v>
      </c>
      <c r="I423">
        <f t="shared" si="61"/>
        <v>8.9949661924987566E-3</v>
      </c>
      <c r="J423">
        <f t="shared" si="62"/>
        <v>765.56407493802647</v>
      </c>
      <c r="K423" s="5">
        <f t="shared" si="63"/>
        <v>781.80548010043776</v>
      </c>
      <c r="L423" s="5">
        <f t="shared" si="64"/>
        <v>6.9949661924987574E-3</v>
      </c>
    </row>
    <row r="424" spans="2:12">
      <c r="B424">
        <v>4.06640625</v>
      </c>
      <c r="C424">
        <v>0.67709089489653695</v>
      </c>
      <c r="D424">
        <v>38.875601562500002</v>
      </c>
      <c r="E424" s="5">
        <f t="shared" si="58"/>
        <v>38875.6015625</v>
      </c>
      <c r="F424" s="5">
        <v>7.0267436967696995E-2</v>
      </c>
      <c r="G424">
        <f t="shared" si="59"/>
        <v>777.51203124999995</v>
      </c>
      <c r="H424">
        <f t="shared" si="60"/>
        <v>7.0267436967696995E-3</v>
      </c>
      <c r="I424">
        <f t="shared" si="61"/>
        <v>9.0021711759974525E-3</v>
      </c>
      <c r="J424">
        <f t="shared" si="62"/>
        <v>766.35262435704124</v>
      </c>
      <c r="K424" s="5">
        <f t="shared" si="63"/>
        <v>782.97540901474849</v>
      </c>
      <c r="L424" s="5">
        <f t="shared" si="64"/>
        <v>7.0021711759974525E-3</v>
      </c>
    </row>
    <row r="425" spans="2:12">
      <c r="B425">
        <v>4.076171875</v>
      </c>
      <c r="C425">
        <v>0.67839177791029204</v>
      </c>
      <c r="D425">
        <v>38.928160156250001</v>
      </c>
      <c r="E425" s="5">
        <f t="shared" si="58"/>
        <v>38928.16015625</v>
      </c>
      <c r="F425" s="5">
        <v>7.0435933594126296E-2</v>
      </c>
      <c r="G425">
        <f t="shared" si="59"/>
        <v>778.56320312499997</v>
      </c>
      <c r="H425">
        <f t="shared" si="60"/>
        <v>7.0435933594126298E-3</v>
      </c>
      <c r="I425">
        <f t="shared" si="61"/>
        <v>9.0189031265488391E-3</v>
      </c>
      <c r="J425">
        <f t="shared" si="62"/>
        <v>768.18385268513771</v>
      </c>
      <c r="K425" s="5">
        <f t="shared" si="63"/>
        <v>784.04708573241419</v>
      </c>
      <c r="L425" s="5">
        <f t="shared" si="64"/>
        <v>7.0189031265488391E-3</v>
      </c>
    </row>
    <row r="426" spans="2:12">
      <c r="B426">
        <v>4.0859375</v>
      </c>
      <c r="C426">
        <v>0.68000552710145701</v>
      </c>
      <c r="D426">
        <v>38.994195312499997</v>
      </c>
      <c r="E426" s="5">
        <f t="shared" si="58"/>
        <v>38994.1953125</v>
      </c>
      <c r="F426" s="5">
        <v>7.0528942160308403E-2</v>
      </c>
      <c r="G426">
        <f t="shared" si="59"/>
        <v>779.88390625</v>
      </c>
      <c r="H426">
        <f t="shared" si="60"/>
        <v>7.0528942160308404E-3</v>
      </c>
      <c r="I426">
        <f t="shared" si="61"/>
        <v>9.0281388872739607E-3</v>
      </c>
      <c r="J426">
        <f t="shared" si="62"/>
        <v>769.19466051769848</v>
      </c>
      <c r="K426" s="5">
        <f t="shared" si="63"/>
        <v>785.38434494156616</v>
      </c>
      <c r="L426" s="5">
        <f t="shared" si="64"/>
        <v>7.0281388872739598E-3</v>
      </c>
    </row>
    <row r="427" spans="2:12">
      <c r="B427">
        <v>4.095703125</v>
      </c>
      <c r="C427">
        <v>0.68289041519164995</v>
      </c>
      <c r="D427">
        <v>39.076027343749999</v>
      </c>
      <c r="E427" s="5">
        <f t="shared" si="58"/>
        <v>39076.02734375</v>
      </c>
      <c r="F427" s="5">
        <v>7.0740112278144807E-2</v>
      </c>
      <c r="G427">
        <f t="shared" si="59"/>
        <v>781.52054687500004</v>
      </c>
      <c r="H427">
        <f t="shared" si="60"/>
        <v>7.0740112278144807E-3</v>
      </c>
      <c r="I427">
        <f t="shared" si="61"/>
        <v>9.0491077862319587E-3</v>
      </c>
      <c r="J427">
        <f t="shared" si="62"/>
        <v>771.48960166415657</v>
      </c>
      <c r="K427" s="5">
        <f t="shared" si="63"/>
        <v>787.04903199836156</v>
      </c>
      <c r="L427" s="5">
        <f t="shared" si="64"/>
        <v>7.0491077862319578E-3</v>
      </c>
    </row>
    <row r="428" spans="2:12">
      <c r="B428">
        <v>4.10546875</v>
      </c>
      <c r="C428">
        <v>0.68414211273193404</v>
      </c>
      <c r="D428">
        <v>39.141867187499997</v>
      </c>
      <c r="E428" s="5">
        <f t="shared" si="58"/>
        <v>39141.8671875</v>
      </c>
      <c r="F428" s="5">
        <v>7.0793059421703206E-2</v>
      </c>
      <c r="G428">
        <f t="shared" si="59"/>
        <v>782.83734374999995</v>
      </c>
      <c r="H428">
        <f t="shared" si="60"/>
        <v>7.0793059421703202E-3</v>
      </c>
      <c r="I428">
        <f t="shared" si="61"/>
        <v>9.0543652949932989E-3</v>
      </c>
      <c r="J428">
        <f t="shared" si="62"/>
        <v>772.06500971054163</v>
      </c>
      <c r="K428" s="5">
        <f t="shared" si="63"/>
        <v>788.37928880936215</v>
      </c>
      <c r="L428" s="5">
        <f t="shared" si="64"/>
        <v>7.0543652949932997E-3</v>
      </c>
    </row>
    <row r="429" spans="2:12">
      <c r="B429">
        <v>4.115234375</v>
      </c>
      <c r="C429">
        <v>0.68539381027221702</v>
      </c>
      <c r="D429">
        <v>39.197039062499996</v>
      </c>
      <c r="E429" s="5">
        <f t="shared" si="58"/>
        <v>39197.0390625</v>
      </c>
      <c r="F429" s="5">
        <v>7.0965994382277103E-2</v>
      </c>
      <c r="G429">
        <f t="shared" si="59"/>
        <v>783.94078124999999</v>
      </c>
      <c r="H429">
        <f t="shared" si="60"/>
        <v>7.0965994382277105E-3</v>
      </c>
      <c r="I429">
        <f t="shared" si="61"/>
        <v>9.0715370782636882E-3</v>
      </c>
      <c r="J429">
        <f t="shared" si="62"/>
        <v>773.94437553056946</v>
      </c>
      <c r="K429" s="5">
        <f t="shared" si="63"/>
        <v>789.50409495782253</v>
      </c>
      <c r="L429" s="5">
        <f t="shared" si="64"/>
        <v>7.0715370782636891E-3</v>
      </c>
    </row>
    <row r="430" spans="2:12">
      <c r="B430">
        <v>4.125</v>
      </c>
      <c r="C430">
        <v>0.68713130895048402</v>
      </c>
      <c r="D430">
        <v>39.265238281249999</v>
      </c>
      <c r="E430" s="5">
        <f t="shared" si="58"/>
        <v>39265.23828125</v>
      </c>
      <c r="F430" s="5">
        <v>7.1077673055697205E-2</v>
      </c>
      <c r="G430">
        <f t="shared" si="59"/>
        <v>785.30476562499996</v>
      </c>
      <c r="H430">
        <f t="shared" si="60"/>
        <v>7.1077673055697206E-3</v>
      </c>
      <c r="I430">
        <f t="shared" si="61"/>
        <v>9.082626188709992E-3</v>
      </c>
      <c r="J430">
        <f t="shared" si="62"/>
        <v>775.15802322336515</v>
      </c>
      <c r="K430" s="5">
        <f t="shared" si="63"/>
        <v>790.88652916301737</v>
      </c>
      <c r="L430" s="5">
        <f t="shared" si="64"/>
        <v>7.0826261887099928E-3</v>
      </c>
    </row>
    <row r="431" spans="2:12">
      <c r="B431">
        <v>4.134765625</v>
      </c>
      <c r="C431">
        <v>0.68832188844680797</v>
      </c>
      <c r="D431">
        <v>39.327937499999997</v>
      </c>
      <c r="E431" s="5">
        <f t="shared" si="58"/>
        <v>39327.9375</v>
      </c>
      <c r="F431" s="5">
        <v>7.1219707024283693E-2</v>
      </c>
      <c r="G431">
        <f t="shared" si="59"/>
        <v>786.55875000000003</v>
      </c>
      <c r="H431">
        <f t="shared" si="60"/>
        <v>7.121970702428369E-3</v>
      </c>
      <c r="I431">
        <f t="shared" si="61"/>
        <v>9.0967292441766733E-3</v>
      </c>
      <c r="J431">
        <f t="shared" si="62"/>
        <v>776.70153212891614</v>
      </c>
      <c r="K431" s="5">
        <f t="shared" si="63"/>
        <v>792.16059837323871</v>
      </c>
      <c r="L431" s="5">
        <f t="shared" si="64"/>
        <v>7.0967292441766741E-3</v>
      </c>
    </row>
    <row r="432" spans="2:12">
      <c r="B432">
        <v>4.14453125</v>
      </c>
      <c r="C432">
        <v>0.68986119003966495</v>
      </c>
      <c r="D432">
        <v>39.407132812500002</v>
      </c>
      <c r="E432" s="5">
        <f t="shared" si="58"/>
        <v>39407.1328125</v>
      </c>
      <c r="F432" s="5">
        <v>7.1452283009421094E-2</v>
      </c>
      <c r="G432">
        <f t="shared" si="59"/>
        <v>788.14265624999996</v>
      </c>
      <c r="H432">
        <f t="shared" si="60"/>
        <v>7.1452283009421098E-3</v>
      </c>
      <c r="I432">
        <f t="shared" si="61"/>
        <v>9.1198221074534798E-3</v>
      </c>
      <c r="J432">
        <f t="shared" si="62"/>
        <v>779.22893055024622</v>
      </c>
      <c r="K432" s="5">
        <f t="shared" si="63"/>
        <v>793.77411546261715</v>
      </c>
      <c r="L432" s="5">
        <f t="shared" si="64"/>
        <v>7.1198221074534806E-3</v>
      </c>
    </row>
    <row r="433" spans="2:12">
      <c r="B433">
        <v>4.154296875</v>
      </c>
      <c r="C433">
        <v>0.69212616654112902</v>
      </c>
      <c r="D433">
        <v>39.495527343749998</v>
      </c>
      <c r="E433" s="5">
        <f t="shared" si="58"/>
        <v>39495.52734375</v>
      </c>
      <c r="F433" s="5">
        <v>7.1566209953744006E-2</v>
      </c>
      <c r="G433">
        <f t="shared" si="59"/>
        <v>789.91054687500002</v>
      </c>
      <c r="H433">
        <f t="shared" si="60"/>
        <v>7.1566209953744008E-3</v>
      </c>
      <c r="I433">
        <f t="shared" si="61"/>
        <v>9.1311339120237738E-3</v>
      </c>
      <c r="J433">
        <f t="shared" si="62"/>
        <v>780.46695100144188</v>
      </c>
      <c r="K433" s="5">
        <f t="shared" si="63"/>
        <v>795.56363727923338</v>
      </c>
      <c r="L433" s="5">
        <f t="shared" si="64"/>
        <v>7.1311339120237738E-3</v>
      </c>
    </row>
    <row r="434" spans="2:12">
      <c r="B434">
        <v>4.1640625</v>
      </c>
      <c r="C434">
        <v>0.69312303094193295</v>
      </c>
      <c r="D434">
        <v>39.553523437499997</v>
      </c>
      <c r="E434" s="5">
        <f t="shared" si="58"/>
        <v>39553.5234375</v>
      </c>
      <c r="F434" s="5">
        <v>7.1730995841790005E-2</v>
      </c>
      <c r="G434">
        <f t="shared" si="59"/>
        <v>791.07046875000003</v>
      </c>
      <c r="H434">
        <f t="shared" si="60"/>
        <v>7.1730995841790008E-3</v>
      </c>
      <c r="I434">
        <f t="shared" si="61"/>
        <v>9.1474952739563457E-3</v>
      </c>
      <c r="J434">
        <f t="shared" si="62"/>
        <v>782.25762025815231</v>
      </c>
      <c r="K434" s="5">
        <f t="shared" si="63"/>
        <v>796.74489600044694</v>
      </c>
      <c r="L434" s="5">
        <f t="shared" si="64"/>
        <v>7.1474952739563466E-3</v>
      </c>
    </row>
    <row r="435" spans="2:12">
      <c r="B435">
        <v>4.173828125</v>
      </c>
      <c r="C435">
        <v>0.69519132375717196</v>
      </c>
      <c r="D435">
        <v>39.63661328125</v>
      </c>
      <c r="E435" s="5">
        <f t="shared" si="58"/>
        <v>39636.61328125</v>
      </c>
      <c r="F435" s="5">
        <v>7.19020972610451E-2</v>
      </c>
      <c r="G435">
        <f t="shared" si="59"/>
        <v>792.73226562499997</v>
      </c>
      <c r="H435">
        <f t="shared" si="60"/>
        <v>7.1902097261045102E-3</v>
      </c>
      <c r="I435">
        <f t="shared" si="61"/>
        <v>9.1644834129348957E-3</v>
      </c>
      <c r="J435">
        <f t="shared" si="62"/>
        <v>784.11688712865953</v>
      </c>
      <c r="K435" s="5">
        <f t="shared" si="63"/>
        <v>798.43217687149365</v>
      </c>
      <c r="L435" s="5">
        <f t="shared" si="64"/>
        <v>7.1644834129348947E-3</v>
      </c>
    </row>
    <row r="436" spans="2:12">
      <c r="B436">
        <v>4.18359375</v>
      </c>
      <c r="C436">
        <v>0.69711654214188501</v>
      </c>
      <c r="D436">
        <v>39.683410156249998</v>
      </c>
      <c r="E436" s="5">
        <f t="shared" si="58"/>
        <v>39683.41015625</v>
      </c>
      <c r="F436" s="5">
        <v>7.20037205610424E-2</v>
      </c>
      <c r="G436">
        <f t="shared" si="59"/>
        <v>793.66820312499999</v>
      </c>
      <c r="H436">
        <f t="shared" si="60"/>
        <v>7.2003720561042402E-3</v>
      </c>
      <c r="I436">
        <f t="shared" si="61"/>
        <v>9.1745731443819353E-3</v>
      </c>
      <c r="J436">
        <f t="shared" si="62"/>
        <v>785.22115778688101</v>
      </c>
      <c r="K436" s="5">
        <f t="shared" si="63"/>
        <v>799.38290947659971</v>
      </c>
      <c r="L436" s="5">
        <f t="shared" si="64"/>
        <v>7.1745731443819362E-3</v>
      </c>
    </row>
    <row r="437" spans="2:12">
      <c r="B437">
        <v>4.193359375</v>
      </c>
      <c r="C437">
        <v>0.69813133450224996</v>
      </c>
      <c r="D437">
        <v>39.748347656249997</v>
      </c>
      <c r="E437" s="5">
        <f t="shared" si="58"/>
        <v>39748.34765625</v>
      </c>
      <c r="F437" s="5">
        <v>7.2140741394832703E-2</v>
      </c>
      <c r="G437">
        <f t="shared" si="59"/>
        <v>794.96695312500003</v>
      </c>
      <c r="H437">
        <f t="shared" si="60"/>
        <v>7.2140741394832704E-3</v>
      </c>
      <c r="I437">
        <f t="shared" si="61"/>
        <v>9.1881771804382881E-3</v>
      </c>
      <c r="J437">
        <f t="shared" si="62"/>
        <v>786.71005151306849</v>
      </c>
      <c r="K437" s="5">
        <f t="shared" si="63"/>
        <v>800.70190366328291</v>
      </c>
      <c r="L437" s="5">
        <f t="shared" si="64"/>
        <v>7.1881771804382889E-3</v>
      </c>
    </row>
    <row r="438" spans="2:12">
      <c r="B438">
        <v>4.203125</v>
      </c>
      <c r="C438">
        <v>0.69806724786758401</v>
      </c>
      <c r="D438">
        <v>39.824179687499999</v>
      </c>
      <c r="E438" s="5">
        <f t="shared" si="58"/>
        <v>39824.1796875</v>
      </c>
      <c r="F438" s="5">
        <v>7.2279341111425296E-2</v>
      </c>
      <c r="G438">
        <f t="shared" si="59"/>
        <v>796.48359374999995</v>
      </c>
      <c r="H438">
        <f t="shared" si="60"/>
        <v>7.2279341111425293E-3</v>
      </c>
      <c r="I438">
        <f t="shared" si="61"/>
        <v>9.2019377867031613E-3</v>
      </c>
      <c r="J438">
        <f t="shared" si="62"/>
        <v>788.21608106572739</v>
      </c>
      <c r="K438" s="5">
        <f t="shared" si="63"/>
        <v>802.24052468623097</v>
      </c>
      <c r="L438" s="5">
        <f t="shared" si="64"/>
        <v>7.2019377867031604E-3</v>
      </c>
    </row>
    <row r="439" spans="2:12">
      <c r="B439">
        <v>4.212890625</v>
      </c>
      <c r="C439">
        <v>0.702160585206002</v>
      </c>
      <c r="D439">
        <v>39.911468749999997</v>
      </c>
      <c r="E439" s="5">
        <f t="shared" si="58"/>
        <v>39911.46875</v>
      </c>
      <c r="F439" s="5">
        <v>7.2445378464181004E-2</v>
      </c>
      <c r="G439">
        <f t="shared" si="59"/>
        <v>798.229375</v>
      </c>
      <c r="H439">
        <f t="shared" si="60"/>
        <v>7.2445378464181002E-3</v>
      </c>
      <c r="I439">
        <f t="shared" si="61"/>
        <v>9.2184222366096004E-3</v>
      </c>
      <c r="J439">
        <f t="shared" si="62"/>
        <v>790.02022168573762</v>
      </c>
      <c r="K439" s="5">
        <f t="shared" si="63"/>
        <v>804.01217791731017</v>
      </c>
      <c r="L439" s="5">
        <f t="shared" si="64"/>
        <v>7.2184222366095995E-3</v>
      </c>
    </row>
    <row r="440" spans="2:12">
      <c r="B440">
        <v>4.22265625</v>
      </c>
      <c r="C440">
        <v>0.70374907227233097</v>
      </c>
      <c r="D440">
        <v>39.989085937500001</v>
      </c>
      <c r="E440" s="5">
        <f t="shared" si="58"/>
        <v>39989.0859375</v>
      </c>
      <c r="F440" s="5">
        <v>7.2615097451489405E-2</v>
      </c>
      <c r="G440">
        <f t="shared" si="59"/>
        <v>799.78171874999998</v>
      </c>
      <c r="H440">
        <f t="shared" si="60"/>
        <v>7.2615097451489401E-3</v>
      </c>
      <c r="I440">
        <f t="shared" si="61"/>
        <v>9.2352719241561194E-3</v>
      </c>
      <c r="J440">
        <f t="shared" si="62"/>
        <v>791.86433573926638</v>
      </c>
      <c r="K440" s="5">
        <f t="shared" si="63"/>
        <v>805.58934149469508</v>
      </c>
      <c r="L440" s="5">
        <f t="shared" si="64"/>
        <v>7.2352719241561185E-3</v>
      </c>
    </row>
    <row r="441" spans="2:12">
      <c r="B441">
        <v>4.232421875</v>
      </c>
      <c r="C441">
        <v>0.70660264464095202</v>
      </c>
      <c r="D441">
        <v>40.048312500000002</v>
      </c>
      <c r="E441" s="5">
        <f t="shared" si="58"/>
        <v>40048.3125</v>
      </c>
      <c r="F441" s="5">
        <v>7.2778238973114598E-2</v>
      </c>
      <c r="G441">
        <f t="shared" si="59"/>
        <v>800.96624999999995</v>
      </c>
      <c r="H441">
        <f t="shared" si="60"/>
        <v>7.2778238973114596E-3</v>
      </c>
      <c r="I441">
        <f t="shared" si="61"/>
        <v>9.2514683338170631E-3</v>
      </c>
      <c r="J441">
        <f t="shared" si="62"/>
        <v>793.63695179460842</v>
      </c>
      <c r="K441" s="5">
        <f t="shared" si="63"/>
        <v>806.79554131518989</v>
      </c>
      <c r="L441" s="5">
        <f t="shared" si="64"/>
        <v>7.2514683338170622E-3</v>
      </c>
    </row>
    <row r="442" spans="2:12">
      <c r="B442">
        <v>4.2421875</v>
      </c>
      <c r="C442">
        <v>0.70649979170411803</v>
      </c>
      <c r="D442">
        <v>40.134292968750003</v>
      </c>
      <c r="E442" s="5">
        <f t="shared" si="58"/>
        <v>40134.29296875</v>
      </c>
      <c r="F442" s="5">
        <v>7.2920280217658701E-2</v>
      </c>
      <c r="G442">
        <f t="shared" si="59"/>
        <v>802.68585937499995</v>
      </c>
      <c r="H442">
        <f t="shared" si="60"/>
        <v>7.2920280217658702E-3</v>
      </c>
      <c r="I442">
        <f t="shared" si="61"/>
        <v>9.2655697306399248E-3</v>
      </c>
      <c r="J442">
        <f t="shared" si="62"/>
        <v>795.18027916988672</v>
      </c>
      <c r="K442" s="5">
        <f t="shared" si="63"/>
        <v>808.53906715423761</v>
      </c>
      <c r="L442" s="5">
        <f t="shared" si="64"/>
        <v>7.2655697306399257E-3</v>
      </c>
    </row>
    <row r="443" spans="2:12">
      <c r="B443">
        <v>4.251953125</v>
      </c>
      <c r="C443">
        <v>0.71031751576811097</v>
      </c>
      <c r="D443">
        <v>40.197449218750002</v>
      </c>
      <c r="E443" s="5">
        <f t="shared" si="58"/>
        <v>40197.44921875</v>
      </c>
      <c r="F443" s="5">
        <v>7.3063682066276697E-2</v>
      </c>
      <c r="G443">
        <f t="shared" si="59"/>
        <v>803.94898437500001</v>
      </c>
      <c r="H443">
        <f t="shared" si="60"/>
        <v>7.3063682066276696E-3</v>
      </c>
      <c r="I443">
        <f t="shared" si="61"/>
        <v>9.2798060021359059E-3</v>
      </c>
      <c r="J443">
        <f t="shared" si="62"/>
        <v>796.73836790376424</v>
      </c>
      <c r="K443" s="5">
        <f t="shared" si="63"/>
        <v>809.82293167418811</v>
      </c>
      <c r="L443" s="5">
        <f t="shared" si="64"/>
        <v>7.2798060021359058E-3</v>
      </c>
    </row>
    <row r="444" spans="2:12">
      <c r="B444">
        <v>4.26171875</v>
      </c>
      <c r="C444">
        <v>0.70978852454572905</v>
      </c>
      <c r="D444">
        <v>40.237839843750002</v>
      </c>
      <c r="E444" s="5">
        <f t="shared" si="58"/>
        <v>40237.83984375</v>
      </c>
      <c r="F444" s="5">
        <v>7.3276190960314097E-2</v>
      </c>
      <c r="G444">
        <f t="shared" si="59"/>
        <v>804.75679687499996</v>
      </c>
      <c r="H444">
        <f t="shared" si="60"/>
        <v>7.3276190960314099E-3</v>
      </c>
      <c r="I444">
        <f t="shared" si="61"/>
        <v>9.3009025283917607E-3</v>
      </c>
      <c r="J444">
        <f t="shared" si="62"/>
        <v>799.04727721983613</v>
      </c>
      <c r="K444" s="5">
        <f t="shared" si="63"/>
        <v>810.65374814744223</v>
      </c>
      <c r="L444" s="5">
        <f t="shared" si="64"/>
        <v>7.3009025283917598E-3</v>
      </c>
    </row>
    <row r="445" spans="2:12">
      <c r="B445">
        <v>4.271484375</v>
      </c>
      <c r="C445">
        <v>0.71325746830552805</v>
      </c>
      <c r="D445">
        <v>40.31371875</v>
      </c>
      <c r="E445" s="5">
        <f t="shared" si="58"/>
        <v>40313.71875</v>
      </c>
      <c r="F445" s="5">
        <v>7.3320254159625606E-2</v>
      </c>
      <c r="G445">
        <f t="shared" si="59"/>
        <v>806.27437499999996</v>
      </c>
      <c r="H445">
        <f t="shared" si="60"/>
        <v>7.3320254159625602E-3</v>
      </c>
      <c r="I445">
        <f t="shared" si="61"/>
        <v>9.3052767857936588E-3</v>
      </c>
      <c r="J445">
        <f t="shared" si="62"/>
        <v>799.526017821187</v>
      </c>
      <c r="K445" s="5">
        <f t="shared" si="63"/>
        <v>812.18599920973929</v>
      </c>
      <c r="L445" s="5">
        <f t="shared" si="64"/>
        <v>7.3052767857936587E-3</v>
      </c>
    </row>
    <row r="446" spans="2:12">
      <c r="B446">
        <v>4.28125</v>
      </c>
      <c r="C446">
        <v>0.71331113576889005</v>
      </c>
      <c r="D446">
        <v>40.378613281249997</v>
      </c>
      <c r="E446" s="5">
        <f t="shared" si="58"/>
        <v>40378.61328125</v>
      </c>
      <c r="F446" s="5">
        <v>7.3518567660357803E-2</v>
      </c>
      <c r="G446">
        <f t="shared" si="59"/>
        <v>807.572265625</v>
      </c>
      <c r="H446">
        <f t="shared" si="60"/>
        <v>7.3518567660357803E-3</v>
      </c>
      <c r="I446">
        <f t="shared" si="61"/>
        <v>9.3249635964633114E-3</v>
      </c>
      <c r="J446">
        <f t="shared" si="62"/>
        <v>801.68064081492707</v>
      </c>
      <c r="K446" s="5">
        <f t="shared" si="63"/>
        <v>813.50942125009806</v>
      </c>
      <c r="L446" s="5">
        <f t="shared" si="64"/>
        <v>7.3249635964633113E-3</v>
      </c>
    </row>
    <row r="447" spans="2:12">
      <c r="B447">
        <v>4.291015625</v>
      </c>
      <c r="C447">
        <v>0.71422010660171498</v>
      </c>
      <c r="D447">
        <v>40.435277343750002</v>
      </c>
      <c r="E447" s="5">
        <f t="shared" si="58"/>
        <v>40435.27734375</v>
      </c>
      <c r="F447" s="5">
        <v>7.3618211899884003E-2</v>
      </c>
      <c r="G447">
        <f t="shared" si="59"/>
        <v>808.70554687499998</v>
      </c>
      <c r="H447">
        <f t="shared" si="60"/>
        <v>7.3618211899884002E-3</v>
      </c>
      <c r="I447">
        <f t="shared" si="61"/>
        <v>9.3348552491201928E-3</v>
      </c>
      <c r="J447">
        <f t="shared" si="62"/>
        <v>802.76323273995956</v>
      </c>
      <c r="K447" s="5">
        <f t="shared" si="63"/>
        <v>814.65909250644552</v>
      </c>
      <c r="L447" s="5">
        <f t="shared" si="64"/>
        <v>7.3348552491201936E-3</v>
      </c>
    </row>
    <row r="448" spans="2:12">
      <c r="B448">
        <v>4.30078125</v>
      </c>
      <c r="C448">
        <v>0.716637063305825</v>
      </c>
      <c r="D448">
        <v>40.493941406250002</v>
      </c>
      <c r="E448" s="5">
        <f t="shared" si="58"/>
        <v>40493.94140625</v>
      </c>
      <c r="F448" s="5">
        <v>7.3733754106797306E-2</v>
      </c>
      <c r="G448">
        <f t="shared" si="59"/>
        <v>809.87882812500004</v>
      </c>
      <c r="H448">
        <f t="shared" si="60"/>
        <v>7.3733754106797304E-3</v>
      </c>
      <c r="I448">
        <f t="shared" si="61"/>
        <v>9.3463249655483822E-3</v>
      </c>
      <c r="J448">
        <f t="shared" si="62"/>
        <v>804.01853585444269</v>
      </c>
      <c r="K448" s="5">
        <f t="shared" si="63"/>
        <v>815.85036876192703</v>
      </c>
      <c r="L448" s="5">
        <f t="shared" si="64"/>
        <v>7.3463249655483821E-3</v>
      </c>
    </row>
    <row r="449" spans="2:12">
      <c r="B449">
        <v>4.310546875</v>
      </c>
      <c r="C449">
        <v>0.71838346775621198</v>
      </c>
      <c r="D449">
        <v>40.57620703125</v>
      </c>
      <c r="E449" s="5">
        <f t="shared" si="58"/>
        <v>40576.20703125</v>
      </c>
      <c r="F449" s="5">
        <v>7.3929724749177694E-2</v>
      </c>
      <c r="G449">
        <f t="shared" si="59"/>
        <v>811.52414062499997</v>
      </c>
      <c r="H449">
        <f t="shared" si="60"/>
        <v>7.3929724749177694E-3</v>
      </c>
      <c r="I449">
        <f t="shared" si="61"/>
        <v>9.3657784016842657E-3</v>
      </c>
      <c r="J449">
        <f t="shared" si="62"/>
        <v>806.14761717233444</v>
      </c>
      <c r="K449" s="5">
        <f t="shared" si="63"/>
        <v>817.52371625937189</v>
      </c>
      <c r="L449" s="5">
        <f t="shared" si="64"/>
        <v>7.3657784016842656E-3</v>
      </c>
    </row>
    <row r="450" spans="2:12">
      <c r="B450">
        <v>4.3203125</v>
      </c>
      <c r="C450">
        <v>0.71933714207261801</v>
      </c>
      <c r="D450">
        <v>40.621042968749997</v>
      </c>
      <c r="E450" s="5">
        <f t="shared" si="58"/>
        <v>40621.04296875</v>
      </c>
      <c r="F450" s="5">
        <v>7.3999726737383795E-2</v>
      </c>
      <c r="G450">
        <f t="shared" si="59"/>
        <v>812.42085937499996</v>
      </c>
      <c r="H450">
        <f t="shared" si="60"/>
        <v>7.3999726737383796E-3</v>
      </c>
      <c r="I450">
        <f t="shared" si="61"/>
        <v>9.3727272038800352E-3</v>
      </c>
      <c r="J450">
        <f t="shared" si="62"/>
        <v>806.90812882865032</v>
      </c>
      <c r="K450" s="5">
        <f t="shared" si="63"/>
        <v>818.43275153394995</v>
      </c>
      <c r="L450" s="5">
        <f t="shared" si="64"/>
        <v>7.3727272038800343E-3</v>
      </c>
    </row>
    <row r="451" spans="2:12">
      <c r="B451">
        <v>4.330078125</v>
      </c>
      <c r="C451">
        <v>0.72053523035720002</v>
      </c>
      <c r="D451">
        <v>40.710457031250002</v>
      </c>
      <c r="E451" s="5">
        <f t="shared" si="58"/>
        <v>40710.45703125</v>
      </c>
      <c r="F451" s="5">
        <v>7.4237199441995499E-2</v>
      </c>
      <c r="G451">
        <f t="shared" si="59"/>
        <v>814.20914062500003</v>
      </c>
      <c r="H451">
        <f t="shared" si="60"/>
        <v>7.4237199441995498E-3</v>
      </c>
      <c r="I451">
        <f t="shared" si="61"/>
        <v>9.3962997581926305E-3</v>
      </c>
      <c r="J451">
        <f t="shared" si="62"/>
        <v>809.48802703539241</v>
      </c>
      <c r="K451" s="5">
        <f t="shared" si="63"/>
        <v>820.25360126100747</v>
      </c>
      <c r="L451" s="5">
        <f t="shared" si="64"/>
        <v>7.3962997581926305E-3</v>
      </c>
    </row>
    <row r="452" spans="2:12">
      <c r="B452">
        <v>4.33984375</v>
      </c>
      <c r="C452">
        <v>0.72263029869645801</v>
      </c>
      <c r="D452">
        <v>40.787800781249999</v>
      </c>
      <c r="E452" s="5">
        <f t="shared" si="58"/>
        <v>40787.80078125</v>
      </c>
      <c r="F452" s="5">
        <v>7.4363946623634505E-2</v>
      </c>
      <c r="G452">
        <f t="shared" si="59"/>
        <v>815.75601562500003</v>
      </c>
      <c r="H452">
        <f t="shared" si="60"/>
        <v>7.4363946623634504E-3</v>
      </c>
      <c r="I452">
        <f t="shared" si="61"/>
        <v>9.4088809970311882E-3</v>
      </c>
      <c r="J452">
        <f t="shared" si="62"/>
        <v>810.86498072007839</v>
      </c>
      <c r="K452" s="5">
        <f t="shared" si="63"/>
        <v>821.82229930538472</v>
      </c>
      <c r="L452" s="5">
        <f t="shared" si="64"/>
        <v>7.4088809970311881E-3</v>
      </c>
    </row>
    <row r="453" spans="2:12">
      <c r="B453">
        <v>4.349609375</v>
      </c>
      <c r="C453">
        <v>0.72431861190125302</v>
      </c>
      <c r="D453">
        <v>40.873621093750003</v>
      </c>
      <c r="E453" s="5">
        <f t="shared" si="58"/>
        <v>40873.62109375</v>
      </c>
      <c r="F453" s="5">
        <v>7.4566029070410905E-2</v>
      </c>
      <c r="G453">
        <f t="shared" si="59"/>
        <v>817.47242187500001</v>
      </c>
      <c r="H453">
        <f t="shared" si="60"/>
        <v>7.4566029070410903E-3</v>
      </c>
      <c r="I453">
        <f t="shared" si="61"/>
        <v>9.4289398733116547E-3</v>
      </c>
      <c r="J453">
        <f t="shared" si="62"/>
        <v>813.06032443459401</v>
      </c>
      <c r="K453" s="5">
        <f t="shared" si="63"/>
        <v>823.56798911237911</v>
      </c>
      <c r="L453" s="5">
        <f t="shared" si="64"/>
        <v>7.4289398733116546E-3</v>
      </c>
    </row>
    <row r="454" spans="2:12">
      <c r="B454">
        <v>4.359375</v>
      </c>
      <c r="C454">
        <v>0.72704849299043395</v>
      </c>
      <c r="D454">
        <v>40.935503906249998</v>
      </c>
      <c r="E454" s="5">
        <f t="shared" si="58"/>
        <v>40935.50390625</v>
      </c>
      <c r="F454" s="5">
        <v>7.4685747676994693E-2</v>
      </c>
      <c r="G454">
        <f t="shared" si="59"/>
        <v>818.710078125</v>
      </c>
      <c r="H454">
        <f t="shared" si="60"/>
        <v>7.4685747676994695E-3</v>
      </c>
      <c r="I454">
        <f t="shared" si="61"/>
        <v>9.4408230546735895E-3</v>
      </c>
      <c r="J454">
        <f t="shared" si="62"/>
        <v>814.36087921875094</v>
      </c>
      <c r="K454" s="5">
        <f t="shared" si="63"/>
        <v>824.82467555654557</v>
      </c>
      <c r="L454" s="5">
        <f t="shared" si="64"/>
        <v>7.4408230546735886E-3</v>
      </c>
    </row>
    <row r="455" spans="2:12">
      <c r="B455">
        <v>4.369140625</v>
      </c>
      <c r="C455">
        <v>0.72629901114851203</v>
      </c>
      <c r="D455">
        <v>40.985371093749997</v>
      </c>
      <c r="E455" s="5">
        <f t="shared" si="58"/>
        <v>40985.37109375</v>
      </c>
      <c r="F455" s="5">
        <v>7.4826384661719203E-2</v>
      </c>
      <c r="G455">
        <f t="shared" si="59"/>
        <v>819.70742187500002</v>
      </c>
      <c r="H455">
        <f t="shared" si="60"/>
        <v>7.4826384661719203E-3</v>
      </c>
      <c r="I455">
        <f t="shared" si="61"/>
        <v>9.4547823985825785E-3</v>
      </c>
      <c r="J455">
        <f t="shared" si="62"/>
        <v>815.88865961287024</v>
      </c>
      <c r="K455" s="5">
        <f t="shared" si="63"/>
        <v>825.84099616092851</v>
      </c>
      <c r="L455" s="5">
        <f t="shared" si="64"/>
        <v>7.4547823985825776E-3</v>
      </c>
    </row>
    <row r="456" spans="2:12">
      <c r="B456">
        <v>4.37890625</v>
      </c>
      <c r="C456">
        <v>0.73020457057282295</v>
      </c>
      <c r="D456">
        <v>41.056070312499997</v>
      </c>
      <c r="E456" s="5">
        <f t="shared" si="58"/>
        <v>41056.0703125</v>
      </c>
      <c r="F456" s="5">
        <v>7.5051793828606606E-2</v>
      </c>
      <c r="G456">
        <f t="shared" si="59"/>
        <v>821.12140624999995</v>
      </c>
      <c r="H456">
        <f t="shared" si="60"/>
        <v>7.5051793828606606E-3</v>
      </c>
      <c r="I456">
        <f t="shared" si="61"/>
        <v>9.4771556521476962E-3</v>
      </c>
      <c r="J456">
        <f t="shared" si="62"/>
        <v>818.33730034930466</v>
      </c>
      <c r="K456" s="5">
        <f t="shared" si="63"/>
        <v>827.284069699013</v>
      </c>
      <c r="L456" s="5">
        <f t="shared" si="64"/>
        <v>7.4771556521476962E-3</v>
      </c>
    </row>
    <row r="457" spans="2:12">
      <c r="B457">
        <v>4.388671875</v>
      </c>
      <c r="C457">
        <v>0.73105545016005602</v>
      </c>
      <c r="D457">
        <v>41.113679687500003</v>
      </c>
      <c r="E457" s="5">
        <f t="shared" ref="E457:E520" si="65" xml:space="preserve"> D457*R$3</f>
        <v>41113.6796875</v>
      </c>
      <c r="F457" s="5">
        <v>7.5194853707216694E-2</v>
      </c>
      <c r="G457">
        <f t="shared" ref="G457:G520" si="66" xml:space="preserve"> E457/C$3</f>
        <v>822.27359375000003</v>
      </c>
      <c r="H457">
        <f t="shared" ref="H457:H520" si="67" xml:space="preserve"> F457/C$4</f>
        <v>7.5194853707216697E-3</v>
      </c>
      <c r="I457">
        <f t="shared" ref="I457:I520" si="68">L457+0.002</f>
        <v>9.4913549700136116E-3</v>
      </c>
      <c r="J457">
        <f t="shared" ref="J457:J520" si="69">L457*G$2</f>
        <v>819.89134469313967</v>
      </c>
      <c r="K457" s="5">
        <f t="shared" ref="K457:K520" si="70" xml:space="preserve"> G457 * (1 + H457)</f>
        <v>828.45666800893389</v>
      </c>
      <c r="L457" s="5">
        <f t="shared" ref="L457:L520" si="71">LN(1 + H457)</f>
        <v>7.4913549700136115E-3</v>
      </c>
    </row>
    <row r="458" spans="2:12">
      <c r="B458">
        <v>4.3984375</v>
      </c>
      <c r="C458">
        <v>0.73231011629104603</v>
      </c>
      <c r="D458">
        <v>41.177921875000003</v>
      </c>
      <c r="E458" s="5">
        <f t="shared" si="65"/>
        <v>41177.921875</v>
      </c>
      <c r="F458" s="5">
        <v>7.5366617238614694E-2</v>
      </c>
      <c r="G458">
        <f t="shared" si="66"/>
        <v>823.55843749999997</v>
      </c>
      <c r="H458">
        <f t="shared" si="67"/>
        <v>7.5366617238614691E-3</v>
      </c>
      <c r="I458">
        <f t="shared" si="68"/>
        <v>9.5084029844473388E-3</v>
      </c>
      <c r="J458">
        <f t="shared" si="69"/>
        <v>821.75716463283891</v>
      </c>
      <c r="K458" s="5">
        <f t="shared" si="70"/>
        <v>829.76531885326938</v>
      </c>
      <c r="L458" s="5">
        <f t="shared" si="71"/>
        <v>7.5084029844473378E-3</v>
      </c>
    </row>
    <row r="459" spans="2:12">
      <c r="B459">
        <v>4.408203125</v>
      </c>
      <c r="C459">
        <v>0.73511153459548995</v>
      </c>
      <c r="D459">
        <v>41.282460937499998</v>
      </c>
      <c r="E459" s="5">
        <f t="shared" si="65"/>
        <v>41282.4609375</v>
      </c>
      <c r="F459" s="5">
        <v>7.5583484431263101E-2</v>
      </c>
      <c r="G459">
        <f t="shared" si="66"/>
        <v>825.64921875000005</v>
      </c>
      <c r="H459">
        <f t="shared" si="67"/>
        <v>7.5583484431263103E-3</v>
      </c>
      <c r="I459">
        <f t="shared" si="68"/>
        <v>9.5299272492152566E-3</v>
      </c>
      <c r="J459">
        <f t="shared" si="69"/>
        <v>824.11288779036374</v>
      </c>
      <c r="K459" s="5">
        <f t="shared" si="70"/>
        <v>831.88976323710756</v>
      </c>
      <c r="L459" s="5">
        <f t="shared" si="71"/>
        <v>7.5299272492152566E-3</v>
      </c>
    </row>
    <row r="460" spans="2:12">
      <c r="B460">
        <v>4.41796875</v>
      </c>
      <c r="C460">
        <v>0.73579105082899299</v>
      </c>
      <c r="D460">
        <v>41.352195312500001</v>
      </c>
      <c r="E460" s="5">
        <f t="shared" si="65"/>
        <v>41352.1953125</v>
      </c>
      <c r="F460" s="5">
        <v>7.5732255936600296E-2</v>
      </c>
      <c r="G460">
        <f t="shared" si="66"/>
        <v>827.04390624999996</v>
      </c>
      <c r="H460">
        <f t="shared" si="67"/>
        <v>7.5732255936600294E-3</v>
      </c>
      <c r="I460">
        <f t="shared" si="68"/>
        <v>9.5446926875872914E-3</v>
      </c>
      <c r="J460">
        <f t="shared" si="69"/>
        <v>825.72889119299111</v>
      </c>
      <c r="K460" s="5">
        <f t="shared" si="70"/>
        <v>833.30729632789303</v>
      </c>
      <c r="L460" s="5">
        <f t="shared" si="71"/>
        <v>7.5446926875872913E-3</v>
      </c>
    </row>
    <row r="461" spans="2:12">
      <c r="B461">
        <v>4.427734375</v>
      </c>
      <c r="C461">
        <v>0.737915921490639</v>
      </c>
      <c r="D461">
        <v>41.40464453125</v>
      </c>
      <c r="E461" s="5">
        <f t="shared" si="65"/>
        <v>41404.64453125</v>
      </c>
      <c r="F461" s="5">
        <v>7.5906296842731494E-2</v>
      </c>
      <c r="G461">
        <f t="shared" si="66"/>
        <v>828.092890625</v>
      </c>
      <c r="H461">
        <f t="shared" si="67"/>
        <v>7.5906296842731492E-3</v>
      </c>
      <c r="I461">
        <f t="shared" si="68"/>
        <v>9.5619658146017285E-3</v>
      </c>
      <c r="J461">
        <f t="shared" si="69"/>
        <v>827.61934857908614</v>
      </c>
      <c r="K461" s="5">
        <f t="shared" si="70"/>
        <v>834.37863710191368</v>
      </c>
      <c r="L461" s="5">
        <f t="shared" si="71"/>
        <v>7.5619658146017284E-3</v>
      </c>
    </row>
    <row r="462" spans="2:12">
      <c r="B462">
        <v>4.4375</v>
      </c>
      <c r="C462">
        <v>0.73871016502380404</v>
      </c>
      <c r="D462">
        <v>41.453101562500002</v>
      </c>
      <c r="E462" s="5">
        <f t="shared" si="65"/>
        <v>41453.1015625</v>
      </c>
      <c r="F462" s="5">
        <v>7.6004143920727102E-2</v>
      </c>
      <c r="G462">
        <f t="shared" si="66"/>
        <v>829.06203125000002</v>
      </c>
      <c r="H462">
        <f t="shared" si="67"/>
        <v>7.60041439207271E-3</v>
      </c>
      <c r="I462">
        <f t="shared" si="68"/>
        <v>9.571676762681211E-3</v>
      </c>
      <c r="J462">
        <f t="shared" si="69"/>
        <v>828.682163291645</v>
      </c>
      <c r="K462" s="5">
        <f t="shared" si="70"/>
        <v>835.36324624423355</v>
      </c>
      <c r="L462" s="5">
        <f t="shared" si="71"/>
        <v>7.5716767626812101E-3</v>
      </c>
    </row>
    <row r="463" spans="2:12">
      <c r="B463">
        <v>4.447265625</v>
      </c>
      <c r="C463">
        <v>0.74033590499311697</v>
      </c>
      <c r="D463">
        <v>41.531464843750001</v>
      </c>
      <c r="E463" s="5">
        <f t="shared" si="65"/>
        <v>41531.46484375</v>
      </c>
      <c r="F463" s="5">
        <v>7.6197560701984898E-2</v>
      </c>
      <c r="G463">
        <f t="shared" si="66"/>
        <v>830.62929687500002</v>
      </c>
      <c r="H463">
        <f t="shared" si="67"/>
        <v>7.6197560701984895E-3</v>
      </c>
      <c r="I463">
        <f t="shared" si="68"/>
        <v>9.5908723606708234E-3</v>
      </c>
      <c r="J463">
        <f t="shared" si="69"/>
        <v>830.78302551361833</v>
      </c>
      <c r="K463" s="5">
        <f t="shared" si="70"/>
        <v>836.95848950194807</v>
      </c>
      <c r="L463" s="5">
        <f t="shared" si="71"/>
        <v>7.5908723606708242E-3</v>
      </c>
    </row>
    <row r="464" spans="2:12">
      <c r="B464">
        <v>4.45703125</v>
      </c>
      <c r="C464">
        <v>0.74319541454315197</v>
      </c>
      <c r="D464">
        <v>41.615402343749999</v>
      </c>
      <c r="E464" s="5">
        <f t="shared" si="65"/>
        <v>41615.40234375</v>
      </c>
      <c r="F464" s="5">
        <v>7.6309806900098906E-2</v>
      </c>
      <c r="G464">
        <f t="shared" si="66"/>
        <v>832.30804687499995</v>
      </c>
      <c r="H464">
        <f t="shared" si="67"/>
        <v>7.6309806900098903E-3</v>
      </c>
      <c r="I464">
        <f t="shared" si="68"/>
        <v>9.6020120363516405E-3</v>
      </c>
      <c r="J464">
        <f t="shared" si="69"/>
        <v>832.00220731850516</v>
      </c>
      <c r="K464" s="5">
        <f t="shared" si="70"/>
        <v>838.65937350884292</v>
      </c>
      <c r="L464" s="5">
        <f t="shared" si="71"/>
        <v>7.6020120363516396E-3</v>
      </c>
    </row>
    <row r="465" spans="2:12">
      <c r="B465">
        <v>4.466796875</v>
      </c>
      <c r="C465">
        <v>0.74398220749571897</v>
      </c>
      <c r="D465">
        <v>41.675253906249999</v>
      </c>
      <c r="E465" s="5">
        <f t="shared" si="65"/>
        <v>41675.25390625</v>
      </c>
      <c r="F465" s="5">
        <v>7.6477495895233005E-2</v>
      </c>
      <c r="G465">
        <f t="shared" si="66"/>
        <v>833.50507812499995</v>
      </c>
      <c r="H465">
        <f t="shared" si="67"/>
        <v>7.6477495895233005E-3</v>
      </c>
      <c r="I465">
        <f t="shared" si="68"/>
        <v>9.6186538033309101E-3</v>
      </c>
      <c r="J465">
        <f t="shared" si="69"/>
        <v>833.82356550555141</v>
      </c>
      <c r="K465" s="5">
        <f t="shared" si="70"/>
        <v>839.87951624409595</v>
      </c>
      <c r="L465" s="5">
        <f t="shared" si="71"/>
        <v>7.61865380333091E-3</v>
      </c>
    </row>
    <row r="466" spans="2:12">
      <c r="B466">
        <v>4.4765625</v>
      </c>
      <c r="C466">
        <v>0.74641854735091295</v>
      </c>
      <c r="D466">
        <v>41.726015625000002</v>
      </c>
      <c r="E466" s="5">
        <f t="shared" si="65"/>
        <v>41726.015625</v>
      </c>
      <c r="F466" s="5">
        <v>7.6691874710377306E-2</v>
      </c>
      <c r="G466">
        <f t="shared" si="66"/>
        <v>834.52031250000005</v>
      </c>
      <c r="H466">
        <f t="shared" si="67"/>
        <v>7.6691874710377306E-3</v>
      </c>
      <c r="I466">
        <f t="shared" si="68"/>
        <v>9.639928751326441E-3</v>
      </c>
      <c r="J466">
        <f t="shared" si="69"/>
        <v>836.15200218892244</v>
      </c>
      <c r="K466" s="5">
        <f t="shared" si="70"/>
        <v>840.92040522495154</v>
      </c>
      <c r="L466" s="5">
        <f t="shared" si="71"/>
        <v>7.6399287513264419E-3</v>
      </c>
    </row>
    <row r="467" spans="2:12">
      <c r="B467">
        <v>4.486328125</v>
      </c>
      <c r="C467">
        <v>0.74804871110245597</v>
      </c>
      <c r="D467">
        <v>41.800445312500003</v>
      </c>
      <c r="E467" s="5">
        <f t="shared" si="65"/>
        <v>41800.4453125</v>
      </c>
      <c r="F467" s="5">
        <v>7.6784737757407101E-2</v>
      </c>
      <c r="G467">
        <f t="shared" si="66"/>
        <v>836.00890625</v>
      </c>
      <c r="H467">
        <f t="shared" si="67"/>
        <v>7.6784737757407103E-3</v>
      </c>
      <c r="I467">
        <f t="shared" si="68"/>
        <v>9.6491443371845183E-3</v>
      </c>
      <c r="J467">
        <f t="shared" si="69"/>
        <v>837.16060198315972</v>
      </c>
      <c r="K467" s="5">
        <f t="shared" si="70"/>
        <v>842.4281787129263</v>
      </c>
      <c r="L467" s="5">
        <f t="shared" si="71"/>
        <v>7.6491443371845191E-3</v>
      </c>
    </row>
    <row r="468" spans="2:12">
      <c r="B468">
        <v>4.49609375</v>
      </c>
      <c r="C468">
        <v>0.748375081457198</v>
      </c>
      <c r="D468">
        <v>41.848929687499997</v>
      </c>
      <c r="E468" s="5">
        <f t="shared" si="65"/>
        <v>41848.9296875</v>
      </c>
      <c r="F468" s="5">
        <v>7.7026481449138401E-2</v>
      </c>
      <c r="G468">
        <f t="shared" si="66"/>
        <v>836.97859374999996</v>
      </c>
      <c r="H468">
        <f t="shared" si="67"/>
        <v>7.7026481449138399E-3</v>
      </c>
      <c r="I468">
        <f t="shared" si="68"/>
        <v>9.6731342107735374E-3</v>
      </c>
      <c r="J468">
        <f t="shared" si="69"/>
        <v>839.78617369810968</v>
      </c>
      <c r="K468" s="5">
        <f t="shared" si="70"/>
        <v>843.42554536248099</v>
      </c>
      <c r="L468" s="5">
        <f t="shared" si="71"/>
        <v>7.6731342107735365E-3</v>
      </c>
    </row>
    <row r="469" spans="2:12">
      <c r="B469">
        <v>4.505859375</v>
      </c>
      <c r="C469">
        <v>0.75099768582731496</v>
      </c>
      <c r="D469">
        <v>41.919417968749997</v>
      </c>
      <c r="E469" s="5">
        <f t="shared" si="65"/>
        <v>41919.41796875</v>
      </c>
      <c r="F469" s="5">
        <v>7.7179516665637493E-2</v>
      </c>
      <c r="G469">
        <f t="shared" si="66"/>
        <v>838.38835937500005</v>
      </c>
      <c r="H469">
        <f t="shared" si="67"/>
        <v>7.7179516665637493E-3</v>
      </c>
      <c r="I469">
        <f t="shared" si="68"/>
        <v>9.6883206404960835E-3</v>
      </c>
      <c r="J469">
        <f t="shared" si="69"/>
        <v>841.448252499094</v>
      </c>
      <c r="K469" s="5">
        <f t="shared" si="70"/>
        <v>844.85900021046598</v>
      </c>
      <c r="L469" s="5">
        <f t="shared" si="71"/>
        <v>7.6883206404960843E-3</v>
      </c>
    </row>
    <row r="470" spans="2:12">
      <c r="B470">
        <v>4.515625</v>
      </c>
      <c r="C470">
        <v>0.75318216113373604</v>
      </c>
      <c r="D470">
        <v>41.994179687500001</v>
      </c>
      <c r="E470" s="5">
        <f t="shared" si="65"/>
        <v>41994.1796875</v>
      </c>
      <c r="F470" s="5">
        <v>7.7311320637818398E-2</v>
      </c>
      <c r="G470">
        <f t="shared" si="66"/>
        <v>839.88359375000005</v>
      </c>
      <c r="H470">
        <f t="shared" si="67"/>
        <v>7.73113206378184E-3</v>
      </c>
      <c r="I470">
        <f t="shared" si="68"/>
        <v>9.7014000056109655E-3</v>
      </c>
      <c r="J470">
        <f t="shared" si="69"/>
        <v>842.87972361409209</v>
      </c>
      <c r="K470" s="5">
        <f t="shared" si="70"/>
        <v>846.37684473148499</v>
      </c>
      <c r="L470" s="5">
        <f t="shared" si="71"/>
        <v>7.7014000056109654E-3</v>
      </c>
    </row>
    <row r="471" spans="2:12">
      <c r="B471">
        <v>4.525390625</v>
      </c>
      <c r="C471">
        <v>0.75478258077055205</v>
      </c>
      <c r="D471">
        <v>42.052101562499999</v>
      </c>
      <c r="E471" s="5">
        <f t="shared" si="65"/>
        <v>42052.1015625</v>
      </c>
      <c r="F471" s="5">
        <v>7.7504861110355705E-2</v>
      </c>
      <c r="G471">
        <f t="shared" si="66"/>
        <v>841.04203125000004</v>
      </c>
      <c r="H471">
        <f t="shared" si="67"/>
        <v>7.7504861110355705E-3</v>
      </c>
      <c r="I471">
        <f t="shared" si="68"/>
        <v>9.7206053876693239E-3</v>
      </c>
      <c r="J471">
        <f t="shared" si="69"/>
        <v>844.98165665346914</v>
      </c>
      <c r="K471" s="5">
        <f t="shared" si="70"/>
        <v>847.56051583200031</v>
      </c>
      <c r="L471" s="5">
        <f t="shared" si="71"/>
        <v>7.7206053876693239E-3</v>
      </c>
    </row>
    <row r="472" spans="2:12">
      <c r="B472">
        <v>4.53515625</v>
      </c>
      <c r="C472">
        <v>0.75655727414414298</v>
      </c>
      <c r="D472">
        <v>42.139136718750002</v>
      </c>
      <c r="E472" s="5">
        <f t="shared" si="65"/>
        <v>42139.13671875</v>
      </c>
      <c r="F472" s="5">
        <v>7.7664779382757801E-2</v>
      </c>
      <c r="G472">
        <f t="shared" si="66"/>
        <v>842.78273437500002</v>
      </c>
      <c r="H472">
        <f t="shared" si="67"/>
        <v>7.7664779382757799E-3</v>
      </c>
      <c r="I472">
        <f t="shared" si="68"/>
        <v>9.7364740978075105E-3</v>
      </c>
      <c r="J472">
        <f t="shared" si="69"/>
        <v>846.71840763454304</v>
      </c>
      <c r="K472" s="5">
        <f t="shared" si="70"/>
        <v>849.3281878882832</v>
      </c>
      <c r="L472" s="5">
        <f t="shared" si="71"/>
        <v>7.7364740978075114E-3</v>
      </c>
    </row>
    <row r="473" spans="2:12">
      <c r="B473">
        <v>4.544921875</v>
      </c>
      <c r="C473">
        <v>0.75726804789155699</v>
      </c>
      <c r="D473">
        <v>42.189945312500001</v>
      </c>
      <c r="E473" s="5">
        <f t="shared" si="65"/>
        <v>42189.9453125</v>
      </c>
      <c r="F473" s="5">
        <v>7.7837248682044405E-2</v>
      </c>
      <c r="G473">
        <f t="shared" si="66"/>
        <v>843.79890624999996</v>
      </c>
      <c r="H473">
        <f t="shared" si="67"/>
        <v>7.7837248682044403E-3</v>
      </c>
      <c r="I473">
        <f t="shared" si="68"/>
        <v>9.7535879656784931E-3</v>
      </c>
      <c r="J473">
        <f t="shared" si="69"/>
        <v>848.59143490368274</v>
      </c>
      <c r="K473" s="5">
        <f t="shared" si="70"/>
        <v>850.36680478034179</v>
      </c>
      <c r="L473" s="5">
        <f t="shared" si="71"/>
        <v>7.7535879656784939E-3</v>
      </c>
    </row>
    <row r="474" spans="2:12">
      <c r="B474">
        <v>4.5546875</v>
      </c>
      <c r="C474">
        <v>0.75878499774262298</v>
      </c>
      <c r="D474">
        <v>42.243207031250002</v>
      </c>
      <c r="E474" s="5">
        <f t="shared" si="65"/>
        <v>42243.20703125</v>
      </c>
      <c r="F474" s="5">
        <v>7.7955977758392705E-2</v>
      </c>
      <c r="G474">
        <f t="shared" si="66"/>
        <v>844.864140625</v>
      </c>
      <c r="H474">
        <f t="shared" si="67"/>
        <v>7.7955977758392709E-3</v>
      </c>
      <c r="I474">
        <f t="shared" si="68"/>
        <v>9.7653691022495798E-3</v>
      </c>
      <c r="J474">
        <f t="shared" si="69"/>
        <v>849.8808213957052</v>
      </c>
      <c r="K474" s="5">
        <f t="shared" si="70"/>
        <v>851.45036164054261</v>
      </c>
      <c r="L474" s="5">
        <f t="shared" si="71"/>
        <v>7.7653691022495789E-3</v>
      </c>
    </row>
    <row r="475" spans="2:12">
      <c r="B475">
        <v>4.564453125</v>
      </c>
      <c r="C475">
        <v>0.76072959927841999</v>
      </c>
      <c r="D475">
        <v>42.295476562499999</v>
      </c>
      <c r="E475" s="5">
        <f t="shared" si="65"/>
        <v>42295.4765625</v>
      </c>
      <c r="F475" s="5">
        <v>7.8128672612365294E-2</v>
      </c>
      <c r="G475">
        <f t="shared" si="66"/>
        <v>845.90953124999999</v>
      </c>
      <c r="H475">
        <f t="shared" si="67"/>
        <v>7.8128672612365301E-3</v>
      </c>
      <c r="I475">
        <f t="shared" si="68"/>
        <v>9.7825048562387544E-3</v>
      </c>
      <c r="J475">
        <f t="shared" si="69"/>
        <v>851.75624399105038</v>
      </c>
      <c r="K475" s="5">
        <f t="shared" si="70"/>
        <v>852.51851013267105</v>
      </c>
      <c r="L475" s="5">
        <f t="shared" si="71"/>
        <v>7.7825048562387535E-3</v>
      </c>
    </row>
    <row r="476" spans="2:12">
      <c r="B476">
        <v>4.57421875</v>
      </c>
      <c r="C476">
        <v>0.76141656609252095</v>
      </c>
      <c r="D476">
        <v>42.344503906249997</v>
      </c>
      <c r="E476" s="5">
        <f t="shared" si="65"/>
        <v>42344.50390625</v>
      </c>
      <c r="F476" s="5">
        <v>7.8277153079398004E-2</v>
      </c>
      <c r="G476">
        <f t="shared" si="66"/>
        <v>846.89007812499995</v>
      </c>
      <c r="H476">
        <f t="shared" si="67"/>
        <v>7.8277153079398011E-3</v>
      </c>
      <c r="I476">
        <f t="shared" si="68"/>
        <v>9.7972376879071933E-3</v>
      </c>
      <c r="J476">
        <f t="shared" si="69"/>
        <v>853.36867875300265</v>
      </c>
      <c r="K476" s="5">
        <f t="shared" si="70"/>
        <v>853.51929255368134</v>
      </c>
      <c r="L476" s="5">
        <f t="shared" si="71"/>
        <v>7.7972376879071924E-3</v>
      </c>
    </row>
    <row r="477" spans="2:12">
      <c r="B477">
        <v>4.583984375</v>
      </c>
      <c r="C477">
        <v>0.764119613450021</v>
      </c>
      <c r="D477">
        <v>42.420378906250001</v>
      </c>
      <c r="E477" s="5">
        <f t="shared" si="65"/>
        <v>42420.37890625</v>
      </c>
      <c r="F477" s="5">
        <v>7.84798103268258E-2</v>
      </c>
      <c r="G477">
        <f t="shared" si="66"/>
        <v>848.40757812499999</v>
      </c>
      <c r="H477">
        <f t="shared" si="67"/>
        <v>7.8479810326825793E-3</v>
      </c>
      <c r="I477">
        <f t="shared" si="68"/>
        <v>9.8173458082563732E-3</v>
      </c>
      <c r="J477">
        <f t="shared" si="69"/>
        <v>855.5694119846188</v>
      </c>
      <c r="K477" s="5">
        <f t="shared" si="70"/>
        <v>855.0658647061091</v>
      </c>
      <c r="L477" s="5">
        <f t="shared" si="71"/>
        <v>7.8173458082563731E-3</v>
      </c>
    </row>
    <row r="478" spans="2:12">
      <c r="B478">
        <v>4.59375</v>
      </c>
      <c r="C478">
        <v>0.76507183257490396</v>
      </c>
      <c r="D478">
        <v>42.486976562499997</v>
      </c>
      <c r="E478" s="5">
        <f t="shared" si="65"/>
        <v>42486.9765625</v>
      </c>
      <c r="F478" s="5">
        <v>7.8597448009531903E-2</v>
      </c>
      <c r="G478">
        <f t="shared" si="66"/>
        <v>849.73953125000003</v>
      </c>
      <c r="H478">
        <f t="shared" si="67"/>
        <v>7.859744800953191E-3</v>
      </c>
      <c r="I478">
        <f t="shared" si="68"/>
        <v>9.8290179054756066E-3</v>
      </c>
      <c r="J478">
        <f t="shared" si="69"/>
        <v>856.84686466477774</v>
      </c>
      <c r="K478" s="5">
        <f t="shared" si="70"/>
        <v>856.41826711290662</v>
      </c>
      <c r="L478" s="5">
        <f t="shared" si="71"/>
        <v>7.8290179054756066E-3</v>
      </c>
    </row>
    <row r="479" spans="2:12">
      <c r="B479">
        <v>4.603515625</v>
      </c>
      <c r="C479">
        <v>0.76565891504287698</v>
      </c>
      <c r="D479">
        <v>42.508222656249998</v>
      </c>
      <c r="E479" s="5">
        <f t="shared" si="65"/>
        <v>42508.22265625</v>
      </c>
      <c r="F479" s="5">
        <v>7.8713565017096698E-2</v>
      </c>
      <c r="G479">
        <f t="shared" si="66"/>
        <v>850.16445312500002</v>
      </c>
      <c r="H479">
        <f t="shared" si="67"/>
        <v>7.8713565017096698E-3</v>
      </c>
      <c r="I479">
        <f t="shared" si="68"/>
        <v>9.8405389865851862E-3</v>
      </c>
      <c r="J479">
        <f t="shared" si="69"/>
        <v>858.10778938681574</v>
      </c>
      <c r="K479" s="5">
        <f t="shared" si="70"/>
        <v>856.85640062062794</v>
      </c>
      <c r="L479" s="5">
        <f t="shared" si="71"/>
        <v>7.8405389865851861E-3</v>
      </c>
    </row>
    <row r="480" spans="2:12">
      <c r="B480">
        <v>4.61328125</v>
      </c>
      <c r="C480">
        <v>0.76895800884813104</v>
      </c>
      <c r="D480">
        <v>42.593058593750001</v>
      </c>
      <c r="E480" s="5">
        <f t="shared" si="65"/>
        <v>42593.05859375</v>
      </c>
      <c r="F480" s="5">
        <v>7.8938166552688899E-2</v>
      </c>
      <c r="G480">
        <f t="shared" si="66"/>
        <v>851.86117187499997</v>
      </c>
      <c r="H480">
        <f t="shared" si="67"/>
        <v>7.8938166552688892E-3</v>
      </c>
      <c r="I480">
        <f t="shared" si="68"/>
        <v>9.8628234806911897E-3</v>
      </c>
      <c r="J480">
        <f t="shared" si="69"/>
        <v>860.54671584424727</v>
      </c>
      <c r="K480" s="5">
        <f t="shared" si="70"/>
        <v>858.58560778152366</v>
      </c>
      <c r="L480" s="5">
        <f t="shared" si="71"/>
        <v>7.8628234806911897E-3</v>
      </c>
    </row>
    <row r="481" spans="2:12">
      <c r="B481">
        <v>4.623046875</v>
      </c>
      <c r="C481">
        <v>0.77002198668196797</v>
      </c>
      <c r="D481">
        <v>42.649042968750003</v>
      </c>
      <c r="E481" s="5">
        <f t="shared" si="65"/>
        <v>42649.04296875</v>
      </c>
      <c r="F481" s="5">
        <v>7.9095232649706304E-2</v>
      </c>
      <c r="G481">
        <f t="shared" si="66"/>
        <v>852.98085937500002</v>
      </c>
      <c r="H481">
        <f t="shared" si="67"/>
        <v>7.9095232649706304E-3</v>
      </c>
      <c r="I481">
        <f t="shared" si="68"/>
        <v>9.8784069549230323E-3</v>
      </c>
      <c r="J481">
        <f t="shared" si="69"/>
        <v>862.25224918155129</v>
      </c>
      <c r="K481" s="5">
        <f t="shared" si="70"/>
        <v>859.72753132680123</v>
      </c>
      <c r="L481" s="5">
        <f t="shared" si="71"/>
        <v>7.8784069549230323E-3</v>
      </c>
    </row>
    <row r="482" spans="2:12">
      <c r="B482">
        <v>4.6328125</v>
      </c>
      <c r="C482">
        <v>0.76872261706739697</v>
      </c>
      <c r="D482">
        <v>42.714714843750002</v>
      </c>
      <c r="E482" s="5">
        <f t="shared" si="65"/>
        <v>42714.71484375</v>
      </c>
      <c r="F482" s="5">
        <v>7.9281664511654498E-2</v>
      </c>
      <c r="G482">
        <f t="shared" si="66"/>
        <v>854.29429687499999</v>
      </c>
      <c r="H482">
        <f t="shared" si="67"/>
        <v>7.9281664511654491E-3</v>
      </c>
      <c r="I482">
        <f t="shared" si="68"/>
        <v>9.896903668513082E-3</v>
      </c>
      <c r="J482">
        <f t="shared" si="69"/>
        <v>864.27662200041425</v>
      </c>
      <c r="K482" s="5">
        <f t="shared" si="70"/>
        <v>861.06728425890628</v>
      </c>
      <c r="L482" s="5">
        <f t="shared" si="71"/>
        <v>7.896903668513082E-3</v>
      </c>
    </row>
    <row r="483" spans="2:12">
      <c r="B483">
        <v>4.642578125</v>
      </c>
      <c r="C483">
        <v>0.77384116593748298</v>
      </c>
      <c r="D483">
        <v>42.786515625</v>
      </c>
      <c r="E483" s="5">
        <f t="shared" si="65"/>
        <v>42786.515625</v>
      </c>
      <c r="F483" s="5">
        <v>7.9465069575235206E-2</v>
      </c>
      <c r="G483">
        <f t="shared" si="66"/>
        <v>855.73031249999997</v>
      </c>
      <c r="H483">
        <f t="shared" si="67"/>
        <v>7.9465069575235213E-3</v>
      </c>
      <c r="I483">
        <f t="shared" si="68"/>
        <v>9.9150997464741847E-3</v>
      </c>
      <c r="J483">
        <f t="shared" si="69"/>
        <v>866.26809175286712</v>
      </c>
      <c r="K483" s="5">
        <f t="shared" si="70"/>
        <v>862.530379382045</v>
      </c>
      <c r="L483" s="5">
        <f t="shared" si="71"/>
        <v>7.9150997464741846E-3</v>
      </c>
    </row>
    <row r="484" spans="2:12">
      <c r="B484">
        <v>4.65234375</v>
      </c>
      <c r="C484">
        <v>0.77688245801255096</v>
      </c>
      <c r="D484">
        <v>42.857519531249999</v>
      </c>
      <c r="E484" s="5">
        <f t="shared" si="65"/>
        <v>42857.51953125</v>
      </c>
      <c r="F484" s="5">
        <v>7.9650431871414198E-2</v>
      </c>
      <c r="G484">
        <f t="shared" si="66"/>
        <v>857.150390625</v>
      </c>
      <c r="H484">
        <f t="shared" si="67"/>
        <v>7.9650431871414202E-3</v>
      </c>
      <c r="I484">
        <f t="shared" si="68"/>
        <v>9.9334896699974536E-3</v>
      </c>
      <c r="J484">
        <f t="shared" si="69"/>
        <v>868.28077693287128</v>
      </c>
      <c r="K484" s="5">
        <f t="shared" si="70"/>
        <v>863.97763050420326</v>
      </c>
      <c r="L484" s="5">
        <f t="shared" si="71"/>
        <v>7.9334896699974535E-3</v>
      </c>
    </row>
    <row r="485" spans="2:12">
      <c r="B485">
        <v>4.662109375</v>
      </c>
      <c r="C485">
        <v>0.77547132968902599</v>
      </c>
      <c r="D485">
        <v>42.907613281250001</v>
      </c>
      <c r="E485" s="5">
        <f t="shared" si="65"/>
        <v>42907.61328125</v>
      </c>
      <c r="F485" s="5">
        <v>7.9807432484813007E-2</v>
      </c>
      <c r="G485">
        <f t="shared" si="66"/>
        <v>858.15226562500004</v>
      </c>
      <c r="H485">
        <f t="shared" si="67"/>
        <v>7.9807432484813E-3</v>
      </c>
      <c r="I485">
        <f t="shared" si="68"/>
        <v>9.9490655465372304E-3</v>
      </c>
      <c r="J485">
        <f t="shared" si="69"/>
        <v>869.98547874076712</v>
      </c>
      <c r="K485" s="5">
        <f t="shared" si="70"/>
        <v>865.00095852505569</v>
      </c>
      <c r="L485" s="5">
        <f t="shared" si="71"/>
        <v>7.9490655465372304E-3</v>
      </c>
    </row>
    <row r="486" spans="2:12">
      <c r="B486">
        <v>4.671875</v>
      </c>
      <c r="C486">
        <v>0.77717006206512496</v>
      </c>
      <c r="D486">
        <v>42.960164062499999</v>
      </c>
      <c r="E486" s="5">
        <f t="shared" si="65"/>
        <v>42960.1640625</v>
      </c>
      <c r="F486" s="5">
        <v>7.9980258306022706E-2</v>
      </c>
      <c r="G486">
        <f t="shared" si="66"/>
        <v>859.20328125000003</v>
      </c>
      <c r="H486">
        <f t="shared" si="67"/>
        <v>7.9980258306022699E-3</v>
      </c>
      <c r="I486">
        <f t="shared" si="68"/>
        <v>9.9662111458723741E-3</v>
      </c>
      <c r="J486">
        <f t="shared" si="69"/>
        <v>871.86197886000195</v>
      </c>
      <c r="K486" s="5">
        <f t="shared" si="70"/>
        <v>866.07521128717576</v>
      </c>
      <c r="L486" s="5">
        <f t="shared" si="71"/>
        <v>7.966211145872374E-3</v>
      </c>
    </row>
    <row r="487" spans="2:12">
      <c r="B487">
        <v>4.681640625</v>
      </c>
      <c r="C487">
        <v>0.77954831067472696</v>
      </c>
      <c r="D487">
        <v>42.996546875</v>
      </c>
      <c r="E487" s="5">
        <f t="shared" si="65"/>
        <v>42996.546875</v>
      </c>
      <c r="F487" s="5">
        <v>8.01493370090611E-2</v>
      </c>
      <c r="G487">
        <f t="shared" si="66"/>
        <v>859.93093750000003</v>
      </c>
      <c r="H487">
        <f t="shared" si="67"/>
        <v>8.0149337009061093E-3</v>
      </c>
      <c r="I487">
        <f t="shared" si="68"/>
        <v>9.982984718903536E-3</v>
      </c>
      <c r="J487">
        <f t="shared" si="69"/>
        <v>873.69776256039745</v>
      </c>
      <c r="K487" s="5">
        <f t="shared" si="70"/>
        <v>866.82322695142057</v>
      </c>
      <c r="L487" s="5">
        <f t="shared" si="71"/>
        <v>7.9829847189035359E-3</v>
      </c>
    </row>
    <row r="488" spans="2:12">
      <c r="B488">
        <v>4.69140625</v>
      </c>
      <c r="C488">
        <v>0.78112183837220095</v>
      </c>
      <c r="D488">
        <v>43.074085937500001</v>
      </c>
      <c r="E488" s="5">
        <f t="shared" si="65"/>
        <v>43074.0859375</v>
      </c>
      <c r="F488" s="5">
        <v>8.0374447861686293E-2</v>
      </c>
      <c r="G488">
        <f t="shared" si="66"/>
        <v>861.48171875000003</v>
      </c>
      <c r="H488">
        <f t="shared" si="67"/>
        <v>8.0374447861686297E-3</v>
      </c>
      <c r="I488">
        <f t="shared" si="68"/>
        <v>1.0005316564547697E-2</v>
      </c>
      <c r="J488">
        <f t="shared" si="69"/>
        <v>876.14187140692275</v>
      </c>
      <c r="K488" s="5">
        <f t="shared" si="70"/>
        <v>868.40583049874681</v>
      </c>
      <c r="L488" s="5">
        <f t="shared" si="71"/>
        <v>8.005316564547697E-3</v>
      </c>
    </row>
    <row r="489" spans="2:12">
      <c r="B489">
        <v>4.701171875</v>
      </c>
      <c r="C489">
        <v>0.78352092532440998</v>
      </c>
      <c r="D489">
        <v>43.150605468750001</v>
      </c>
      <c r="E489" s="5">
        <f t="shared" si="65"/>
        <v>43150.60546875</v>
      </c>
      <c r="F489" s="5">
        <v>8.0555189924780293E-2</v>
      </c>
      <c r="G489">
        <f t="shared" si="66"/>
        <v>863.01210937500002</v>
      </c>
      <c r="H489">
        <f t="shared" si="67"/>
        <v>8.0555189924780297E-3</v>
      </c>
      <c r="I489">
        <f t="shared" si="68"/>
        <v>1.0023246497972991E-2</v>
      </c>
      <c r="J489">
        <f t="shared" si="69"/>
        <v>878.10421297065398</v>
      </c>
      <c r="K489" s="5">
        <f t="shared" si="70"/>
        <v>869.96411981280892</v>
      </c>
      <c r="L489" s="5">
        <f t="shared" si="71"/>
        <v>8.0232464979729905E-3</v>
      </c>
    </row>
    <row r="490" spans="2:12">
      <c r="B490">
        <v>4.7109375</v>
      </c>
      <c r="C490">
        <v>0.78434200258925602</v>
      </c>
      <c r="D490">
        <v>43.223097656249998</v>
      </c>
      <c r="E490" s="5">
        <f t="shared" si="65"/>
        <v>43223.09765625</v>
      </c>
      <c r="F490" s="5">
        <v>8.0785081081558005E-2</v>
      </c>
      <c r="G490">
        <f t="shared" si="66"/>
        <v>864.46195312500004</v>
      </c>
      <c r="H490">
        <f t="shared" si="67"/>
        <v>8.0785081081558002E-3</v>
      </c>
      <c r="I490">
        <f t="shared" si="68"/>
        <v>1.0046051644227906E-2</v>
      </c>
      <c r="J490">
        <f t="shared" si="69"/>
        <v>880.60012220252315</v>
      </c>
      <c r="K490" s="5">
        <f t="shared" si="70"/>
        <v>871.44551602251261</v>
      </c>
      <c r="L490" s="5">
        <f t="shared" si="71"/>
        <v>8.0460516442279056E-3</v>
      </c>
    </row>
    <row r="491" spans="2:12">
      <c r="B491">
        <v>4.720703125</v>
      </c>
      <c r="C491">
        <v>0.78514515189454004</v>
      </c>
      <c r="D491">
        <v>43.286660156250001</v>
      </c>
      <c r="E491" s="5">
        <f t="shared" si="65"/>
        <v>43286.66015625</v>
      </c>
      <c r="F491" s="5">
        <v>8.0892954429145902E-2</v>
      </c>
      <c r="G491">
        <f t="shared" si="66"/>
        <v>865.73320312500005</v>
      </c>
      <c r="H491">
        <f t="shared" si="67"/>
        <v>8.0892954429145902E-3</v>
      </c>
      <c r="I491">
        <f t="shared" si="68"/>
        <v>1.0056752474525752E-2</v>
      </c>
      <c r="J491">
        <f t="shared" si="69"/>
        <v>881.77127457447102</v>
      </c>
      <c r="K491" s="5">
        <f t="shared" si="70"/>
        <v>872.73637477981902</v>
      </c>
      <c r="L491" s="5">
        <f t="shared" si="71"/>
        <v>8.0567524745257524E-3</v>
      </c>
    </row>
    <row r="492" spans="2:12">
      <c r="B492">
        <v>4.73046875</v>
      </c>
      <c r="C492">
        <v>0.78843830851838004</v>
      </c>
      <c r="D492">
        <v>43.360753906249997</v>
      </c>
      <c r="E492" s="5">
        <f t="shared" si="65"/>
        <v>43360.75390625</v>
      </c>
      <c r="F492" s="5">
        <v>8.1180492998100803E-2</v>
      </c>
      <c r="G492">
        <f t="shared" si="66"/>
        <v>867.21507812499999</v>
      </c>
      <c r="H492">
        <f t="shared" si="67"/>
        <v>8.11804929981008E-3</v>
      </c>
      <c r="I492">
        <f t="shared" si="68"/>
        <v>1.008527519266029E-2</v>
      </c>
      <c r="J492">
        <f t="shared" si="69"/>
        <v>884.8929434607054</v>
      </c>
      <c r="K492" s="5">
        <f t="shared" si="70"/>
        <v>874.25517288275739</v>
      </c>
      <c r="L492" s="5">
        <f t="shared" si="71"/>
        <v>8.0852751926602899E-3</v>
      </c>
    </row>
    <row r="493" spans="2:12">
      <c r="B493">
        <v>4.740234375</v>
      </c>
      <c r="C493">
        <v>0.79011620255187198</v>
      </c>
      <c r="D493">
        <v>43.428414062500003</v>
      </c>
      <c r="E493" s="5">
        <f t="shared" si="65"/>
        <v>43428.4140625</v>
      </c>
      <c r="F493" s="5">
        <v>8.1369922554586097E-2</v>
      </c>
      <c r="G493">
        <f t="shared" si="66"/>
        <v>868.56828125000004</v>
      </c>
      <c r="H493">
        <f t="shared" si="67"/>
        <v>8.13699225545861E-3</v>
      </c>
      <c r="I493">
        <f t="shared" si="68"/>
        <v>1.0104065430262842E-2</v>
      </c>
      <c r="J493">
        <f t="shared" si="69"/>
        <v>886.94944101511669</v>
      </c>
      <c r="K493" s="5">
        <f t="shared" si="70"/>
        <v>875.63581462786829</v>
      </c>
      <c r="L493" s="5">
        <f t="shared" si="71"/>
        <v>8.1040654302628416E-3</v>
      </c>
    </row>
    <row r="494" spans="2:12">
      <c r="B494">
        <v>4.75</v>
      </c>
      <c r="C494">
        <v>0.79157500294968497</v>
      </c>
      <c r="D494">
        <v>43.47502734375</v>
      </c>
      <c r="E494" s="5">
        <f t="shared" si="65"/>
        <v>43475.02734375</v>
      </c>
      <c r="F494" s="5">
        <v>8.1529084127396304E-2</v>
      </c>
      <c r="G494">
        <f t="shared" si="66"/>
        <v>869.50054687500005</v>
      </c>
      <c r="H494">
        <f t="shared" si="67"/>
        <v>8.152908412739631E-3</v>
      </c>
      <c r="I494">
        <f t="shared" si="68"/>
        <v>1.0119852998584325E-2</v>
      </c>
      <c r="J494">
        <f t="shared" si="69"/>
        <v>888.67731143006142</v>
      </c>
      <c r="K494" s="5">
        <f t="shared" si="70"/>
        <v>876.58950519849895</v>
      </c>
      <c r="L494" s="5">
        <f t="shared" si="71"/>
        <v>8.1198529985843249E-3</v>
      </c>
    </row>
    <row r="495" spans="2:12">
      <c r="B495">
        <v>4.759765625</v>
      </c>
      <c r="C495">
        <v>0.79288630513474301</v>
      </c>
      <c r="D495">
        <v>43.538003906249997</v>
      </c>
      <c r="E495" s="5">
        <f t="shared" si="65"/>
        <v>43538.00390625</v>
      </c>
      <c r="F495" s="5">
        <v>8.1828009570017499E-2</v>
      </c>
      <c r="G495">
        <f t="shared" si="66"/>
        <v>870.76007812499995</v>
      </c>
      <c r="H495">
        <f t="shared" si="67"/>
        <v>8.1828009570017492E-3</v>
      </c>
      <c r="I495">
        <f t="shared" si="68"/>
        <v>1.014950336298088E-2</v>
      </c>
      <c r="J495">
        <f t="shared" si="69"/>
        <v>891.9223955614425</v>
      </c>
      <c r="K495" s="5">
        <f t="shared" si="70"/>
        <v>877.88533452560011</v>
      </c>
      <c r="L495" s="5">
        <f t="shared" si="71"/>
        <v>8.1495033629808804E-3</v>
      </c>
    </row>
    <row r="496" spans="2:12">
      <c r="B496">
        <v>4.76953125</v>
      </c>
      <c r="C496">
        <v>0.79425872536376096</v>
      </c>
      <c r="D496">
        <v>43.604121093750003</v>
      </c>
      <c r="E496" s="5">
        <f t="shared" si="65"/>
        <v>43604.12109375</v>
      </c>
      <c r="F496" s="5">
        <v>8.1980251707136603E-2</v>
      </c>
      <c r="G496">
        <f t="shared" si="66"/>
        <v>872.08242187500002</v>
      </c>
      <c r="H496">
        <f t="shared" si="67"/>
        <v>8.1980251707136596E-3</v>
      </c>
      <c r="I496">
        <f t="shared" si="68"/>
        <v>1.016460389708132E-2</v>
      </c>
      <c r="J496">
        <f t="shared" si="69"/>
        <v>893.57507351606512</v>
      </c>
      <c r="K496" s="5">
        <f t="shared" si="70"/>
        <v>879.2317755204682</v>
      </c>
      <c r="L496" s="5">
        <f t="shared" si="71"/>
        <v>8.1646038970813201E-3</v>
      </c>
    </row>
    <row r="497" spans="2:12">
      <c r="B497">
        <v>4.779296875</v>
      </c>
      <c r="C497">
        <v>0.79613178968429599</v>
      </c>
      <c r="D497">
        <v>43.661394531249996</v>
      </c>
      <c r="E497" s="5">
        <f t="shared" si="65"/>
        <v>43661.39453125</v>
      </c>
      <c r="F497" s="5">
        <v>8.21653084130958E-2</v>
      </c>
      <c r="G497">
        <f t="shared" si="66"/>
        <v>873.22789062499999</v>
      </c>
      <c r="H497">
        <f t="shared" si="67"/>
        <v>8.2165308413095807E-3</v>
      </c>
      <c r="I497">
        <f t="shared" si="68"/>
        <v>1.0182958922878231E-2</v>
      </c>
      <c r="J497">
        <f t="shared" si="69"/>
        <v>895.58393931440798</v>
      </c>
      <c r="K497" s="5">
        <f t="shared" si="70"/>
        <v>880.40279451981201</v>
      </c>
      <c r="L497" s="5">
        <f t="shared" si="71"/>
        <v>8.182958922878231E-3</v>
      </c>
    </row>
    <row r="498" spans="2:12">
      <c r="B498">
        <v>4.7890625</v>
      </c>
      <c r="C498">
        <v>0.79648790415376403</v>
      </c>
      <c r="D498">
        <v>43.716859374999999</v>
      </c>
      <c r="E498" s="5">
        <f t="shared" si="65"/>
        <v>43716.859375</v>
      </c>
      <c r="F498" s="5">
        <v>8.23787922854535E-2</v>
      </c>
      <c r="G498">
        <f t="shared" si="66"/>
        <v>874.33718750000003</v>
      </c>
      <c r="H498">
        <f t="shared" si="67"/>
        <v>8.2378792285453493E-3</v>
      </c>
      <c r="I498">
        <f t="shared" si="68"/>
        <v>1.02041331057707E-2</v>
      </c>
      <c r="J498">
        <f t="shared" si="69"/>
        <v>897.90134776107425</v>
      </c>
      <c r="K498" s="5">
        <f t="shared" si="70"/>
        <v>881.53987165565104</v>
      </c>
      <c r="L498" s="5">
        <f t="shared" si="71"/>
        <v>8.2041331057707001E-3</v>
      </c>
    </row>
    <row r="499" spans="2:12">
      <c r="B499">
        <v>4.798828125</v>
      </c>
      <c r="C499">
        <v>0.79931167419999805</v>
      </c>
      <c r="D499">
        <v>43.794671874999999</v>
      </c>
      <c r="E499" s="5">
        <f t="shared" si="65"/>
        <v>43794.671875</v>
      </c>
      <c r="F499" s="5">
        <v>8.2577156717888997E-2</v>
      </c>
      <c r="G499">
        <f t="shared" si="66"/>
        <v>875.8934375</v>
      </c>
      <c r="H499">
        <f t="shared" si="67"/>
        <v>8.2577156717888994E-3</v>
      </c>
      <c r="I499">
        <f t="shared" si="68"/>
        <v>1.0223807280407485E-2</v>
      </c>
      <c r="J499">
        <f t="shared" si="69"/>
        <v>900.05458780419724</v>
      </c>
      <c r="K499" s="5">
        <f t="shared" si="70"/>
        <v>883.12631646566081</v>
      </c>
      <c r="L499" s="5">
        <f t="shared" si="71"/>
        <v>8.2238072804074851E-3</v>
      </c>
    </row>
    <row r="500" spans="2:12">
      <c r="B500">
        <v>4.80859375</v>
      </c>
      <c r="C500">
        <v>0.80168398562818799</v>
      </c>
      <c r="D500">
        <v>43.836339843749997</v>
      </c>
      <c r="E500" s="5">
        <f t="shared" si="65"/>
        <v>43836.33984375</v>
      </c>
      <c r="F500" s="5">
        <v>8.2834798377007204E-2</v>
      </c>
      <c r="G500">
        <f t="shared" si="66"/>
        <v>876.72679687499999</v>
      </c>
      <c r="H500">
        <f t="shared" si="67"/>
        <v>8.2834798377007211E-3</v>
      </c>
      <c r="I500">
        <f t="shared" si="68"/>
        <v>1.0249360109152663E-2</v>
      </c>
      <c r="J500">
        <f t="shared" si="69"/>
        <v>902.85121714621323</v>
      </c>
      <c r="K500" s="5">
        <f t="shared" si="70"/>
        <v>883.98914562008599</v>
      </c>
      <c r="L500" s="5">
        <f t="shared" si="71"/>
        <v>8.2493601091526633E-3</v>
      </c>
    </row>
    <row r="501" spans="2:12">
      <c r="B501">
        <v>4.818359375</v>
      </c>
      <c r="C501">
        <v>0.80456287832930695</v>
      </c>
      <c r="D501">
        <v>43.893941406250001</v>
      </c>
      <c r="E501" s="5">
        <f t="shared" si="65"/>
        <v>43893.94140625</v>
      </c>
      <c r="F501" s="5">
        <v>8.3051556430291398E-2</v>
      </c>
      <c r="G501">
        <f t="shared" si="66"/>
        <v>877.87882812500004</v>
      </c>
      <c r="H501">
        <f t="shared" si="67"/>
        <v>8.3051556430291402E-3</v>
      </c>
      <c r="I501">
        <f t="shared" si="68"/>
        <v>1.0270857607400818E-2</v>
      </c>
      <c r="J501">
        <f t="shared" si="69"/>
        <v>905.20401084198261</v>
      </c>
      <c r="K501" s="5">
        <f t="shared" si="70"/>
        <v>885.16974842829825</v>
      </c>
      <c r="L501" s="5">
        <f t="shared" si="71"/>
        <v>8.2708576074008184E-3</v>
      </c>
    </row>
    <row r="502" spans="2:12">
      <c r="B502">
        <v>4.828125</v>
      </c>
      <c r="C502">
        <v>0.80556573811918497</v>
      </c>
      <c r="D502">
        <v>43.970132812499997</v>
      </c>
      <c r="E502" s="5">
        <f t="shared" si="65"/>
        <v>43970.1328125</v>
      </c>
      <c r="F502" s="5">
        <v>8.3270228060428095E-2</v>
      </c>
      <c r="G502">
        <f t="shared" si="66"/>
        <v>879.40265624999995</v>
      </c>
      <c r="H502">
        <f t="shared" si="67"/>
        <v>8.3270228060428088E-3</v>
      </c>
      <c r="I502">
        <f t="shared" si="68"/>
        <v>1.0292544420938965E-2</v>
      </c>
      <c r="J502">
        <f t="shared" si="69"/>
        <v>907.57752414966501</v>
      </c>
      <c r="K502" s="5">
        <f t="shared" si="70"/>
        <v>886.72546222428832</v>
      </c>
      <c r="L502" s="5">
        <f t="shared" si="71"/>
        <v>8.2925444209389649E-3</v>
      </c>
    </row>
    <row r="503" spans="2:12">
      <c r="B503">
        <v>4.837890625</v>
      </c>
      <c r="C503">
        <v>0.80783665180206299</v>
      </c>
      <c r="D503">
        <v>44.027625</v>
      </c>
      <c r="E503" s="5">
        <f t="shared" si="65"/>
        <v>44027.625</v>
      </c>
      <c r="F503" s="5">
        <v>8.3581631770357503E-2</v>
      </c>
      <c r="G503">
        <f t="shared" si="66"/>
        <v>880.55250000000001</v>
      </c>
      <c r="H503">
        <f t="shared" si="67"/>
        <v>8.3581631770357507E-3</v>
      </c>
      <c r="I503">
        <f t="shared" si="68"/>
        <v>1.0323427149896224E-2</v>
      </c>
      <c r="J503">
        <f t="shared" si="69"/>
        <v>910.95748442039223</v>
      </c>
      <c r="K503" s="5">
        <f t="shared" si="70"/>
        <v>887.91230148094678</v>
      </c>
      <c r="L503" s="5">
        <f t="shared" si="71"/>
        <v>8.3234271498962235E-3</v>
      </c>
    </row>
    <row r="504" spans="2:12">
      <c r="B504">
        <v>4.84765625</v>
      </c>
      <c r="C504">
        <v>0.80879480810836002</v>
      </c>
      <c r="D504">
        <v>44.071304687500003</v>
      </c>
      <c r="E504" s="5">
        <f t="shared" si="65"/>
        <v>44071.3046875</v>
      </c>
      <c r="F504" s="5">
        <v>8.3678845840040594E-2</v>
      </c>
      <c r="G504">
        <f t="shared" si="66"/>
        <v>881.42609374999995</v>
      </c>
      <c r="H504">
        <f t="shared" si="67"/>
        <v>8.3678845840040594E-3</v>
      </c>
      <c r="I504">
        <f t="shared" si="68"/>
        <v>1.0333067930783819E-2</v>
      </c>
      <c r="J504">
        <f t="shared" si="69"/>
        <v>912.01261968463507</v>
      </c>
      <c r="K504" s="5">
        <f t="shared" si="70"/>
        <v>888.80176557182949</v>
      </c>
      <c r="L504" s="5">
        <f t="shared" si="71"/>
        <v>8.3330679307838194E-3</v>
      </c>
    </row>
    <row r="505" spans="2:12">
      <c r="B505">
        <v>4.857421875</v>
      </c>
      <c r="C505">
        <v>0.81060826778411899</v>
      </c>
      <c r="D505">
        <v>44.106894531249999</v>
      </c>
      <c r="E505" s="5">
        <f t="shared" si="65"/>
        <v>44106.89453125</v>
      </c>
      <c r="F505" s="5">
        <v>8.3903112681582598E-2</v>
      </c>
      <c r="G505">
        <f t="shared" si="66"/>
        <v>882.13789062499995</v>
      </c>
      <c r="H505">
        <f t="shared" si="67"/>
        <v>8.3903112681582605E-3</v>
      </c>
      <c r="I505">
        <f t="shared" si="68"/>
        <v>1.0355308261033869E-2</v>
      </c>
      <c r="J505">
        <f t="shared" si="69"/>
        <v>914.44671262885174</v>
      </c>
      <c r="K505" s="5">
        <f t="shared" si="70"/>
        <v>889.53930210878025</v>
      </c>
      <c r="L505" s="5">
        <f t="shared" si="71"/>
        <v>8.3553082610338687E-3</v>
      </c>
    </row>
    <row r="506" spans="2:12">
      <c r="B506">
        <v>4.8671875</v>
      </c>
      <c r="C506">
        <v>0.81202981527894702</v>
      </c>
      <c r="D506">
        <v>44.130515625000001</v>
      </c>
      <c r="E506" s="5">
        <f t="shared" si="65"/>
        <v>44130.515625</v>
      </c>
      <c r="F506" s="5">
        <v>8.4155384683981496E-2</v>
      </c>
      <c r="G506">
        <f t="shared" si="66"/>
        <v>882.61031249999996</v>
      </c>
      <c r="H506">
        <f t="shared" si="67"/>
        <v>8.4155384683981503E-3</v>
      </c>
      <c r="I506">
        <f t="shared" si="68"/>
        <v>1.0380325245434729E-2</v>
      </c>
      <c r="J506">
        <f t="shared" si="69"/>
        <v>917.18469648660391</v>
      </c>
      <c r="K506" s="5">
        <f t="shared" si="70"/>
        <v>890.03795353744863</v>
      </c>
      <c r="L506" s="5">
        <f t="shared" si="71"/>
        <v>8.3803252454347291E-3</v>
      </c>
    </row>
    <row r="507" spans="2:12">
      <c r="B507">
        <v>4.876953125</v>
      </c>
      <c r="C507">
        <v>0.81160070840269305</v>
      </c>
      <c r="D507">
        <v>44.1535625</v>
      </c>
      <c r="E507" s="5">
        <f t="shared" si="65"/>
        <v>44153.5625</v>
      </c>
      <c r="F507" s="5">
        <v>8.4241764852777096E-2</v>
      </c>
      <c r="G507">
        <f t="shared" si="66"/>
        <v>883.07124999999996</v>
      </c>
      <c r="H507">
        <f t="shared" si="67"/>
        <v>8.4241764852777089E-3</v>
      </c>
      <c r="I507">
        <f t="shared" si="68"/>
        <v>1.038889113871377E-2</v>
      </c>
      <c r="J507">
        <f t="shared" si="69"/>
        <v>918.12219067652859</v>
      </c>
      <c r="K507" s="5">
        <f t="shared" si="70"/>
        <v>890.51039805907476</v>
      </c>
      <c r="L507" s="5">
        <f t="shared" si="71"/>
        <v>8.3888911387137704E-3</v>
      </c>
    </row>
    <row r="508" spans="2:12">
      <c r="B508">
        <v>4.88671875</v>
      </c>
      <c r="C508">
        <v>0.81506074639037296</v>
      </c>
      <c r="D508">
        <v>44.201398437500004</v>
      </c>
      <c r="E508" s="5">
        <f t="shared" si="65"/>
        <v>44201.3984375</v>
      </c>
      <c r="F508" s="5">
        <v>8.4495797636918696E-2</v>
      </c>
      <c r="G508">
        <f t="shared" si="66"/>
        <v>884.02796875000001</v>
      </c>
      <c r="H508">
        <f t="shared" si="67"/>
        <v>8.4495797636918689E-3</v>
      </c>
      <c r="I508">
        <f t="shared" si="68"/>
        <v>1.0414081885865688E-2</v>
      </c>
      <c r="J508">
        <f t="shared" si="69"/>
        <v>920.87919199857026</v>
      </c>
      <c r="K508" s="5">
        <f t="shared" si="70"/>
        <v>891.49763358528764</v>
      </c>
      <c r="L508" s="5">
        <f t="shared" si="71"/>
        <v>8.4140818858656884E-3</v>
      </c>
    </row>
    <row r="509" spans="2:12">
      <c r="B509">
        <v>4.896484375</v>
      </c>
      <c r="C509">
        <v>0.81510841846466098</v>
      </c>
      <c r="D509">
        <v>44.248832031249997</v>
      </c>
      <c r="E509" s="5">
        <f t="shared" si="65"/>
        <v>44248.83203125</v>
      </c>
      <c r="F509" s="5">
        <v>8.4726372733712196E-2</v>
      </c>
      <c r="G509">
        <f t="shared" si="66"/>
        <v>884.97664062499996</v>
      </c>
      <c r="H509">
        <f t="shared" si="67"/>
        <v>8.4726372733712196E-3</v>
      </c>
      <c r="I509">
        <f t="shared" si="68"/>
        <v>1.0436945940300296E-2</v>
      </c>
      <c r="J509">
        <f t="shared" si="69"/>
        <v>923.38154843616587</v>
      </c>
      <c r="K509" s="5">
        <f t="shared" si="70"/>
        <v>892.47472669642218</v>
      </c>
      <c r="L509" s="5">
        <f t="shared" si="71"/>
        <v>8.4369459403002955E-3</v>
      </c>
    </row>
    <row r="510" spans="2:12">
      <c r="B510">
        <v>4.90625</v>
      </c>
      <c r="C510">
        <v>0.81796495942398895</v>
      </c>
      <c r="D510">
        <v>44.33904296875</v>
      </c>
      <c r="E510" s="5">
        <f t="shared" si="65"/>
        <v>44339.04296875</v>
      </c>
      <c r="F510" s="5">
        <v>8.4978579252492595E-2</v>
      </c>
      <c r="G510">
        <f t="shared" si="66"/>
        <v>886.78085937499998</v>
      </c>
      <c r="H510">
        <f t="shared" si="67"/>
        <v>8.4978579252492602E-3</v>
      </c>
      <c r="I510">
        <f t="shared" si="68"/>
        <v>1.0461954389297834E-2</v>
      </c>
      <c r="J510">
        <f t="shared" si="69"/>
        <v>926.11859813670151</v>
      </c>
      <c r="K510" s="5">
        <f t="shared" si="70"/>
        <v>894.31659712879912</v>
      </c>
      <c r="L510" s="5">
        <f t="shared" si="71"/>
        <v>8.4619543892978343E-3</v>
      </c>
    </row>
    <row r="511" spans="2:12">
      <c r="B511">
        <v>4.916015625</v>
      </c>
      <c r="C511">
        <v>0.81982911797240399</v>
      </c>
      <c r="D511">
        <v>44.383882812499998</v>
      </c>
      <c r="E511" s="5">
        <f t="shared" si="65"/>
        <v>44383.8828125</v>
      </c>
      <c r="F511" s="5">
        <v>8.5254316218197304E-2</v>
      </c>
      <c r="G511">
        <f t="shared" si="66"/>
        <v>887.67765625000004</v>
      </c>
      <c r="H511">
        <f t="shared" si="67"/>
        <v>8.5254316218197311E-3</v>
      </c>
      <c r="I511">
        <f t="shared" si="68"/>
        <v>1.0489295369161662E-2</v>
      </c>
      <c r="J511">
        <f t="shared" si="69"/>
        <v>929.11093167789807</v>
      </c>
      <c r="K511" s="5">
        <f t="shared" si="70"/>
        <v>895.24549141057662</v>
      </c>
      <c r="L511" s="5">
        <f t="shared" si="71"/>
        <v>8.4892953691616622E-3</v>
      </c>
    </row>
    <row r="512" spans="2:12">
      <c r="B512">
        <v>4.92578125</v>
      </c>
      <c r="C512">
        <v>0.82012562779709697</v>
      </c>
      <c r="D512">
        <v>44.435585937500001</v>
      </c>
      <c r="E512" s="5">
        <f t="shared" si="65"/>
        <v>44435.5859375</v>
      </c>
      <c r="F512" s="5">
        <v>8.5415609646588606E-2</v>
      </c>
      <c r="G512">
        <f t="shared" si="66"/>
        <v>888.71171875000005</v>
      </c>
      <c r="H512">
        <f t="shared" si="67"/>
        <v>8.5415609646588599E-3</v>
      </c>
      <c r="I512">
        <f t="shared" si="68"/>
        <v>1.0505288236923364E-2</v>
      </c>
      <c r="J512">
        <f t="shared" si="69"/>
        <v>930.86127109007759</v>
      </c>
      <c r="K512" s="5">
        <f t="shared" si="70"/>
        <v>896.30270407570993</v>
      </c>
      <c r="L512" s="5">
        <f t="shared" si="71"/>
        <v>8.5052882369233643E-3</v>
      </c>
    </row>
    <row r="513" spans="2:12">
      <c r="B513">
        <v>4.935546875</v>
      </c>
      <c r="C513">
        <v>0.82265737000852801</v>
      </c>
      <c r="D513">
        <v>44.493398437499998</v>
      </c>
      <c r="E513" s="5">
        <f t="shared" si="65"/>
        <v>44493.3984375</v>
      </c>
      <c r="F513" s="5">
        <v>8.57564373291098E-2</v>
      </c>
      <c r="G513">
        <f t="shared" si="66"/>
        <v>889.86796875000005</v>
      </c>
      <c r="H513">
        <f t="shared" si="67"/>
        <v>8.5756437329109793E-3</v>
      </c>
      <c r="I513">
        <f t="shared" si="68"/>
        <v>1.0539081779684279E-2</v>
      </c>
      <c r="J513">
        <f t="shared" si="69"/>
        <v>934.55980537754601</v>
      </c>
      <c r="K513" s="5">
        <f t="shared" si="70"/>
        <v>897.4991594193292</v>
      </c>
      <c r="L513" s="5">
        <f t="shared" si="71"/>
        <v>8.5390817796842794E-3</v>
      </c>
    </row>
    <row r="514" spans="2:12">
      <c r="B514">
        <v>4.9453125</v>
      </c>
      <c r="C514">
        <v>0.82439632387831796</v>
      </c>
      <c r="D514">
        <v>44.538207031250003</v>
      </c>
      <c r="E514" s="5">
        <f t="shared" si="65"/>
        <v>44538.20703125</v>
      </c>
      <c r="F514" s="5">
        <v>8.5921688878443106E-2</v>
      </c>
      <c r="G514">
        <f t="shared" si="66"/>
        <v>890.76414062499998</v>
      </c>
      <c r="H514">
        <f t="shared" si="67"/>
        <v>8.5921688878443109E-3</v>
      </c>
      <c r="I514">
        <f t="shared" si="68"/>
        <v>1.0555466291503585E-2</v>
      </c>
      <c r="J514" s="11">
        <f t="shared" si="69"/>
        <v>936.35300827360982</v>
      </c>
      <c r="K514" s="11">
        <f t="shared" si="70"/>
        <v>898.41773656048542</v>
      </c>
      <c r="L514" s="5">
        <f t="shared" si="71"/>
        <v>8.5554662915035846E-3</v>
      </c>
    </row>
    <row r="515" spans="2:12">
      <c r="B515">
        <v>4.955078125</v>
      </c>
      <c r="C515">
        <v>0.82506239414215099</v>
      </c>
      <c r="D515">
        <v>44.585523437500001</v>
      </c>
      <c r="E515" s="5">
        <f t="shared" si="65"/>
        <v>44585.5234375</v>
      </c>
      <c r="F515" s="5">
        <v>8.6222164100035997E-2</v>
      </c>
      <c r="G515">
        <f t="shared" si="66"/>
        <v>891.71046875000002</v>
      </c>
      <c r="H515">
        <f t="shared" si="67"/>
        <v>8.622216410003599E-3</v>
      </c>
      <c r="I515">
        <f t="shared" si="68"/>
        <v>1.0585257395890418E-2</v>
      </c>
      <c r="J515">
        <f t="shared" si="69"/>
        <v>939.61349569322681</v>
      </c>
      <c r="K515" s="5">
        <f t="shared" si="70"/>
        <v>899.39898938662827</v>
      </c>
      <c r="L515" s="5">
        <f t="shared" si="71"/>
        <v>8.5852573958904183E-3</v>
      </c>
    </row>
    <row r="516" spans="2:12">
      <c r="B516">
        <v>4.96484375</v>
      </c>
      <c r="C516">
        <v>0.8283331990242</v>
      </c>
      <c r="D516">
        <v>44.651980468749997</v>
      </c>
      <c r="E516" s="5">
        <f t="shared" si="65"/>
        <v>44651.98046875</v>
      </c>
      <c r="F516" s="5">
        <v>8.6521584307774901E-2</v>
      </c>
      <c r="G516">
        <f t="shared" si="66"/>
        <v>893.03960937500005</v>
      </c>
      <c r="H516">
        <f t="shared" si="67"/>
        <v>8.6521584307774901E-3</v>
      </c>
      <c r="I516">
        <f t="shared" si="68"/>
        <v>1.0614943016398487E-2</v>
      </c>
      <c r="J516">
        <f t="shared" si="69"/>
        <v>942.86243842973238</v>
      </c>
      <c r="K516" s="5">
        <f t="shared" si="70"/>
        <v>900.7663295602722</v>
      </c>
      <c r="L516" s="5">
        <f t="shared" si="71"/>
        <v>8.6149430163984866E-3</v>
      </c>
    </row>
    <row r="517" spans="2:12">
      <c r="B517">
        <v>4.974609375</v>
      </c>
      <c r="C517">
        <v>0.82983076572418202</v>
      </c>
      <c r="D517">
        <v>44.705957031250001</v>
      </c>
      <c r="E517" s="5">
        <f t="shared" si="65"/>
        <v>44705.95703125</v>
      </c>
      <c r="F517" s="5">
        <v>8.6740867118351203E-2</v>
      </c>
      <c r="G517">
        <f t="shared" si="66"/>
        <v>894.119140625</v>
      </c>
      <c r="H517">
        <f t="shared" si="67"/>
        <v>8.6740867118351196E-3</v>
      </c>
      <c r="I517">
        <f t="shared" si="68"/>
        <v>1.0636682961646599E-2</v>
      </c>
      <c r="J517">
        <f t="shared" si="69"/>
        <v>945.24176673741204</v>
      </c>
      <c r="K517" s="5">
        <f t="shared" si="70"/>
        <v>901.87480758149275</v>
      </c>
      <c r="L517" s="5">
        <f t="shared" si="71"/>
        <v>8.6366829616465988E-3</v>
      </c>
    </row>
    <row r="518" spans="2:12">
      <c r="B518">
        <v>4.984375</v>
      </c>
      <c r="C518">
        <v>0.82978606224060103</v>
      </c>
      <c r="D518">
        <v>44.748054687500002</v>
      </c>
      <c r="E518" s="5">
        <f t="shared" si="65"/>
        <v>44748.0546875</v>
      </c>
      <c r="F518" s="5">
        <v>8.6953819845803096E-2</v>
      </c>
      <c r="G518">
        <f t="shared" si="66"/>
        <v>894.96109375000003</v>
      </c>
      <c r="H518">
        <f t="shared" si="67"/>
        <v>8.6953819845803099E-3</v>
      </c>
      <c r="I518">
        <f t="shared" si="68"/>
        <v>1.0657794882964356E-2</v>
      </c>
      <c r="J518">
        <f t="shared" si="69"/>
        <v>947.55236096603392</v>
      </c>
      <c r="K518" s="5">
        <f t="shared" si="70"/>
        <v>902.74312232149407</v>
      </c>
      <c r="L518" s="5">
        <f t="shared" si="71"/>
        <v>8.6577948829643561E-3</v>
      </c>
    </row>
    <row r="519" spans="2:12">
      <c r="B519">
        <v>4.994140625</v>
      </c>
      <c r="C519">
        <v>0.83224324043840203</v>
      </c>
      <c r="D519">
        <v>44.774023437499999</v>
      </c>
      <c r="E519" s="5">
        <f t="shared" si="65"/>
        <v>44774.0234375</v>
      </c>
      <c r="F519" s="5">
        <v>8.73194585437886E-2</v>
      </c>
      <c r="G519">
        <f t="shared" si="66"/>
        <v>895.48046875</v>
      </c>
      <c r="H519">
        <f t="shared" si="67"/>
        <v>8.7319458543788607E-3</v>
      </c>
      <c r="I519">
        <f t="shared" si="68"/>
        <v>1.0694042899731063E-2</v>
      </c>
      <c r="J519">
        <f t="shared" si="69"/>
        <v>951.51952516106621</v>
      </c>
      <c r="K519" s="5">
        <f t="shared" si="70"/>
        <v>903.2997557167788</v>
      </c>
      <c r="L519" s="5">
        <f t="shared" si="71"/>
        <v>8.694042899731063E-3</v>
      </c>
    </row>
    <row r="520" spans="2:12">
      <c r="B520">
        <v>5.00390625</v>
      </c>
      <c r="C520">
        <v>0.83296594675630298</v>
      </c>
      <c r="D520">
        <v>44.8238359375</v>
      </c>
      <c r="E520" s="5">
        <f t="shared" si="65"/>
        <v>44823.8359375</v>
      </c>
      <c r="F520" s="5">
        <v>8.7515851191710695E-2</v>
      </c>
      <c r="G520">
        <f t="shared" si="66"/>
        <v>896.47671875000003</v>
      </c>
      <c r="H520">
        <f t="shared" si="67"/>
        <v>8.7515851191710698E-3</v>
      </c>
      <c r="I520">
        <f t="shared" si="68"/>
        <v>1.0713511970473214E-2</v>
      </c>
      <c r="J520">
        <f t="shared" si="69"/>
        <v>953.6503176084409</v>
      </c>
      <c r="K520" s="5">
        <f t="shared" si="70"/>
        <v>904.32231106149584</v>
      </c>
      <c r="L520" s="5">
        <f t="shared" si="71"/>
        <v>8.7135119704732141E-3</v>
      </c>
    </row>
    <row r="521" spans="2:12">
      <c r="B521">
        <v>5.013671875</v>
      </c>
      <c r="C521">
        <v>0.835935759823769</v>
      </c>
      <c r="D521">
        <v>44.874082031249998</v>
      </c>
      <c r="E521" s="5">
        <f t="shared" ref="E521:E584" si="72" xml:space="preserve"> D521*R$3</f>
        <v>44874.08203125</v>
      </c>
      <c r="F521" s="5">
        <v>8.7817759776953594E-2</v>
      </c>
      <c r="G521">
        <f t="shared" ref="G521:G584" si="73" xml:space="preserve"> E521/C$3</f>
        <v>897.48164062499995</v>
      </c>
      <c r="H521">
        <f t="shared" ref="H521:H584" si="74" xml:space="preserve"> F521/C$4</f>
        <v>8.781775977695359E-3</v>
      </c>
      <c r="I521">
        <f t="shared" ref="I521:I584" si="75">L521+0.002</f>
        <v>1.0743440455531952E-2</v>
      </c>
      <c r="J521">
        <f t="shared" ref="J521:J584" si="76">L521*G$2</f>
        <v>956.92584065569451</v>
      </c>
      <c r="K521" s="5">
        <f t="shared" ref="K521:K584" si="77" xml:space="preserve"> G521 * (1 + H521)</f>
        <v>905.36312333706314</v>
      </c>
      <c r="L521" s="5">
        <f t="shared" ref="L521:L584" si="78">LN(1 + H521)</f>
        <v>8.7434404555319523E-3</v>
      </c>
    </row>
    <row r="522" spans="2:12">
      <c r="B522">
        <v>5.0234375</v>
      </c>
      <c r="C522">
        <v>0.83683582488447406</v>
      </c>
      <c r="D522">
        <v>44.899023437499999</v>
      </c>
      <c r="E522" s="5">
        <f t="shared" si="72"/>
        <v>44899.0234375</v>
      </c>
      <c r="F522" s="5">
        <v>8.8051790953613804E-2</v>
      </c>
      <c r="G522">
        <f t="shared" si="73"/>
        <v>897.98046875</v>
      </c>
      <c r="H522">
        <f t="shared" si="74"/>
        <v>8.80517909536138E-3</v>
      </c>
      <c r="I522">
        <f t="shared" si="75"/>
        <v>1.0766639572286969E-2</v>
      </c>
      <c r="J522">
        <f t="shared" si="76"/>
        <v>959.46486798894739</v>
      </c>
      <c r="K522" s="5">
        <f t="shared" si="77"/>
        <v>905.88734760148031</v>
      </c>
      <c r="L522" s="5">
        <f t="shared" si="78"/>
        <v>8.7666395722869692E-3</v>
      </c>
    </row>
    <row r="523" spans="2:12">
      <c r="B523">
        <v>5.033203125</v>
      </c>
      <c r="C523">
        <v>0.84016320761293195</v>
      </c>
      <c r="D523">
        <v>44.965285156249998</v>
      </c>
      <c r="E523" s="5">
        <f t="shared" si="72"/>
        <v>44965.28515625</v>
      </c>
      <c r="F523" s="5">
        <v>8.8402201072312905E-2</v>
      </c>
      <c r="G523">
        <f t="shared" si="73"/>
        <v>899.30570312500004</v>
      </c>
      <c r="H523">
        <f t="shared" si="74"/>
        <v>8.8402201072312909E-3</v>
      </c>
      <c r="I523">
        <f t="shared" si="75"/>
        <v>1.0801374131577992E-2</v>
      </c>
      <c r="J523">
        <f t="shared" si="76"/>
        <v>963.2663918305534</v>
      </c>
      <c r="K523" s="5">
        <f t="shared" si="77"/>
        <v>907.25576348431343</v>
      </c>
      <c r="L523" s="5">
        <f t="shared" si="78"/>
        <v>8.8013741315779923E-3</v>
      </c>
    </row>
    <row r="524" spans="2:12">
      <c r="B524">
        <v>5.04296875</v>
      </c>
      <c r="C524">
        <v>0.83969830302521598</v>
      </c>
      <c r="D524">
        <v>45.009492187500001</v>
      </c>
      <c r="E524" s="5">
        <f t="shared" si="72"/>
        <v>45009.4921875</v>
      </c>
      <c r="F524" s="5">
        <v>8.8649037934374106E-2</v>
      </c>
      <c r="G524">
        <f t="shared" si="73"/>
        <v>900.18984375000002</v>
      </c>
      <c r="H524">
        <f t="shared" si="74"/>
        <v>8.8649037934374099E-3</v>
      </c>
      <c r="I524">
        <f t="shared" si="75"/>
        <v>1.0825841221357326E-2</v>
      </c>
      <c r="J524">
        <f t="shared" si="76"/>
        <v>965.94419247145254</v>
      </c>
      <c r="K524" s="5">
        <f t="shared" si="77"/>
        <v>908.16994011067322</v>
      </c>
      <c r="L524" s="5">
        <f t="shared" si="78"/>
        <v>8.8258412213573258E-3</v>
      </c>
    </row>
    <row r="525" spans="2:12">
      <c r="B525">
        <v>5.052734375</v>
      </c>
      <c r="C525">
        <v>0.84000080823898304</v>
      </c>
      <c r="D525">
        <v>45.06173046875</v>
      </c>
      <c r="E525" s="5">
        <f t="shared" si="72"/>
        <v>45061.73046875</v>
      </c>
      <c r="F525" s="5">
        <v>8.8965338363777804E-2</v>
      </c>
      <c r="G525">
        <f t="shared" si="73"/>
        <v>901.23460937499999</v>
      </c>
      <c r="H525">
        <f t="shared" si="74"/>
        <v>8.8965338363777811E-3</v>
      </c>
      <c r="I525">
        <f t="shared" si="75"/>
        <v>1.0857192839396099E-2</v>
      </c>
      <c r="J525">
        <f t="shared" si="76"/>
        <v>969.37547030770611</v>
      </c>
      <c r="K525" s="5">
        <f t="shared" si="77"/>
        <v>909.25247357181934</v>
      </c>
      <c r="L525" s="5">
        <f t="shared" si="78"/>
        <v>8.8571928393960993E-3</v>
      </c>
    </row>
    <row r="526" spans="2:12">
      <c r="B526">
        <v>5.0625</v>
      </c>
      <c r="C526">
        <v>0.84460229845717505</v>
      </c>
      <c r="D526">
        <v>45.116320312500001</v>
      </c>
      <c r="E526" s="5">
        <f t="shared" si="72"/>
        <v>45116.3203125</v>
      </c>
      <c r="F526" s="5">
        <v>8.9325993030797704E-2</v>
      </c>
      <c r="G526">
        <f t="shared" si="73"/>
        <v>902.32640624999999</v>
      </c>
      <c r="H526">
        <f t="shared" si="74"/>
        <v>8.9325993030797708E-3</v>
      </c>
      <c r="I526">
        <f t="shared" si="75"/>
        <v>1.0892939638878286E-2</v>
      </c>
      <c r="J526">
        <f t="shared" si="76"/>
        <v>973.28777877703408</v>
      </c>
      <c r="K526" s="5">
        <f t="shared" si="77"/>
        <v>910.38652647761921</v>
      </c>
      <c r="L526" s="5">
        <f t="shared" si="78"/>
        <v>8.8929396388782861E-3</v>
      </c>
    </row>
    <row r="527" spans="2:12">
      <c r="B527">
        <v>5.072265625</v>
      </c>
      <c r="C527">
        <v>0.843313348013908</v>
      </c>
      <c r="D527">
        <v>45.144960937500002</v>
      </c>
      <c r="E527" s="5">
        <f t="shared" si="72"/>
        <v>45144.9609375</v>
      </c>
      <c r="F527" s="5">
        <v>8.9602217485662605E-2</v>
      </c>
      <c r="G527">
        <f t="shared" si="73"/>
        <v>902.89921875000005</v>
      </c>
      <c r="H527">
        <f t="shared" si="74"/>
        <v>8.9602217485662602E-3</v>
      </c>
      <c r="I527">
        <f t="shared" si="75"/>
        <v>1.0920317153878131E-2</v>
      </c>
      <c r="J527">
        <f t="shared" si="76"/>
        <v>976.28411090619204</v>
      </c>
      <c r="K527" s="5">
        <f t="shared" si="77"/>
        <v>910.98939596660728</v>
      </c>
      <c r="L527" s="5">
        <f t="shared" si="78"/>
        <v>8.9203171538781312E-3</v>
      </c>
    </row>
    <row r="528" spans="2:12">
      <c r="B528">
        <v>5.08203125</v>
      </c>
      <c r="C528">
        <v>0.84496440831571795</v>
      </c>
      <c r="D528">
        <v>45.206894531250001</v>
      </c>
      <c r="E528" s="5">
        <f t="shared" si="72"/>
        <v>45206.89453125</v>
      </c>
      <c r="F528" s="5">
        <v>8.9915585704147802E-2</v>
      </c>
      <c r="G528">
        <f t="shared" si="73"/>
        <v>904.13789062499995</v>
      </c>
      <c r="H528">
        <f t="shared" si="74"/>
        <v>8.9915585704147798E-3</v>
      </c>
      <c r="I528">
        <f t="shared" si="75"/>
        <v>1.0951375202099772E-2</v>
      </c>
      <c r="J528">
        <f t="shared" si="76"/>
        <v>979.68325899380955</v>
      </c>
      <c r="K528" s="5">
        <f t="shared" si="77"/>
        <v>912.26749942428592</v>
      </c>
      <c r="L528" s="5">
        <f t="shared" si="78"/>
        <v>8.9513752020997719E-3</v>
      </c>
    </row>
    <row r="529" spans="2:12">
      <c r="B529">
        <v>5.091796875</v>
      </c>
      <c r="C529">
        <v>0.84948091534897696</v>
      </c>
      <c r="D529">
        <v>45.253605468750003</v>
      </c>
      <c r="E529" s="5">
        <f t="shared" si="72"/>
        <v>45253.60546875</v>
      </c>
      <c r="F529" s="5">
        <v>9.0249224740546197E-2</v>
      </c>
      <c r="G529">
        <f t="shared" si="73"/>
        <v>905.07210937499997</v>
      </c>
      <c r="H529">
        <f t="shared" si="74"/>
        <v>9.0249224740546197E-3</v>
      </c>
      <c r="I529">
        <f t="shared" si="75"/>
        <v>1.0984441238929768E-2</v>
      </c>
      <c r="J529">
        <f t="shared" si="76"/>
        <v>983.30217139466845</v>
      </c>
      <c r="K529" s="5">
        <f t="shared" si="77"/>
        <v>913.24031499553837</v>
      </c>
      <c r="L529" s="5">
        <f t="shared" si="78"/>
        <v>8.9844412389297676E-3</v>
      </c>
    </row>
    <row r="530" spans="2:12">
      <c r="B530">
        <v>5.1015625</v>
      </c>
      <c r="C530">
        <v>0.84892957238480404</v>
      </c>
      <c r="D530">
        <v>45.27594921875</v>
      </c>
      <c r="E530" s="5">
        <f t="shared" si="72"/>
        <v>45275.94921875</v>
      </c>
      <c r="F530" s="5">
        <v>9.0506342530716197E-2</v>
      </c>
      <c r="G530">
        <f t="shared" si="73"/>
        <v>905.51898437499995</v>
      </c>
      <c r="H530">
        <f t="shared" si="74"/>
        <v>9.0506342530716193E-3</v>
      </c>
      <c r="I530">
        <f t="shared" si="75"/>
        <v>1.1009922721952229E-2</v>
      </c>
      <c r="J530">
        <f t="shared" si="76"/>
        <v>986.09099230406173</v>
      </c>
      <c r="K530" s="5">
        <f t="shared" si="77"/>
        <v>913.71450551179089</v>
      </c>
      <c r="L530" s="5">
        <f t="shared" si="78"/>
        <v>9.009922721952229E-3</v>
      </c>
    </row>
    <row r="531" spans="2:12">
      <c r="B531">
        <v>5.111328125</v>
      </c>
      <c r="C531">
        <v>0.85093674715608403</v>
      </c>
      <c r="D531">
        <v>45.324421874999999</v>
      </c>
      <c r="E531" s="5">
        <f t="shared" si="72"/>
        <v>45324.421875</v>
      </c>
      <c r="F531" s="5">
        <v>9.0878515038639293E-2</v>
      </c>
      <c r="G531">
        <f t="shared" si="73"/>
        <v>906.48843750000003</v>
      </c>
      <c r="H531">
        <f t="shared" si="74"/>
        <v>9.087851503863929E-3</v>
      </c>
      <c r="I531">
        <f t="shared" si="75"/>
        <v>1.1046805474111399E-2</v>
      </c>
      <c r="J531">
        <f t="shared" si="76"/>
        <v>990.12762511412211</v>
      </c>
      <c r="K531" s="5">
        <f t="shared" si="77"/>
        <v>914.72646980996967</v>
      </c>
      <c r="L531" s="5">
        <f t="shared" si="78"/>
        <v>9.0468054741113992E-3</v>
      </c>
    </row>
    <row r="532" spans="2:12">
      <c r="B532">
        <v>5.12109375</v>
      </c>
      <c r="C532">
        <v>0.85371732711792003</v>
      </c>
      <c r="D532">
        <v>45.346902343750003</v>
      </c>
      <c r="E532" s="5">
        <f t="shared" si="72"/>
        <v>45346.90234375</v>
      </c>
      <c r="F532" s="5">
        <v>9.1154557594563798E-2</v>
      </c>
      <c r="G532">
        <f t="shared" si="73"/>
        <v>906.93804687500005</v>
      </c>
      <c r="H532">
        <f t="shared" si="74"/>
        <v>9.1154557594563795E-3</v>
      </c>
      <c r="I532">
        <f t="shared" si="75"/>
        <v>1.1074160751446271E-2</v>
      </c>
      <c r="J532">
        <f t="shared" si="76"/>
        <v>993.12152344203719</v>
      </c>
      <c r="K532" s="5">
        <f t="shared" si="77"/>
        <v>915.20520051785695</v>
      </c>
      <c r="L532" s="5">
        <f t="shared" si="78"/>
        <v>9.074160751446271E-3</v>
      </c>
    </row>
    <row r="533" spans="2:12">
      <c r="B533">
        <v>5.130859375</v>
      </c>
      <c r="C533">
        <v>0.85533113451674603</v>
      </c>
      <c r="D533">
        <v>45.381343749999999</v>
      </c>
      <c r="E533" s="5">
        <f t="shared" si="72"/>
        <v>45381.34375</v>
      </c>
      <c r="F533" s="5">
        <v>9.1447560407687006E-2</v>
      </c>
      <c r="G533">
        <f t="shared" si="73"/>
        <v>907.62687500000004</v>
      </c>
      <c r="H533">
        <f t="shared" si="74"/>
        <v>9.1447560407687013E-3</v>
      </c>
      <c r="I533">
        <f t="shared" si="75"/>
        <v>1.1103195938428668E-2</v>
      </c>
      <c r="J533">
        <f t="shared" si="76"/>
        <v>996.29927948132558</v>
      </c>
      <c r="K533" s="5">
        <f t="shared" si="77"/>
        <v>915.92690134792031</v>
      </c>
      <c r="L533" s="5">
        <f t="shared" si="78"/>
        <v>9.1031959384286678E-3</v>
      </c>
    </row>
    <row r="534" spans="2:12">
      <c r="B534">
        <v>5.140625</v>
      </c>
      <c r="C534">
        <v>0.85700454656034697</v>
      </c>
      <c r="D534">
        <v>45.420050781249998</v>
      </c>
      <c r="E534" s="5">
        <f t="shared" si="72"/>
        <v>45420.05078125</v>
      </c>
      <c r="F534" s="5">
        <v>9.18200094019994E-2</v>
      </c>
      <c r="G534">
        <f t="shared" si="73"/>
        <v>908.40101562500001</v>
      </c>
      <c r="H534">
        <f t="shared" si="74"/>
        <v>9.1820009401999397E-3</v>
      </c>
      <c r="I534">
        <f t="shared" si="75"/>
        <v>1.1140102647718081E-2</v>
      </c>
      <c r="J534">
        <f t="shared" si="76"/>
        <v>1000.3385342795054</v>
      </c>
      <c r="K534" s="5">
        <f t="shared" si="77"/>
        <v>916.74195460454735</v>
      </c>
      <c r="L534" s="5">
        <f t="shared" si="78"/>
        <v>9.1401026477180812E-3</v>
      </c>
    </row>
    <row r="535" spans="2:12">
      <c r="B535">
        <v>5.150390625</v>
      </c>
      <c r="C535">
        <v>0.85828750161454104</v>
      </c>
      <c r="D535">
        <v>45.479726562499998</v>
      </c>
      <c r="E535" s="5">
        <f t="shared" si="72"/>
        <v>45479.7265625</v>
      </c>
      <c r="F535" s="5">
        <v>9.2192174633964896E-2</v>
      </c>
      <c r="G535">
        <f t="shared" si="73"/>
        <v>909.59453125000005</v>
      </c>
      <c r="H535">
        <f t="shared" si="74"/>
        <v>9.2192174633964896E-3</v>
      </c>
      <c r="I535">
        <f t="shared" si="75"/>
        <v>1.1176979877935174E-2</v>
      </c>
      <c r="J535">
        <f t="shared" si="76"/>
        <v>1004.3745627406151</v>
      </c>
      <c r="K535" s="5">
        <f t="shared" si="77"/>
        <v>917.98028103710999</v>
      </c>
      <c r="L535" s="5">
        <f t="shared" si="78"/>
        <v>9.1769798779351743E-3</v>
      </c>
    </row>
    <row r="536" spans="2:12">
      <c r="B536">
        <v>5.16015625</v>
      </c>
      <c r="C536">
        <v>0.86002796888351396</v>
      </c>
      <c r="D536">
        <v>45.523707031249998</v>
      </c>
      <c r="E536" s="5">
        <f t="shared" si="72"/>
        <v>45523.70703125</v>
      </c>
      <c r="F536" s="5">
        <v>9.26033681025729E-2</v>
      </c>
      <c r="G536">
        <f t="shared" si="73"/>
        <v>910.47414062500002</v>
      </c>
      <c r="H536">
        <f t="shared" si="74"/>
        <v>9.2603368102572893E-3</v>
      </c>
      <c r="I536">
        <f t="shared" si="75"/>
        <v>1.1217722769563107E-2</v>
      </c>
      <c r="J536">
        <f t="shared" si="76"/>
        <v>1008.8336685148342</v>
      </c>
      <c r="K536" s="5">
        <f t="shared" si="77"/>
        <v>918.90543782421707</v>
      </c>
      <c r="L536" s="5">
        <f t="shared" si="78"/>
        <v>9.2177227695631071E-3</v>
      </c>
    </row>
    <row r="537" spans="2:12">
      <c r="B537">
        <v>5.169921875</v>
      </c>
      <c r="C537">
        <v>0.86078344611450996</v>
      </c>
      <c r="D537">
        <v>45.554996093749999</v>
      </c>
      <c r="E537" s="5">
        <f t="shared" si="72"/>
        <v>45554.99609375</v>
      </c>
      <c r="F537" s="5">
        <v>9.2877940915059298E-2</v>
      </c>
      <c r="G537">
        <f t="shared" si="73"/>
        <v>911.09992187499995</v>
      </c>
      <c r="H537">
        <f t="shared" si="74"/>
        <v>9.2877940915059298E-3</v>
      </c>
      <c r="I537">
        <f t="shared" si="75"/>
        <v>1.1244927750043876E-2</v>
      </c>
      <c r="J537">
        <f t="shared" si="76"/>
        <v>1011.811117603552</v>
      </c>
      <c r="K537" s="5">
        <f t="shared" si="77"/>
        <v>919.56203034616203</v>
      </c>
      <c r="L537" s="5">
        <f t="shared" si="78"/>
        <v>9.244927750043876E-3</v>
      </c>
    </row>
    <row r="538" spans="2:12">
      <c r="B538">
        <v>5.1796875</v>
      </c>
      <c r="C538">
        <v>0.86284725693985798</v>
      </c>
      <c r="D538">
        <v>45.587515625000002</v>
      </c>
      <c r="E538" s="5">
        <f t="shared" si="72"/>
        <v>45587.515625</v>
      </c>
      <c r="F538" s="5">
        <v>9.3298382125794901E-2</v>
      </c>
      <c r="G538">
        <f t="shared" si="73"/>
        <v>911.75031249999995</v>
      </c>
      <c r="H538">
        <f t="shared" si="74"/>
        <v>9.3298382125794905E-3</v>
      </c>
      <c r="I538">
        <f t="shared" si="75"/>
        <v>1.1286584099821867E-2</v>
      </c>
      <c r="J538">
        <f t="shared" si="76"/>
        <v>1016.3701968050042</v>
      </c>
      <c r="K538" s="5">
        <f t="shared" si="77"/>
        <v>920.25679540589374</v>
      </c>
      <c r="L538" s="5">
        <f t="shared" si="78"/>
        <v>9.2865840998218666E-3</v>
      </c>
    </row>
    <row r="539" spans="2:12">
      <c r="B539">
        <v>5.189453125</v>
      </c>
      <c r="C539">
        <v>0.86487532826140501</v>
      </c>
      <c r="D539">
        <v>45.650109375</v>
      </c>
      <c r="E539" s="5">
        <f t="shared" si="72"/>
        <v>45650.109375</v>
      </c>
      <c r="F539" s="5">
        <v>9.3684728199150399E-2</v>
      </c>
      <c r="G539">
        <f t="shared" si="73"/>
        <v>913.00218749999999</v>
      </c>
      <c r="H539">
        <f t="shared" si="74"/>
        <v>9.3684728199150396E-3</v>
      </c>
      <c r="I539">
        <f t="shared" si="75"/>
        <v>1.1324860851854723E-2</v>
      </c>
      <c r="J539">
        <f t="shared" si="76"/>
        <v>1020.5593959312401</v>
      </c>
      <c r="K539" s="5">
        <f t="shared" si="77"/>
        <v>921.55562367811672</v>
      </c>
      <c r="L539" s="5">
        <f t="shared" si="78"/>
        <v>9.324860851854723E-3</v>
      </c>
    </row>
    <row r="540" spans="2:12">
      <c r="B540">
        <v>5.19921875</v>
      </c>
      <c r="C540">
        <v>0.86787046166136905</v>
      </c>
      <c r="D540">
        <v>45.687347656249997</v>
      </c>
      <c r="E540" s="5">
        <f t="shared" si="72"/>
        <v>45687.34765625</v>
      </c>
      <c r="F540" s="5">
        <v>9.4062292191665606E-2</v>
      </c>
      <c r="G540">
        <f t="shared" si="73"/>
        <v>913.746953125</v>
      </c>
      <c r="H540">
        <f t="shared" si="74"/>
        <v>9.4062292191665602E-3</v>
      </c>
      <c r="I540">
        <f t="shared" si="75"/>
        <v>1.1362266114777612E-2</v>
      </c>
      <c r="J540">
        <f t="shared" si="76"/>
        <v>1024.6532149318357</v>
      </c>
      <c r="K540" s="5">
        <f t="shared" si="77"/>
        <v>922.34186641440886</v>
      </c>
      <c r="L540" s="5">
        <f t="shared" si="78"/>
        <v>9.3622661147776121E-3</v>
      </c>
    </row>
    <row r="541" spans="2:12">
      <c r="B541">
        <v>5.208984375</v>
      </c>
      <c r="C541">
        <v>0.86851569358259395</v>
      </c>
      <c r="D541">
        <v>45.71425</v>
      </c>
      <c r="E541" s="5">
        <f t="shared" si="72"/>
        <v>45714.25</v>
      </c>
      <c r="F541" s="5">
        <v>9.4536575488746194E-2</v>
      </c>
      <c r="G541">
        <f t="shared" si="73"/>
        <v>914.28499999999997</v>
      </c>
      <c r="H541">
        <f t="shared" si="74"/>
        <v>9.4536575488746201E-3</v>
      </c>
      <c r="I541">
        <f t="shared" si="75"/>
        <v>1.1409251376139861E-2</v>
      </c>
      <c r="J541">
        <f t="shared" si="76"/>
        <v>1029.795516861627</v>
      </c>
      <c r="K541" s="5">
        <f t="shared" si="77"/>
        <v>922.9283372920728</v>
      </c>
      <c r="L541" s="5">
        <f t="shared" si="78"/>
        <v>9.409251376139861E-3</v>
      </c>
    </row>
    <row r="542" spans="2:12">
      <c r="B542">
        <v>5.21875</v>
      </c>
      <c r="C542">
        <v>0.868822622578591</v>
      </c>
      <c r="D542">
        <v>45.753515624999999</v>
      </c>
      <c r="E542" s="5">
        <f t="shared" si="72"/>
        <v>45753.515625</v>
      </c>
      <c r="F542" s="5">
        <v>9.4834176707081497E-2</v>
      </c>
      <c r="G542">
        <f t="shared" si="73"/>
        <v>915.0703125</v>
      </c>
      <c r="H542">
        <f t="shared" si="74"/>
        <v>9.4834176707081497E-3</v>
      </c>
      <c r="I542">
        <f t="shared" si="75"/>
        <v>1.143873235620701E-2</v>
      </c>
      <c r="J542">
        <f t="shared" si="76"/>
        <v>1033.0220627250762</v>
      </c>
      <c r="K542" s="5">
        <f t="shared" si="77"/>
        <v>923.74830647150293</v>
      </c>
      <c r="L542" s="5">
        <f t="shared" si="78"/>
        <v>9.4387323562070101E-3</v>
      </c>
    </row>
    <row r="543" spans="2:12">
      <c r="B543">
        <v>5.228515625</v>
      </c>
      <c r="C543">
        <v>0.87461469229310795</v>
      </c>
      <c r="D543">
        <v>45.788195312500001</v>
      </c>
      <c r="E543" s="5">
        <f t="shared" si="72"/>
        <v>45788.1953125</v>
      </c>
      <c r="F543" s="5">
        <v>9.5349714683834505E-2</v>
      </c>
      <c r="G543">
        <f t="shared" si="73"/>
        <v>915.76390624999999</v>
      </c>
      <c r="H543">
        <f t="shared" si="74"/>
        <v>9.5349714683834498E-3</v>
      </c>
      <c r="I543">
        <f t="shared" si="75"/>
        <v>1.1489800536629562E-2</v>
      </c>
      <c r="J543">
        <f t="shared" si="76"/>
        <v>1038.6112197314224</v>
      </c>
      <c r="K543" s="5">
        <f t="shared" si="77"/>
        <v>924.49568896786911</v>
      </c>
      <c r="L543" s="5">
        <f t="shared" si="78"/>
        <v>9.4898005366295616E-3</v>
      </c>
    </row>
    <row r="544" spans="2:12">
      <c r="B544">
        <v>5.23828125</v>
      </c>
      <c r="C544">
        <v>0.87350758258253303</v>
      </c>
      <c r="D544">
        <v>45.804117187499997</v>
      </c>
      <c r="E544" s="5">
        <f t="shared" si="72"/>
        <v>45804.1171875</v>
      </c>
      <c r="F544" s="5">
        <v>9.5640440122224404E-2</v>
      </c>
      <c r="G544">
        <f t="shared" si="73"/>
        <v>916.08234374999995</v>
      </c>
      <c r="H544">
        <f t="shared" si="74"/>
        <v>9.5640440122224408E-3</v>
      </c>
      <c r="I544">
        <f t="shared" si="75"/>
        <v>1.1518598078125148E-2</v>
      </c>
      <c r="J544">
        <f t="shared" si="76"/>
        <v>1041.7629666604068</v>
      </c>
      <c r="K544" s="5">
        <f t="shared" si="77"/>
        <v>924.84379560444484</v>
      </c>
      <c r="L544" s="5">
        <f t="shared" si="78"/>
        <v>9.5185980781251484E-3</v>
      </c>
    </row>
    <row r="545" spans="2:12">
      <c r="B545">
        <v>5.248046875</v>
      </c>
      <c r="C545">
        <v>0.87510346202179801</v>
      </c>
      <c r="D545">
        <v>45.830894531250003</v>
      </c>
      <c r="E545" s="5">
        <f t="shared" si="72"/>
        <v>45830.89453125</v>
      </c>
      <c r="F545" s="5">
        <v>9.6044706879183706E-2</v>
      </c>
      <c r="G545">
        <f t="shared" si="73"/>
        <v>916.61789062499997</v>
      </c>
      <c r="H545">
        <f t="shared" si="74"/>
        <v>9.6044706879183702E-3</v>
      </c>
      <c r="I545">
        <f t="shared" si="75"/>
        <v>1.155864097242249E-2</v>
      </c>
      <c r="J545">
        <f t="shared" si="76"/>
        <v>1046.1454612267794</v>
      </c>
      <c r="K545" s="5">
        <f t="shared" si="77"/>
        <v>925.42152028752935</v>
      </c>
      <c r="L545" s="5">
        <f t="shared" si="78"/>
        <v>9.5586409724224899E-3</v>
      </c>
    </row>
    <row r="546" spans="2:12">
      <c r="B546">
        <v>5.2578125</v>
      </c>
      <c r="C546">
        <v>0.87621511192992296</v>
      </c>
      <c r="D546">
        <v>45.847535156249997</v>
      </c>
      <c r="E546" s="5">
        <f t="shared" si="72"/>
        <v>45847.53515625</v>
      </c>
      <c r="F546" s="5">
        <v>9.6481569926254507E-2</v>
      </c>
      <c r="G546">
        <f t="shared" si="73"/>
        <v>916.95070312500002</v>
      </c>
      <c r="H546">
        <f t="shared" si="74"/>
        <v>9.6481569926254503E-3</v>
      </c>
      <c r="I546">
        <f t="shared" si="75"/>
        <v>1.1601910748690235E-2</v>
      </c>
      <c r="J546">
        <f t="shared" si="76"/>
        <v>1050.8811218904027</v>
      </c>
      <c r="K546" s="5">
        <f t="shared" si="77"/>
        <v>925.79758746324831</v>
      </c>
      <c r="L546" s="5">
        <f t="shared" si="78"/>
        <v>9.6019107486902348E-3</v>
      </c>
    </row>
    <row r="547" spans="2:12">
      <c r="B547">
        <v>5.267578125</v>
      </c>
      <c r="C547">
        <v>0.87905081454664502</v>
      </c>
      <c r="D547">
        <v>45.897652343750003</v>
      </c>
      <c r="E547" s="5">
        <f t="shared" si="72"/>
        <v>45897.65234375</v>
      </c>
      <c r="F547" s="5">
        <v>9.6886484243441401E-2</v>
      </c>
      <c r="G547">
        <f t="shared" si="73"/>
        <v>917.95304687500004</v>
      </c>
      <c r="H547">
        <f t="shared" si="74"/>
        <v>9.6886484243441408E-3</v>
      </c>
      <c r="I547">
        <f t="shared" si="75"/>
        <v>1.1642014441759661E-2</v>
      </c>
      <c r="J547">
        <f t="shared" si="76"/>
        <v>1055.2702705783861</v>
      </c>
      <c r="K547" s="5">
        <f t="shared" si="77"/>
        <v>926.84677121622747</v>
      </c>
      <c r="L547" s="5">
        <f t="shared" si="78"/>
        <v>9.6420144417596609E-3</v>
      </c>
    </row>
    <row r="548" spans="2:12">
      <c r="B548">
        <v>5.27734375</v>
      </c>
      <c r="C548">
        <v>0.88017882080748699</v>
      </c>
      <c r="D548">
        <v>45.918703125</v>
      </c>
      <c r="E548" s="5">
        <f t="shared" si="72"/>
        <v>45918.703125</v>
      </c>
      <c r="F548" s="5">
        <v>9.7268028184771496E-2</v>
      </c>
      <c r="G548">
        <f t="shared" si="73"/>
        <v>918.37406250000004</v>
      </c>
      <c r="H548">
        <f t="shared" si="74"/>
        <v>9.7268028184771503E-3</v>
      </c>
      <c r="I548">
        <f t="shared" si="75"/>
        <v>1.167980200460521E-2</v>
      </c>
      <c r="J548">
        <f t="shared" si="76"/>
        <v>1059.4059303940171</v>
      </c>
      <c r="K548" s="5">
        <f t="shared" si="77"/>
        <v>927.30690591954135</v>
      </c>
      <c r="L548" s="5">
        <f t="shared" si="78"/>
        <v>9.6798020046052098E-3</v>
      </c>
    </row>
    <row r="549" spans="2:12">
      <c r="B549">
        <v>5.287109375</v>
      </c>
      <c r="C549">
        <v>0.88283570948988199</v>
      </c>
      <c r="D549">
        <v>45.962300781250001</v>
      </c>
      <c r="E549" s="5">
        <f t="shared" si="72"/>
        <v>45962.30078125</v>
      </c>
      <c r="F549" s="5">
        <v>9.7717289463616894E-2</v>
      </c>
      <c r="G549">
        <f t="shared" si="73"/>
        <v>919.24601562500004</v>
      </c>
      <c r="H549">
        <f t="shared" si="74"/>
        <v>9.771728946361689E-3</v>
      </c>
      <c r="I549">
        <f t="shared" si="75"/>
        <v>1.1724294364649352E-2</v>
      </c>
      <c r="J549">
        <f t="shared" si="76"/>
        <v>1064.2753967390483</v>
      </c>
      <c r="K549" s="5">
        <f t="shared" si="77"/>
        <v>928.2286385247105</v>
      </c>
      <c r="L549" s="5">
        <f t="shared" si="78"/>
        <v>9.724294364649352E-3</v>
      </c>
    </row>
    <row r="550" spans="2:12">
      <c r="B550">
        <v>5.296875</v>
      </c>
      <c r="C550">
        <v>0.88406505528837398</v>
      </c>
      <c r="D550">
        <v>45.991195312499997</v>
      </c>
      <c r="E550" s="5">
        <f t="shared" si="72"/>
        <v>45991.1953125</v>
      </c>
      <c r="F550" s="5">
        <v>9.8090524261351703E-2</v>
      </c>
      <c r="G550">
        <f t="shared" si="73"/>
        <v>919.82390625000005</v>
      </c>
      <c r="H550">
        <f t="shared" si="74"/>
        <v>9.8090524261351709E-3</v>
      </c>
      <c r="I550">
        <f t="shared" si="75"/>
        <v>1.1761255975813388E-2</v>
      </c>
      <c r="J550">
        <f t="shared" si="76"/>
        <v>1068.3206602728962</v>
      </c>
      <c r="K550" s="5">
        <f t="shared" si="77"/>
        <v>928.84650716921874</v>
      </c>
      <c r="L550" s="5">
        <f t="shared" si="78"/>
        <v>9.7612559758133884E-3</v>
      </c>
    </row>
    <row r="551" spans="2:12">
      <c r="B551">
        <v>5.306640625</v>
      </c>
      <c r="C551">
        <v>0.88559836149215698</v>
      </c>
      <c r="D551">
        <v>46.013804687499999</v>
      </c>
      <c r="E551" s="5">
        <f t="shared" si="72"/>
        <v>46013.8046875</v>
      </c>
      <c r="F551" s="5">
        <v>9.8535558208823204E-2</v>
      </c>
      <c r="G551">
        <f t="shared" si="73"/>
        <v>920.27609374999997</v>
      </c>
      <c r="H551">
        <f t="shared" si="74"/>
        <v>9.8535558208823204E-3</v>
      </c>
      <c r="I551">
        <f t="shared" si="75"/>
        <v>1.1805326103737362E-2</v>
      </c>
      <c r="J551">
        <f t="shared" si="76"/>
        <v>1073.1439154235356</v>
      </c>
      <c r="K551" s="5">
        <f t="shared" si="77"/>
        <v>929.34408561038913</v>
      </c>
      <c r="L551" s="5">
        <f t="shared" si="78"/>
        <v>9.8053261037373621E-3</v>
      </c>
    </row>
    <row r="552" spans="2:12">
      <c r="B552">
        <v>5.31640625</v>
      </c>
      <c r="C552">
        <v>0.88649394456297204</v>
      </c>
      <c r="D552">
        <v>46.030269531249999</v>
      </c>
      <c r="E552" s="5">
        <f t="shared" si="72"/>
        <v>46030.26953125</v>
      </c>
      <c r="F552" s="5">
        <v>9.8974014690611498E-2</v>
      </c>
      <c r="G552">
        <f t="shared" si="73"/>
        <v>920.60539062500004</v>
      </c>
      <c r="H552">
        <f t="shared" si="74"/>
        <v>9.8974014690611494E-3</v>
      </c>
      <c r="I552">
        <f t="shared" si="75"/>
        <v>1.1848742989395929E-2</v>
      </c>
      <c r="J552">
        <f t="shared" si="76"/>
        <v>1077.8956764744373</v>
      </c>
      <c r="K552" s="5">
        <f t="shared" si="77"/>
        <v>929.71699177059759</v>
      </c>
      <c r="L552" s="5">
        <f t="shared" si="78"/>
        <v>9.8487429893959286E-3</v>
      </c>
    </row>
    <row r="553" spans="2:12">
      <c r="B553">
        <v>5.326171875</v>
      </c>
      <c r="C553">
        <v>0.888161361217499</v>
      </c>
      <c r="D553">
        <v>46.059105468749998</v>
      </c>
      <c r="E553" s="5">
        <f t="shared" si="72"/>
        <v>46059.10546875</v>
      </c>
      <c r="F553" s="5">
        <v>9.9412674899213002E-2</v>
      </c>
      <c r="G553">
        <f t="shared" si="73"/>
        <v>921.18210937499998</v>
      </c>
      <c r="H553">
        <f t="shared" si="74"/>
        <v>9.9412674899212999E-3</v>
      </c>
      <c r="I553">
        <f t="shared" si="75"/>
        <v>1.1892178162255209E-2</v>
      </c>
      <c r="J553">
        <f t="shared" si="76"/>
        <v>1082.6494389680213</v>
      </c>
      <c r="K553" s="5">
        <f t="shared" si="77"/>
        <v>930.3398271312268</v>
      </c>
      <c r="L553" s="5">
        <f t="shared" si="78"/>
        <v>9.892178162255209E-3</v>
      </c>
    </row>
    <row r="554" spans="2:12">
      <c r="B554">
        <v>5.3359375</v>
      </c>
      <c r="C554">
        <v>0.89123251382261504</v>
      </c>
      <c r="D554">
        <v>46.095621093749997</v>
      </c>
      <c r="E554" s="5">
        <f t="shared" si="72"/>
        <v>46095.62109375</v>
      </c>
      <c r="F554" s="5">
        <v>9.9966935522388695E-2</v>
      </c>
      <c r="G554">
        <f t="shared" si="73"/>
        <v>921.91242187499995</v>
      </c>
      <c r="H554">
        <f t="shared" si="74"/>
        <v>9.9966935522388702E-3</v>
      </c>
      <c r="I554">
        <f t="shared" si="75"/>
        <v>1.1947057137154894E-2</v>
      </c>
      <c r="J554">
        <f t="shared" si="76"/>
        <v>1088.6556683759175</v>
      </c>
      <c r="K554" s="5">
        <f t="shared" si="77"/>
        <v>931.12849783848662</v>
      </c>
      <c r="L554" s="5">
        <f t="shared" si="78"/>
        <v>9.9470571371548938E-3</v>
      </c>
    </row>
    <row r="555" spans="2:12">
      <c r="B555">
        <v>5.345703125</v>
      </c>
      <c r="C555">
        <v>0.89168100384995297</v>
      </c>
      <c r="D555">
        <v>46.121445312500001</v>
      </c>
      <c r="E555" s="5">
        <f t="shared" si="72"/>
        <v>46121.4453125</v>
      </c>
      <c r="F555" s="5">
        <v>0.100247241789475</v>
      </c>
      <c r="G555">
        <f t="shared" si="73"/>
        <v>922.42890624999995</v>
      </c>
      <c r="H555">
        <f t="shared" si="74"/>
        <v>1.00247241789475E-2</v>
      </c>
      <c r="I555">
        <f t="shared" si="75"/>
        <v>1.1974809938649368E-2</v>
      </c>
      <c r="J555">
        <f t="shared" si="76"/>
        <v>1091.6930737354801</v>
      </c>
      <c r="K555" s="5">
        <f t="shared" si="77"/>
        <v>931.67600160984443</v>
      </c>
      <c r="L555" s="5">
        <f t="shared" si="78"/>
        <v>9.9748099386493677E-3</v>
      </c>
    </row>
    <row r="556" spans="2:12">
      <c r="B556">
        <v>5.35546875</v>
      </c>
      <c r="C556">
        <v>0.89427677448838905</v>
      </c>
      <c r="D556">
        <v>46.157636718749998</v>
      </c>
      <c r="E556" s="5">
        <f t="shared" si="72"/>
        <v>46157.63671875</v>
      </c>
      <c r="F556" s="5">
        <v>0.10081921936944099</v>
      </c>
      <c r="G556">
        <f t="shared" si="73"/>
        <v>923.15273437500002</v>
      </c>
      <c r="H556">
        <f t="shared" si="74"/>
        <v>1.0081921936944099E-2</v>
      </c>
      <c r="I556">
        <f t="shared" si="75"/>
        <v>1.2031438392520235E-2</v>
      </c>
      <c r="J556">
        <f t="shared" si="76"/>
        <v>1097.8907748693771</v>
      </c>
      <c r="K556" s="5">
        <f t="shared" si="77"/>
        <v>932.45988817884529</v>
      </c>
      <c r="L556" s="5">
        <f t="shared" si="78"/>
        <v>1.0031438392520235E-2</v>
      </c>
    </row>
    <row r="557" spans="2:12">
      <c r="B557">
        <v>5.365234375</v>
      </c>
      <c r="C557">
        <v>0.89536159066483401</v>
      </c>
      <c r="D557">
        <v>46.165999999999997</v>
      </c>
      <c r="E557" s="5">
        <f t="shared" si="72"/>
        <v>46166</v>
      </c>
      <c r="F557" s="5">
        <v>0.101227306004148</v>
      </c>
      <c r="G557">
        <f t="shared" si="73"/>
        <v>923.32</v>
      </c>
      <c r="H557">
        <f t="shared" si="74"/>
        <v>1.0122730600414801E-2</v>
      </c>
      <c r="I557">
        <f t="shared" si="75"/>
        <v>1.207183891671957E-2</v>
      </c>
      <c r="J557">
        <f t="shared" si="76"/>
        <v>1102.3124102403733</v>
      </c>
      <c r="K557" s="5">
        <f t="shared" si="77"/>
        <v>932.66651961797504</v>
      </c>
      <c r="L557" s="5">
        <f t="shared" si="78"/>
        <v>1.007183891671957E-2</v>
      </c>
    </row>
    <row r="558" spans="2:12">
      <c r="B558">
        <v>5.375</v>
      </c>
      <c r="C558">
        <v>0.896802521310747</v>
      </c>
      <c r="D558">
        <v>46.184015625000001</v>
      </c>
      <c r="E558" s="5">
        <f t="shared" si="72"/>
        <v>46184.015625</v>
      </c>
      <c r="F558" s="5">
        <v>0.101656645711046</v>
      </c>
      <c r="G558">
        <f t="shared" si="73"/>
        <v>923.68031250000001</v>
      </c>
      <c r="H558">
        <f t="shared" si="74"/>
        <v>1.0165664571104601E-2</v>
      </c>
      <c r="I558">
        <f t="shared" si="75"/>
        <v>1.211434173047512E-2</v>
      </c>
      <c r="J558">
        <f t="shared" si="76"/>
        <v>1106.9641306918495</v>
      </c>
      <c r="K558" s="5">
        <f t="shared" si="77"/>
        <v>933.07013672780806</v>
      </c>
      <c r="L558" s="5">
        <f t="shared" si="78"/>
        <v>1.011434173047512E-2</v>
      </c>
    </row>
    <row r="559" spans="2:12">
      <c r="B559">
        <v>5.384765625</v>
      </c>
      <c r="C559">
        <v>0.89863094035536095</v>
      </c>
      <c r="D559">
        <v>46.185214843750003</v>
      </c>
      <c r="E559" s="5">
        <f t="shared" si="72"/>
        <v>46185.21484375</v>
      </c>
      <c r="F559" s="5">
        <v>0.102119920484256</v>
      </c>
      <c r="G559">
        <f t="shared" si="73"/>
        <v>923.70429687499995</v>
      </c>
      <c r="H559">
        <f t="shared" si="74"/>
        <v>1.02119920484256E-2</v>
      </c>
      <c r="I559">
        <f t="shared" si="75"/>
        <v>1.216020194594262E-2</v>
      </c>
      <c r="J559">
        <f t="shared" si="76"/>
        <v>1111.98330197369</v>
      </c>
      <c r="K559" s="5">
        <f t="shared" si="77"/>
        <v>933.13715780978396</v>
      </c>
      <c r="L559" s="5">
        <f t="shared" si="78"/>
        <v>1.016020194594262E-2</v>
      </c>
    </row>
    <row r="560" spans="2:12">
      <c r="B560">
        <v>5.39453125</v>
      </c>
      <c r="C560">
        <v>0.90024917153641604</v>
      </c>
      <c r="D560">
        <v>46.206207031250003</v>
      </c>
      <c r="E560" s="5">
        <f t="shared" si="72"/>
        <v>46206.20703125</v>
      </c>
      <c r="F560" s="5">
        <v>0.102491729194298</v>
      </c>
      <c r="G560">
        <f t="shared" si="73"/>
        <v>924.124140625</v>
      </c>
      <c r="H560">
        <f t="shared" si="74"/>
        <v>1.02491729194298E-2</v>
      </c>
      <c r="I560">
        <f t="shared" si="75"/>
        <v>1.2197006287103048E-2</v>
      </c>
      <c r="J560">
        <f t="shared" si="76"/>
        <v>1116.011353091993</v>
      </c>
      <c r="K560" s="5">
        <f t="shared" si="77"/>
        <v>933.59564874128512</v>
      </c>
      <c r="L560" s="5">
        <f t="shared" si="78"/>
        <v>1.0197006287103048E-2</v>
      </c>
    </row>
    <row r="561" spans="2:12">
      <c r="B561">
        <v>5.404296875</v>
      </c>
      <c r="C561">
        <v>0.90095249470323302</v>
      </c>
      <c r="D561">
        <v>46.232093749999997</v>
      </c>
      <c r="E561" s="5">
        <f t="shared" si="72"/>
        <v>46232.09375</v>
      </c>
      <c r="F561" s="5">
        <v>0.102968151622918</v>
      </c>
      <c r="G561">
        <f t="shared" si="73"/>
        <v>924.64187500000003</v>
      </c>
      <c r="H561">
        <f t="shared" si="74"/>
        <v>1.0296815162291801E-2</v>
      </c>
      <c r="I561">
        <f t="shared" si="75"/>
        <v>1.224416407826619E-2</v>
      </c>
      <c r="J561">
        <f t="shared" si="76"/>
        <v>1121.1725375458432</v>
      </c>
      <c r="K561" s="5">
        <f t="shared" si="77"/>
        <v>934.1627414781899</v>
      </c>
      <c r="L561" s="5">
        <f t="shared" si="78"/>
        <v>1.024416407826619E-2</v>
      </c>
    </row>
    <row r="562" spans="2:12">
      <c r="B562">
        <v>5.4140625</v>
      </c>
      <c r="C562">
        <v>0.90261700097471498</v>
      </c>
      <c r="D562">
        <v>46.254371093750002</v>
      </c>
      <c r="E562" s="5">
        <f t="shared" si="72"/>
        <v>46254.37109375</v>
      </c>
      <c r="F562" s="5">
        <v>0.103457481600344</v>
      </c>
      <c r="G562">
        <f t="shared" si="73"/>
        <v>925.08742187500002</v>
      </c>
      <c r="H562">
        <f t="shared" si="74"/>
        <v>1.0345748160034401E-2</v>
      </c>
      <c r="I562">
        <f t="shared" si="75"/>
        <v>1.2292597184289432E-2</v>
      </c>
      <c r="J562">
        <f t="shared" si="76"/>
        <v>1126.4732988345568</v>
      </c>
      <c r="K562" s="5">
        <f t="shared" si="77"/>
        <v>934.65814336773428</v>
      </c>
      <c r="L562" s="5">
        <f t="shared" si="78"/>
        <v>1.0292597184289431E-2</v>
      </c>
    </row>
    <row r="563" spans="2:12">
      <c r="B563">
        <v>5.423828125</v>
      </c>
      <c r="C563">
        <v>0.90380606707185496</v>
      </c>
      <c r="D563">
        <v>46.278378906249998</v>
      </c>
      <c r="E563" s="5">
        <f t="shared" si="72"/>
        <v>46278.37890625</v>
      </c>
      <c r="F563" s="5">
        <v>0.10389568342361601</v>
      </c>
      <c r="G563">
        <f t="shared" si="73"/>
        <v>925.56757812499995</v>
      </c>
      <c r="H563">
        <f t="shared" si="74"/>
        <v>1.0389568342361601E-2</v>
      </c>
      <c r="I563">
        <f t="shared" si="75"/>
        <v>1.2335967715774868E-2</v>
      </c>
      <c r="J563">
        <f t="shared" si="76"/>
        <v>1131.2199866529804</v>
      </c>
      <c r="K563" s="5">
        <f t="shared" si="77"/>
        <v>935.18382573340375</v>
      </c>
      <c r="L563" s="5">
        <f t="shared" si="78"/>
        <v>1.0335967715774868E-2</v>
      </c>
    </row>
    <row r="564" spans="2:12">
      <c r="B564">
        <v>5.43359375</v>
      </c>
      <c r="C564">
        <v>0.90677588013932098</v>
      </c>
      <c r="D564">
        <v>46.281023437499996</v>
      </c>
      <c r="E564" s="5">
        <f t="shared" si="72"/>
        <v>46281.0234375</v>
      </c>
      <c r="F564" s="5">
        <v>0.104375489172526</v>
      </c>
      <c r="G564">
        <f t="shared" si="73"/>
        <v>925.62046874999999</v>
      </c>
      <c r="H564">
        <f t="shared" si="74"/>
        <v>1.04375489172526E-2</v>
      </c>
      <c r="I564">
        <f t="shared" si="75"/>
        <v>1.2383453791639737E-2</v>
      </c>
      <c r="J564">
        <f t="shared" si="76"/>
        <v>1136.4171002260111</v>
      </c>
      <c r="K564" s="5">
        <f t="shared" si="77"/>
        <v>935.28167767138837</v>
      </c>
      <c r="L564" s="5">
        <f t="shared" si="78"/>
        <v>1.0383453791639737E-2</v>
      </c>
    </row>
    <row r="565" spans="2:12">
      <c r="B565">
        <v>5.443359375</v>
      </c>
      <c r="C565">
        <v>0.90692343655973695</v>
      </c>
      <c r="D565">
        <v>46.312246093749998</v>
      </c>
      <c r="E565" s="5">
        <f t="shared" si="72"/>
        <v>46312.24609375</v>
      </c>
      <c r="F565" s="5">
        <v>0.10486706014489799</v>
      </c>
      <c r="G565">
        <f t="shared" si="73"/>
        <v>926.24492187500005</v>
      </c>
      <c r="H565">
        <f t="shared" si="74"/>
        <v>1.04867060144898E-2</v>
      </c>
      <c r="I565">
        <f t="shared" si="75"/>
        <v>1.2432101925904958E-2</v>
      </c>
      <c r="J565">
        <f t="shared" si="76"/>
        <v>1141.741395280668</v>
      </c>
      <c r="K565" s="5">
        <f t="shared" si="77"/>
        <v>935.95818006811726</v>
      </c>
      <c r="L565" s="5">
        <f t="shared" si="78"/>
        <v>1.0432101925904958E-2</v>
      </c>
    </row>
    <row r="566" spans="2:12">
      <c r="B566">
        <v>5.453125</v>
      </c>
      <c r="C566">
        <v>0.91013609198853396</v>
      </c>
      <c r="D566">
        <v>46.345265625000003</v>
      </c>
      <c r="E566" s="5">
        <f t="shared" si="72"/>
        <v>46345.265625</v>
      </c>
      <c r="F566" s="5">
        <v>0.10535868932493</v>
      </c>
      <c r="G566">
        <f t="shared" si="73"/>
        <v>926.90531250000004</v>
      </c>
      <c r="H566">
        <f t="shared" si="74"/>
        <v>1.0535868932493E-2</v>
      </c>
      <c r="I566">
        <f t="shared" si="75"/>
        <v>1.2480753453723009E-2</v>
      </c>
      <c r="J566">
        <f t="shared" si="76"/>
        <v>1147.0660617427147</v>
      </c>
      <c r="K566" s="5">
        <f t="shared" si="77"/>
        <v>936.67106538533153</v>
      </c>
      <c r="L566" s="5">
        <f t="shared" si="78"/>
        <v>1.0480753453723009E-2</v>
      </c>
    </row>
    <row r="567" spans="2:12">
      <c r="B567">
        <v>5.462890625</v>
      </c>
      <c r="C567">
        <v>0.91120303841307804</v>
      </c>
      <c r="D567">
        <v>46.359476562499999</v>
      </c>
      <c r="E567" s="5">
        <f t="shared" si="72"/>
        <v>46359.4765625</v>
      </c>
      <c r="F567" s="5">
        <v>0.105899205664173</v>
      </c>
      <c r="G567">
        <f t="shared" si="73"/>
        <v>927.18953124999996</v>
      </c>
      <c r="H567">
        <f t="shared" si="74"/>
        <v>1.0589920566417301E-2</v>
      </c>
      <c r="I567">
        <f t="shared" si="75"/>
        <v>1.2534240113700301E-2</v>
      </c>
      <c r="J567">
        <f t="shared" si="76"/>
        <v>1152.9199092439294</v>
      </c>
      <c r="K567" s="5">
        <f t="shared" si="77"/>
        <v>937.00839473595113</v>
      </c>
      <c r="L567" s="5">
        <f t="shared" si="78"/>
        <v>1.0534240113700301E-2</v>
      </c>
    </row>
    <row r="568" spans="2:12">
      <c r="B568">
        <v>5.47265625</v>
      </c>
      <c r="C568">
        <v>0.91324449749663505</v>
      </c>
      <c r="D568">
        <v>46.398871093750003</v>
      </c>
      <c r="E568" s="5">
        <f t="shared" si="72"/>
        <v>46398.87109375</v>
      </c>
      <c r="F568" s="5">
        <v>0.106337742181495</v>
      </c>
      <c r="G568">
        <f t="shared" si="73"/>
        <v>927.977421875</v>
      </c>
      <c r="H568">
        <f t="shared" si="74"/>
        <v>1.0633774218149501E-2</v>
      </c>
      <c r="I568">
        <f t="shared" si="75"/>
        <v>1.2577633283741049E-2</v>
      </c>
      <c r="J568">
        <f t="shared" si="76"/>
        <v>1157.6690747390392</v>
      </c>
      <c r="K568" s="5">
        <f t="shared" si="77"/>
        <v>937.84532425875921</v>
      </c>
      <c r="L568" s="5">
        <f t="shared" si="78"/>
        <v>1.0577633283741049E-2</v>
      </c>
    </row>
    <row r="569" spans="2:12">
      <c r="B569">
        <v>5.482421875</v>
      </c>
      <c r="C569">
        <v>0.91456470545381296</v>
      </c>
      <c r="D569">
        <v>46.395914062499997</v>
      </c>
      <c r="E569" s="5">
        <f t="shared" si="72"/>
        <v>46395.9140625</v>
      </c>
      <c r="F569" s="5">
        <v>0.106874686025549</v>
      </c>
      <c r="G569">
        <f t="shared" si="73"/>
        <v>927.91828124999995</v>
      </c>
      <c r="H569">
        <f t="shared" si="74"/>
        <v>1.06874686025549E-2</v>
      </c>
      <c r="I569">
        <f t="shared" si="75"/>
        <v>1.2630761290591748E-2</v>
      </c>
      <c r="J569">
        <f t="shared" si="76"/>
        <v>1163.4836694488138</v>
      </c>
      <c r="K569" s="5">
        <f t="shared" si="77"/>
        <v>937.83537874659601</v>
      </c>
      <c r="L569" s="5">
        <f t="shared" si="78"/>
        <v>1.0630761290591748E-2</v>
      </c>
    </row>
    <row r="570" spans="2:12">
      <c r="B570">
        <v>5.4921875</v>
      </c>
      <c r="C570">
        <v>0.91399700613692403</v>
      </c>
      <c r="D570">
        <v>46.405593750000001</v>
      </c>
      <c r="E570" s="5">
        <f t="shared" si="72"/>
        <v>46405.59375</v>
      </c>
      <c r="F570" s="5">
        <v>0.107352345366962</v>
      </c>
      <c r="G570">
        <f t="shared" si="73"/>
        <v>928.11187500000005</v>
      </c>
      <c r="H570">
        <f t="shared" si="74"/>
        <v>1.0735234536696201E-2</v>
      </c>
      <c r="I570">
        <f t="shared" si="75"/>
        <v>1.2678021009280038E-2</v>
      </c>
      <c r="J570">
        <f t="shared" si="76"/>
        <v>1168.6560093606538</v>
      </c>
      <c r="K570" s="5">
        <f t="shared" si="77"/>
        <v>938.07537365441794</v>
      </c>
      <c r="L570" s="5">
        <f t="shared" si="78"/>
        <v>1.0678021009280038E-2</v>
      </c>
    </row>
    <row r="571" spans="2:12">
      <c r="B571">
        <v>5.501953125</v>
      </c>
      <c r="C571">
        <v>0.91808137949556101</v>
      </c>
      <c r="D571">
        <v>46.439609375000003</v>
      </c>
      <c r="E571" s="5">
        <f t="shared" si="72"/>
        <v>46439.609375</v>
      </c>
      <c r="F571" s="5">
        <v>0.10781404125737</v>
      </c>
      <c r="G571">
        <f t="shared" si="73"/>
        <v>928.79218749999995</v>
      </c>
      <c r="H571">
        <f t="shared" si="74"/>
        <v>1.0781404125737E-2</v>
      </c>
      <c r="I571">
        <f t="shared" si="75"/>
        <v>1.2723699178003277E-2</v>
      </c>
      <c r="J571">
        <f t="shared" si="76"/>
        <v>1173.6552565365687</v>
      </c>
      <c r="K571" s="5">
        <f t="shared" si="77"/>
        <v>938.80587142226477</v>
      </c>
      <c r="L571" s="5">
        <f t="shared" si="78"/>
        <v>1.0723699178003277E-2</v>
      </c>
    </row>
    <row r="572" spans="2:12">
      <c r="B572">
        <v>5.51171875</v>
      </c>
      <c r="C572">
        <v>0.91971905203536197</v>
      </c>
      <c r="D572">
        <v>46.440687500000003</v>
      </c>
      <c r="E572" s="5">
        <f t="shared" si="72"/>
        <v>46440.6875</v>
      </c>
      <c r="F572" s="5">
        <v>0.108361076854635</v>
      </c>
      <c r="G572">
        <f t="shared" si="73"/>
        <v>928.81375000000003</v>
      </c>
      <c r="H572">
        <f t="shared" si="74"/>
        <v>1.08361076854635E-2</v>
      </c>
      <c r="I572">
        <f t="shared" si="75"/>
        <v>1.2777817782952261E-2</v>
      </c>
      <c r="J572">
        <f t="shared" si="76"/>
        <v>1179.5782672552102</v>
      </c>
      <c r="K572" s="5">
        <f t="shared" si="77"/>
        <v>938.8784758147392</v>
      </c>
      <c r="L572" s="5">
        <f t="shared" si="78"/>
        <v>1.0777817782952261E-2</v>
      </c>
    </row>
    <row r="573" spans="2:12">
      <c r="B573">
        <v>5.521484375</v>
      </c>
      <c r="C573">
        <v>0.92089327517896902</v>
      </c>
      <c r="D573">
        <v>46.469664062500001</v>
      </c>
      <c r="E573" s="5">
        <f t="shared" si="72"/>
        <v>46469.6640625</v>
      </c>
      <c r="F573" s="5">
        <v>0.108870415715501</v>
      </c>
      <c r="G573">
        <f t="shared" si="73"/>
        <v>929.39328124999997</v>
      </c>
      <c r="H573">
        <f t="shared" si="74"/>
        <v>1.0887041571550101E-2</v>
      </c>
      <c r="I573">
        <f t="shared" si="75"/>
        <v>1.2828204391144448E-2</v>
      </c>
      <c r="J573">
        <f t="shared" si="76"/>
        <v>1185.0928295888041</v>
      </c>
      <c r="K573" s="5">
        <f t="shared" si="77"/>
        <v>939.51162453928805</v>
      </c>
      <c r="L573" s="5">
        <f t="shared" si="78"/>
        <v>1.0828204391144448E-2</v>
      </c>
    </row>
    <row r="574" spans="2:12">
      <c r="B574">
        <v>5.53125</v>
      </c>
      <c r="C574">
        <v>0.92253537150099896</v>
      </c>
      <c r="D574">
        <v>46.499027343750001</v>
      </c>
      <c r="E574" s="5">
        <f t="shared" si="72"/>
        <v>46499.02734375</v>
      </c>
      <c r="F574" s="5">
        <v>0.109376131149475</v>
      </c>
      <c r="G574">
        <f t="shared" si="73"/>
        <v>929.98054687499996</v>
      </c>
      <c r="H574">
        <f t="shared" si="74"/>
        <v>1.09376131149475E-2</v>
      </c>
      <c r="I574">
        <f t="shared" si="75"/>
        <v>1.2878230038314894E-2</v>
      </c>
      <c r="J574">
        <f t="shared" si="76"/>
        <v>1190.5678865433736</v>
      </c>
      <c r="K574" s="5">
        <f t="shared" si="77"/>
        <v>940.15231430114591</v>
      </c>
      <c r="L574" s="5">
        <f t="shared" si="78"/>
        <v>1.0878230038314894E-2</v>
      </c>
    </row>
    <row r="575" spans="2:12">
      <c r="B575">
        <v>5.541015625</v>
      </c>
      <c r="C575">
        <v>0.92487782239913896</v>
      </c>
      <c r="D575">
        <v>46.5069765625</v>
      </c>
      <c r="E575" s="5">
        <f t="shared" si="72"/>
        <v>46506.9765625</v>
      </c>
      <c r="F575" s="5">
        <v>0.10994695185217999</v>
      </c>
      <c r="G575">
        <f t="shared" si="73"/>
        <v>930.13953125</v>
      </c>
      <c r="H575">
        <f t="shared" si="74"/>
        <v>1.0994695185217999E-2</v>
      </c>
      <c r="I575">
        <f t="shared" si="75"/>
        <v>1.2934692927850209E-2</v>
      </c>
      <c r="J575">
        <f t="shared" si="76"/>
        <v>1196.7474674885661</v>
      </c>
      <c r="K575" s="5">
        <f t="shared" si="77"/>
        <v>940.36613187581531</v>
      </c>
      <c r="L575" s="5">
        <f t="shared" si="78"/>
        <v>1.0934692927850209E-2</v>
      </c>
    </row>
    <row r="576" spans="2:12">
      <c r="B576">
        <v>5.55078125</v>
      </c>
      <c r="C576">
        <v>0.92653033789247297</v>
      </c>
      <c r="D576">
        <v>46.53498046875</v>
      </c>
      <c r="E576" s="5">
        <f t="shared" si="72"/>
        <v>46534.98046875</v>
      </c>
      <c r="F576" s="5">
        <v>0.110471504740417</v>
      </c>
      <c r="G576">
        <f t="shared" si="73"/>
        <v>930.69960937500002</v>
      </c>
      <c r="H576">
        <f t="shared" si="74"/>
        <v>1.10471504740417E-2</v>
      </c>
      <c r="I576">
        <f t="shared" si="75"/>
        <v>1.2986576412801886E-2</v>
      </c>
      <c r="J576">
        <f t="shared" si="76"/>
        <v>1202.4258554991025</v>
      </c>
      <c r="K576" s="5">
        <f t="shared" si="77"/>
        <v>940.98118800589748</v>
      </c>
      <c r="L576" s="5">
        <f t="shared" si="78"/>
        <v>1.0986576412801886E-2</v>
      </c>
    </row>
    <row r="577" spans="2:12">
      <c r="B577">
        <v>5.560546875</v>
      </c>
      <c r="C577">
        <v>0.92845561448484704</v>
      </c>
      <c r="D577">
        <v>46.545437499999998</v>
      </c>
      <c r="E577" s="5">
        <f t="shared" si="72"/>
        <v>46545.4375</v>
      </c>
      <c r="F577" s="5">
        <v>0.111011882836465</v>
      </c>
      <c r="G577">
        <f t="shared" si="73"/>
        <v>930.90875000000005</v>
      </c>
      <c r="H577">
        <f t="shared" si="74"/>
        <v>1.11011882836465E-2</v>
      </c>
      <c r="I577">
        <f t="shared" si="75"/>
        <v>1.3040022353024887E-2</v>
      </c>
      <c r="J577">
        <f t="shared" si="76"/>
        <v>1208.2752464268087</v>
      </c>
      <c r="K577" s="5">
        <f t="shared" si="77"/>
        <v>941.24294330864404</v>
      </c>
      <c r="L577" s="5">
        <f t="shared" si="78"/>
        <v>1.1040022353024887E-2</v>
      </c>
    </row>
    <row r="578" spans="2:12">
      <c r="B578">
        <v>5.5703125</v>
      </c>
      <c r="C578">
        <v>0.92970579862594604</v>
      </c>
      <c r="D578">
        <v>46.550230468750001</v>
      </c>
      <c r="E578" s="5">
        <f t="shared" si="72"/>
        <v>46550.23046875</v>
      </c>
      <c r="F578" s="5">
        <v>0.111600842501502</v>
      </c>
      <c r="G578">
        <f t="shared" si="73"/>
        <v>931.00460937499997</v>
      </c>
      <c r="H578">
        <f t="shared" si="74"/>
        <v>1.11600842501502E-2</v>
      </c>
      <c r="I578">
        <f t="shared" si="75"/>
        <v>1.309826998632563E-2</v>
      </c>
      <c r="J578">
        <f t="shared" si="76"/>
        <v>1214.6501586534087</v>
      </c>
      <c r="K578" s="5">
        <f t="shared" si="77"/>
        <v>941.39469925290314</v>
      </c>
      <c r="L578" s="5">
        <f t="shared" si="78"/>
        <v>1.109826998632563E-2</v>
      </c>
    </row>
    <row r="579" spans="2:12">
      <c r="B579">
        <v>5.580078125</v>
      </c>
      <c r="C579">
        <v>0.93161017866805196</v>
      </c>
      <c r="D579">
        <v>46.573882812500003</v>
      </c>
      <c r="E579" s="5">
        <f t="shared" si="72"/>
        <v>46573.8828125</v>
      </c>
      <c r="F579" s="5">
        <v>0.11202508903807</v>
      </c>
      <c r="G579">
        <f t="shared" si="73"/>
        <v>931.47765625</v>
      </c>
      <c r="H579">
        <f t="shared" si="74"/>
        <v>1.1202508903807E-2</v>
      </c>
      <c r="I579">
        <f t="shared" si="75"/>
        <v>1.3140225522693458E-2</v>
      </c>
      <c r="J579">
        <f t="shared" si="76"/>
        <v>1219.2419823311855</v>
      </c>
      <c r="K579" s="5">
        <f t="shared" si="77"/>
        <v>941.91254298783792</v>
      </c>
      <c r="L579" s="5">
        <f t="shared" si="78"/>
        <v>1.1140225522693458E-2</v>
      </c>
    </row>
    <row r="580" spans="2:12">
      <c r="B580">
        <v>5.58984375</v>
      </c>
      <c r="C580">
        <v>0.93206914607435498</v>
      </c>
      <c r="D580">
        <v>46.577832031249997</v>
      </c>
      <c r="E580" s="5">
        <f t="shared" si="72"/>
        <v>46577.83203125</v>
      </c>
      <c r="F580" s="5">
        <v>0.11267147056059899</v>
      </c>
      <c r="G580">
        <f t="shared" si="73"/>
        <v>931.556640625</v>
      </c>
      <c r="H580">
        <f t="shared" si="74"/>
        <v>1.12671470560599E-2</v>
      </c>
      <c r="I580">
        <f t="shared" si="75"/>
        <v>1.3204145544518668E-2</v>
      </c>
      <c r="J580">
        <f t="shared" si="76"/>
        <v>1226.2377091198457</v>
      </c>
      <c r="K580" s="5">
        <f t="shared" si="77"/>
        <v>942.05262628597097</v>
      </c>
      <c r="L580" s="5">
        <f t="shared" si="78"/>
        <v>1.1204145544518668E-2</v>
      </c>
    </row>
    <row r="581" spans="2:12">
      <c r="B581">
        <v>5.599609375</v>
      </c>
      <c r="C581">
        <v>0.93466939870268095</v>
      </c>
      <c r="D581">
        <v>46.575289062499998</v>
      </c>
      <c r="E581" s="5">
        <f t="shared" si="72"/>
        <v>46575.2890625</v>
      </c>
      <c r="F581" s="5">
        <v>0.113047914055642</v>
      </c>
      <c r="G581">
        <f t="shared" si="73"/>
        <v>931.50578125000004</v>
      </c>
      <c r="H581">
        <f t="shared" si="74"/>
        <v>1.13047914055642E-2</v>
      </c>
      <c r="I581">
        <f t="shared" si="75"/>
        <v>1.3241369782423643E-2</v>
      </c>
      <c r="J581">
        <f t="shared" si="76"/>
        <v>1230.3117158373555</v>
      </c>
      <c r="K581" s="5">
        <f t="shared" si="77"/>
        <v>942.03625980010838</v>
      </c>
      <c r="L581" s="5">
        <f t="shared" si="78"/>
        <v>1.1241369782423643E-2</v>
      </c>
    </row>
    <row r="582" spans="2:12">
      <c r="B582">
        <v>5.609375</v>
      </c>
      <c r="C582">
        <v>0.93539059162139904</v>
      </c>
      <c r="D582">
        <v>46.600937500000001</v>
      </c>
      <c r="E582" s="5">
        <f t="shared" si="72"/>
        <v>46600.9375</v>
      </c>
      <c r="F582" s="5">
        <v>0.113586022052914</v>
      </c>
      <c r="G582">
        <f t="shared" si="73"/>
        <v>932.01874999999995</v>
      </c>
      <c r="H582">
        <f t="shared" si="74"/>
        <v>1.1358602205291401E-2</v>
      </c>
      <c r="I582">
        <f t="shared" si="75"/>
        <v>1.3294577646777037E-2</v>
      </c>
      <c r="J582">
        <f t="shared" si="76"/>
        <v>1236.1350505515127</v>
      </c>
      <c r="K582" s="5">
        <f t="shared" si="77"/>
        <v>942.60518022912288</v>
      </c>
      <c r="L582" s="5">
        <f t="shared" si="78"/>
        <v>1.1294577646777037E-2</v>
      </c>
    </row>
    <row r="583" spans="2:12">
      <c r="B583">
        <v>5.619140625</v>
      </c>
      <c r="C583">
        <v>0.93722046585753604</v>
      </c>
      <c r="D583">
        <v>46.607277343749999</v>
      </c>
      <c r="E583" s="5">
        <f t="shared" si="72"/>
        <v>46607.27734375</v>
      </c>
      <c r="F583" s="5">
        <v>0.11417302448535301</v>
      </c>
      <c r="G583">
        <f t="shared" si="73"/>
        <v>932.14554687500004</v>
      </c>
      <c r="H583">
        <f t="shared" si="74"/>
        <v>1.14173024485353E-2</v>
      </c>
      <c r="I583">
        <f t="shared" si="75"/>
        <v>1.3352616941318141E-2</v>
      </c>
      <c r="J583">
        <f t="shared" si="76"/>
        <v>1242.487161142564</v>
      </c>
      <c r="K583" s="5">
        <f t="shared" si="77"/>
        <v>942.78813450972734</v>
      </c>
      <c r="L583" s="5">
        <f t="shared" si="78"/>
        <v>1.1352616941318141E-2</v>
      </c>
    </row>
    <row r="584" spans="2:12">
      <c r="B584">
        <v>5.62890625</v>
      </c>
      <c r="C584">
        <v>0.93907117843627896</v>
      </c>
      <c r="D584">
        <v>46.632449218749997</v>
      </c>
      <c r="E584" s="5">
        <f t="shared" si="72"/>
        <v>46632.44921875</v>
      </c>
      <c r="F584" s="5">
        <v>0.114676891826093</v>
      </c>
      <c r="G584">
        <f t="shared" si="73"/>
        <v>932.64898437500005</v>
      </c>
      <c r="H584">
        <f t="shared" si="74"/>
        <v>1.1467689182609301E-2</v>
      </c>
      <c r="I584">
        <f t="shared" si="75"/>
        <v>1.3402433647945414E-2</v>
      </c>
      <c r="J584">
        <f t="shared" si="76"/>
        <v>1247.9393505993858</v>
      </c>
      <c r="K584" s="5">
        <f t="shared" si="77"/>
        <v>943.34431304428881</v>
      </c>
      <c r="L584" s="5">
        <f t="shared" si="78"/>
        <v>1.1402433647945414E-2</v>
      </c>
    </row>
    <row r="585" spans="2:12">
      <c r="B585">
        <v>5.638671875</v>
      </c>
      <c r="C585">
        <v>0.93947350978851296</v>
      </c>
      <c r="D585">
        <v>46.648359374999998</v>
      </c>
      <c r="E585" s="5">
        <f t="shared" ref="E585:E648" si="79" xml:space="preserve"> D585*R$3</f>
        <v>46648.359375</v>
      </c>
      <c r="F585" s="5">
        <v>0.11524540605023501</v>
      </c>
      <c r="G585">
        <f t="shared" ref="G585:G648" si="80" xml:space="preserve"> E585/C$3</f>
        <v>932.96718750000002</v>
      </c>
      <c r="H585">
        <f t="shared" ref="H585:H648" si="81" xml:space="preserve"> F585/C$4</f>
        <v>1.15245406050235E-2</v>
      </c>
      <c r="I585">
        <f t="shared" ref="I585:I648" si="82">L585+0.002</f>
        <v>1.3458638928017219E-2</v>
      </c>
      <c r="J585">
        <f t="shared" ref="J585:J648" si="83">L585*G$2</f>
        <v>1254.0907374768444</v>
      </c>
      <c r="K585" s="5">
        <f t="shared" ref="K585:K648" si="84" xml:space="preserve"> G585 * (1 + H585)</f>
        <v>943.71920573549835</v>
      </c>
      <c r="L585" s="5">
        <f t="shared" ref="L585:L648" si="85">LN(1 + H585)</f>
        <v>1.1458638928017219E-2</v>
      </c>
    </row>
    <row r="586" spans="2:12">
      <c r="B586">
        <v>5.6484375</v>
      </c>
      <c r="C586">
        <v>0.94258785247802701</v>
      </c>
      <c r="D586">
        <v>46.64285546875</v>
      </c>
      <c r="E586" s="5">
        <f t="shared" si="79"/>
        <v>46642.85546875</v>
      </c>
      <c r="F586" s="5">
        <v>0.115736562293023</v>
      </c>
      <c r="G586">
        <f t="shared" si="80"/>
        <v>932.85710937500005</v>
      </c>
      <c r="H586">
        <f t="shared" si="81"/>
        <v>1.1573656229302299E-2</v>
      </c>
      <c r="I586">
        <f t="shared" si="82"/>
        <v>1.3507193787455371E-2</v>
      </c>
      <c r="J586">
        <f t="shared" si="83"/>
        <v>1259.4048240680531</v>
      </c>
      <c r="K586" s="5">
        <f t="shared" si="84"/>
        <v>943.65367686996694</v>
      </c>
      <c r="L586" s="5">
        <f t="shared" si="85"/>
        <v>1.1507193787455371E-2</v>
      </c>
    </row>
    <row r="587" spans="2:12">
      <c r="B587">
        <v>5.658203125</v>
      </c>
      <c r="C587">
        <v>0.94403029652312398</v>
      </c>
      <c r="D587">
        <v>46.6603984375</v>
      </c>
      <c r="E587" s="5">
        <f t="shared" si="79"/>
        <v>46660.3984375</v>
      </c>
      <c r="F587" s="5">
        <v>0.11630173685262001</v>
      </c>
      <c r="G587">
        <f t="shared" si="80"/>
        <v>933.20796874999996</v>
      </c>
      <c r="H587">
        <f t="shared" si="81"/>
        <v>1.1630173685262001E-2</v>
      </c>
      <c r="I587">
        <f t="shared" si="82"/>
        <v>1.3563063052962622E-2</v>
      </c>
      <c r="J587">
        <f t="shared" si="83"/>
        <v>1265.5194358314941</v>
      </c>
      <c r="K587" s="5">
        <f t="shared" si="84"/>
        <v>944.061339511033</v>
      </c>
      <c r="L587" s="5">
        <f t="shared" si="85"/>
        <v>1.1563063052962622E-2</v>
      </c>
    </row>
    <row r="588" spans="2:12">
      <c r="B588">
        <v>5.66796875</v>
      </c>
      <c r="C588">
        <v>0.94392447499558296</v>
      </c>
      <c r="D588">
        <v>46.675761718750003</v>
      </c>
      <c r="E588" s="5">
        <f t="shared" si="79"/>
        <v>46675.76171875</v>
      </c>
      <c r="F588" s="5">
        <v>0.116834489745088</v>
      </c>
      <c r="G588">
        <f t="shared" si="80"/>
        <v>933.51523437499998</v>
      </c>
      <c r="H588">
        <f t="shared" si="81"/>
        <v>1.1683448974508801E-2</v>
      </c>
      <c r="I588">
        <f t="shared" si="82"/>
        <v>1.3615724477926579E-2</v>
      </c>
      <c r="J588">
        <f t="shared" si="83"/>
        <v>1271.2829654866746</v>
      </c>
      <c r="K588" s="5">
        <f t="shared" si="84"/>
        <v>944.42191198274691</v>
      </c>
      <c r="L588" s="5">
        <f t="shared" si="85"/>
        <v>1.1615724477926579E-2</v>
      </c>
    </row>
    <row r="589" spans="2:12">
      <c r="B589">
        <v>5.677734375</v>
      </c>
      <c r="C589">
        <v>0.94732048455625795</v>
      </c>
      <c r="D589">
        <v>46.664675781249997</v>
      </c>
      <c r="E589" s="5">
        <f t="shared" si="79"/>
        <v>46664.67578125</v>
      </c>
      <c r="F589" s="5">
        <v>0.11734597501345</v>
      </c>
      <c r="G589">
        <f t="shared" si="80"/>
        <v>933.29351562500005</v>
      </c>
      <c r="H589">
        <f t="shared" si="81"/>
        <v>1.1734597501345E-2</v>
      </c>
      <c r="I589">
        <f t="shared" si="82"/>
        <v>1.3666281036850391E-2</v>
      </c>
      <c r="J589">
        <f t="shared" si="83"/>
        <v>1276.816128078091</v>
      </c>
      <c r="K589" s="5">
        <f t="shared" si="84"/>
        <v>944.24533938147465</v>
      </c>
      <c r="L589" s="5">
        <f t="shared" si="85"/>
        <v>1.1666281036850391E-2</v>
      </c>
    </row>
    <row r="590" spans="2:12">
      <c r="B590">
        <v>5.6875</v>
      </c>
      <c r="C590">
        <v>0.94765127869322896</v>
      </c>
      <c r="D590">
        <v>46.691183593749997</v>
      </c>
      <c r="E590" s="5">
        <f t="shared" si="79"/>
        <v>46691.18359375</v>
      </c>
      <c r="F590" s="5">
        <v>0.117894880531821</v>
      </c>
      <c r="G590">
        <f t="shared" si="80"/>
        <v>933.82367187499995</v>
      </c>
      <c r="H590">
        <f t="shared" si="81"/>
        <v>1.17894880531821E-2</v>
      </c>
      <c r="I590">
        <f t="shared" si="82"/>
        <v>1.3720533469270125E-2</v>
      </c>
      <c r="J590">
        <f t="shared" si="83"/>
        <v>1282.7537855442688</v>
      </c>
      <c r="K590" s="5">
        <f t="shared" si="84"/>
        <v>944.83297489834888</v>
      </c>
      <c r="L590" s="5">
        <f t="shared" si="85"/>
        <v>1.1720533469270124E-2</v>
      </c>
    </row>
    <row r="591" spans="2:12">
      <c r="B591">
        <v>5.697265625</v>
      </c>
      <c r="C591">
        <v>0.95042586326599099</v>
      </c>
      <c r="D591">
        <v>46.708546875000003</v>
      </c>
      <c r="E591" s="5">
        <f t="shared" si="79"/>
        <v>46708.546875</v>
      </c>
      <c r="F591" s="5">
        <v>0.118540294351988</v>
      </c>
      <c r="G591">
        <f t="shared" si="80"/>
        <v>934.17093750000004</v>
      </c>
      <c r="H591">
        <f t="shared" si="81"/>
        <v>1.1854029435198799E-2</v>
      </c>
      <c r="I591">
        <f t="shared" si="82"/>
        <v>1.3784320773190731E-2</v>
      </c>
      <c r="J591">
        <f t="shared" si="83"/>
        <v>1289.7349870218595</v>
      </c>
      <c r="K591" s="5">
        <f t="shared" si="84"/>
        <v>945.24462729063225</v>
      </c>
      <c r="L591" s="5">
        <f t="shared" si="85"/>
        <v>1.1784320773190731E-2</v>
      </c>
    </row>
    <row r="592" spans="2:12">
      <c r="B592">
        <v>5.70703125</v>
      </c>
      <c r="C592">
        <v>0.95236004563048504</v>
      </c>
      <c r="D592">
        <v>46.731949218750003</v>
      </c>
      <c r="E592" s="5">
        <f t="shared" si="79"/>
        <v>46731.94921875</v>
      </c>
      <c r="F592" s="5">
        <v>0.119052987429313</v>
      </c>
      <c r="G592">
        <f t="shared" si="80"/>
        <v>934.63898437499995</v>
      </c>
      <c r="H592">
        <f t="shared" si="81"/>
        <v>1.19052987429313E-2</v>
      </c>
      <c r="I592">
        <f t="shared" si="82"/>
        <v>1.3834988169288374E-2</v>
      </c>
      <c r="J592">
        <f t="shared" si="83"/>
        <v>1295.280280187766</v>
      </c>
      <c r="K592" s="5">
        <f t="shared" si="84"/>
        <v>945.76614070077426</v>
      </c>
      <c r="L592" s="5">
        <f t="shared" si="85"/>
        <v>1.1834988169288374E-2</v>
      </c>
    </row>
    <row r="593" spans="2:12">
      <c r="B593">
        <v>5.716796875</v>
      </c>
      <c r="C593">
        <v>0.95392018556594804</v>
      </c>
      <c r="D593">
        <v>46.746343750000001</v>
      </c>
      <c r="E593" s="5">
        <f t="shared" si="79"/>
        <v>46746.34375</v>
      </c>
      <c r="F593" s="5">
        <v>0.119645796075929</v>
      </c>
      <c r="G593">
        <f t="shared" si="80"/>
        <v>934.926875</v>
      </c>
      <c r="H593">
        <f t="shared" si="81"/>
        <v>1.1964579607592899E-2</v>
      </c>
      <c r="I593">
        <f t="shared" si="82"/>
        <v>1.3893569864991882E-2</v>
      </c>
      <c r="J593">
        <f t="shared" si="83"/>
        <v>1301.6917538740365</v>
      </c>
      <c r="K593" s="5">
        <f t="shared" si="84"/>
        <v>946.11288202321555</v>
      </c>
      <c r="L593" s="5">
        <f t="shared" si="85"/>
        <v>1.1893569864991882E-2</v>
      </c>
    </row>
    <row r="594" spans="2:12">
      <c r="B594">
        <v>5.7265625</v>
      </c>
      <c r="C594">
        <v>0.95509144011884906</v>
      </c>
      <c r="D594">
        <v>46.770644531249999</v>
      </c>
      <c r="E594" s="5">
        <f t="shared" si="79"/>
        <v>46770.64453125</v>
      </c>
      <c r="F594" s="5">
        <v>0.120227428851649</v>
      </c>
      <c r="G594">
        <f t="shared" si="80"/>
        <v>935.41289062500005</v>
      </c>
      <c r="H594">
        <f t="shared" si="81"/>
        <v>1.2022742885164899E-2</v>
      </c>
      <c r="I594">
        <f t="shared" si="82"/>
        <v>1.3951043819439776E-2</v>
      </c>
      <c r="J594">
        <f t="shared" si="83"/>
        <v>1307.9819908185864</v>
      </c>
      <c r="K594" s="5">
        <f t="shared" si="84"/>
        <v>946.65911930045331</v>
      </c>
      <c r="L594" s="5">
        <f t="shared" si="85"/>
        <v>1.1951043819439776E-2</v>
      </c>
    </row>
    <row r="595" spans="2:12">
      <c r="B595">
        <v>5.736328125</v>
      </c>
      <c r="C595">
        <v>0.95732358749955904</v>
      </c>
      <c r="D595">
        <v>46.7995234375</v>
      </c>
      <c r="E595" s="5">
        <f t="shared" si="79"/>
        <v>46799.5234375</v>
      </c>
      <c r="F595" s="5">
        <v>0.120816323033068</v>
      </c>
      <c r="G595">
        <f t="shared" si="80"/>
        <v>935.99046874999999</v>
      </c>
      <c r="H595">
        <f t="shared" si="81"/>
        <v>1.20816323033068E-2</v>
      </c>
      <c r="I595">
        <f t="shared" si="82"/>
        <v>1.4009231943412434E-2</v>
      </c>
      <c r="J595">
        <f t="shared" si="83"/>
        <v>1314.3503900467738</v>
      </c>
      <c r="K595" s="5">
        <f t="shared" si="84"/>
        <v>947.2987614328373</v>
      </c>
      <c r="L595" s="5">
        <f t="shared" si="85"/>
        <v>1.2009231943412434E-2</v>
      </c>
    </row>
    <row r="596" spans="2:12">
      <c r="B596">
        <v>5.74609375</v>
      </c>
      <c r="C596">
        <v>0.95807760953903198</v>
      </c>
      <c r="D596">
        <v>46.797691406250003</v>
      </c>
      <c r="E596" s="5">
        <f t="shared" si="79"/>
        <v>46797.69140625</v>
      </c>
      <c r="F596" s="5">
        <v>0.12143886124249501</v>
      </c>
      <c r="G596">
        <f t="shared" si="80"/>
        <v>935.95382812499997</v>
      </c>
      <c r="H596">
        <f t="shared" si="81"/>
        <v>1.2143886124249501E-2</v>
      </c>
      <c r="I596">
        <f t="shared" si="82"/>
        <v>1.4070740723334051E-2</v>
      </c>
      <c r="J596">
        <f t="shared" si="83"/>
        <v>1321.0822184652952</v>
      </c>
      <c r="K596" s="5">
        <f t="shared" si="84"/>
        <v>947.31994483130541</v>
      </c>
      <c r="L596" s="5">
        <f t="shared" si="85"/>
        <v>1.2070740723334051E-2</v>
      </c>
    </row>
    <row r="597" spans="2:12">
      <c r="B597">
        <v>5.755859375</v>
      </c>
      <c r="C597">
        <v>0.96002669306471899</v>
      </c>
      <c r="D597">
        <v>46.810378906250001</v>
      </c>
      <c r="E597" s="5">
        <f t="shared" si="79"/>
        <v>46810.37890625</v>
      </c>
      <c r="F597" s="5">
        <v>0.121984230645467</v>
      </c>
      <c r="G597">
        <f t="shared" si="80"/>
        <v>936.20757812500005</v>
      </c>
      <c r="H597">
        <f t="shared" si="81"/>
        <v>1.2198423064546699E-2</v>
      </c>
      <c r="I597">
        <f t="shared" si="82"/>
        <v>1.4124621867904072E-2</v>
      </c>
      <c r="J597">
        <f t="shared" si="83"/>
        <v>1326.979240332761</v>
      </c>
      <c r="K597" s="5">
        <f t="shared" si="84"/>
        <v>947.62783423920348</v>
      </c>
      <c r="L597" s="5">
        <f t="shared" si="85"/>
        <v>1.2124621867904072E-2</v>
      </c>
    </row>
    <row r="598" spans="2:12">
      <c r="B598">
        <v>5.765625</v>
      </c>
      <c r="C598">
        <v>0.96189678879454699</v>
      </c>
      <c r="D598">
        <v>46.803214843749998</v>
      </c>
      <c r="E598" s="5">
        <f t="shared" si="79"/>
        <v>46803.21484375</v>
      </c>
      <c r="F598" s="5">
        <v>0.122604353236966</v>
      </c>
      <c r="G598">
        <f t="shared" si="80"/>
        <v>936.06429687499997</v>
      </c>
      <c r="H598">
        <f t="shared" si="81"/>
        <v>1.2260435323696601E-2</v>
      </c>
      <c r="I598">
        <f t="shared" si="82"/>
        <v>1.4185884914976996E-2</v>
      </c>
      <c r="J598">
        <f t="shared" si="83"/>
        <v>1333.6841745196573</v>
      </c>
      <c r="K598" s="5">
        <f t="shared" si="84"/>
        <v>947.54085264565742</v>
      </c>
      <c r="L598" s="5">
        <f t="shared" si="85"/>
        <v>1.2185884914976996E-2</v>
      </c>
    </row>
    <row r="599" spans="2:12">
      <c r="B599">
        <v>5.775390625</v>
      </c>
      <c r="C599">
        <v>0.96376833971589804</v>
      </c>
      <c r="D599">
        <v>46.807691406250001</v>
      </c>
      <c r="E599" s="5">
        <f t="shared" si="79"/>
        <v>46807.69140625</v>
      </c>
      <c r="F599" s="5">
        <v>0.123152392916381</v>
      </c>
      <c r="G599">
        <f t="shared" si="80"/>
        <v>936.15382812500002</v>
      </c>
      <c r="H599">
        <f t="shared" si="81"/>
        <v>1.2315239291638099E-2</v>
      </c>
      <c r="I599">
        <f t="shared" si="82"/>
        <v>1.4240023635146449E-2</v>
      </c>
      <c r="J599">
        <f t="shared" si="83"/>
        <v>1339.6093867486031</v>
      </c>
      <c r="K599" s="5">
        <f t="shared" si="84"/>
        <v>947.68278653214247</v>
      </c>
      <c r="L599" s="5">
        <f t="shared" si="85"/>
        <v>1.2240023635146449E-2</v>
      </c>
    </row>
    <row r="600" spans="2:12">
      <c r="B600">
        <v>5.78515625</v>
      </c>
      <c r="C600">
        <v>0.96472504083067201</v>
      </c>
      <c r="D600">
        <v>46.82868359375</v>
      </c>
      <c r="E600" s="5">
        <f t="shared" si="79"/>
        <v>46828.68359375</v>
      </c>
      <c r="F600" s="5">
        <v>0.12374736252240801</v>
      </c>
      <c r="G600">
        <f t="shared" si="80"/>
        <v>936.57367187499995</v>
      </c>
      <c r="H600">
        <f t="shared" si="81"/>
        <v>1.23747362522408E-2</v>
      </c>
      <c r="I600">
        <f t="shared" si="82"/>
        <v>1.4298795063205545E-2</v>
      </c>
      <c r="J600">
        <f t="shared" si="83"/>
        <v>1346.0416256925307</v>
      </c>
      <c r="K600" s="5">
        <f t="shared" si="84"/>
        <v>948.16352404524582</v>
      </c>
      <c r="L600" s="5">
        <f t="shared" si="85"/>
        <v>1.2298795063205544E-2</v>
      </c>
    </row>
    <row r="601" spans="2:12">
      <c r="B601">
        <v>5.794921875</v>
      </c>
      <c r="C601">
        <v>0.96662191208451997</v>
      </c>
      <c r="D601">
        <v>46.853378906250001</v>
      </c>
      <c r="E601" s="5">
        <f t="shared" si="79"/>
        <v>46853.37890625</v>
      </c>
      <c r="F601" s="5">
        <v>0.124349200632423</v>
      </c>
      <c r="G601">
        <f t="shared" si="80"/>
        <v>937.06757812499995</v>
      </c>
      <c r="H601">
        <f t="shared" si="81"/>
        <v>1.2434920063242299E-2</v>
      </c>
      <c r="I601">
        <f t="shared" si="82"/>
        <v>1.4358241451987313E-2</v>
      </c>
      <c r="J601">
        <f t="shared" si="83"/>
        <v>1352.5477357127515</v>
      </c>
      <c r="K601" s="5">
        <f t="shared" si="84"/>
        <v>948.7199385528404</v>
      </c>
      <c r="L601" s="5">
        <f t="shared" si="85"/>
        <v>1.2358241451987313E-2</v>
      </c>
    </row>
    <row r="602" spans="2:12">
      <c r="B602">
        <v>5.8046875</v>
      </c>
      <c r="C602">
        <v>0.968964421190321</v>
      </c>
      <c r="D602">
        <v>46.861078124999999</v>
      </c>
      <c r="E602" s="5">
        <f t="shared" si="79"/>
        <v>46861.078125</v>
      </c>
      <c r="F602" s="5">
        <v>0.124966536532156</v>
      </c>
      <c r="G602">
        <f t="shared" si="80"/>
        <v>937.2215625</v>
      </c>
      <c r="H602">
        <f t="shared" si="81"/>
        <v>1.24966536532156E-2</v>
      </c>
      <c r="I602">
        <f t="shared" si="82"/>
        <v>1.4419214959234398E-2</v>
      </c>
      <c r="J602">
        <f t="shared" si="83"/>
        <v>1359.2209812134088</v>
      </c>
      <c r="K602" s="5">
        <f t="shared" si="84"/>
        <v>948.93369576288808</v>
      </c>
      <c r="L602" s="5">
        <f t="shared" si="85"/>
        <v>1.2419214959234398E-2</v>
      </c>
    </row>
    <row r="603" spans="2:12">
      <c r="B603">
        <v>5.814453125</v>
      </c>
      <c r="C603">
        <v>0.96924602985382102</v>
      </c>
      <c r="D603">
        <v>46.841816406249997</v>
      </c>
      <c r="E603" s="5">
        <f t="shared" si="79"/>
        <v>46841.81640625</v>
      </c>
      <c r="F603" s="5">
        <v>0.12544060882646599</v>
      </c>
      <c r="G603">
        <f t="shared" si="80"/>
        <v>936.83632812500002</v>
      </c>
      <c r="H603">
        <f t="shared" si="81"/>
        <v>1.2544060882646599E-2</v>
      </c>
      <c r="I603">
        <f t="shared" si="82"/>
        <v>1.4466035972855845E-2</v>
      </c>
      <c r="J603">
        <f t="shared" si="83"/>
        <v>1364.345307049208</v>
      </c>
      <c r="K603" s="5">
        <f t="shared" si="84"/>
        <v>948.5880600620751</v>
      </c>
      <c r="L603" s="5">
        <f t="shared" si="85"/>
        <v>1.2466035972855845E-2</v>
      </c>
    </row>
    <row r="604" spans="2:12">
      <c r="B604">
        <v>5.82421875</v>
      </c>
      <c r="C604">
        <v>0.97095814999192998</v>
      </c>
      <c r="D604">
        <v>46.856914062500003</v>
      </c>
      <c r="E604" s="5">
        <f t="shared" si="79"/>
        <v>46856.9140625</v>
      </c>
      <c r="F604" s="5">
        <v>0.12612021237146101</v>
      </c>
      <c r="G604">
        <f t="shared" si="80"/>
        <v>937.13828124999998</v>
      </c>
      <c r="H604">
        <f t="shared" si="81"/>
        <v>1.2612021237146101E-2</v>
      </c>
      <c r="I604">
        <f t="shared" si="82"/>
        <v>1.453315213750612E-2</v>
      </c>
      <c r="J604">
        <f t="shared" si="83"/>
        <v>1371.6908356893573</v>
      </c>
      <c r="K604" s="5">
        <f t="shared" si="84"/>
        <v>948.95748915526758</v>
      </c>
      <c r="L604" s="5">
        <f t="shared" si="85"/>
        <v>1.253315213750612E-2</v>
      </c>
    </row>
    <row r="605" spans="2:12">
      <c r="B605">
        <v>5.833984375</v>
      </c>
      <c r="C605">
        <v>0.97332446603104505</v>
      </c>
      <c r="D605">
        <v>46.864246093749998</v>
      </c>
      <c r="E605" s="5">
        <f t="shared" si="79"/>
        <v>46864.24609375</v>
      </c>
      <c r="F605" s="5">
        <v>0.126684346469119</v>
      </c>
      <c r="G605">
        <f t="shared" si="80"/>
        <v>937.28492187500001</v>
      </c>
      <c r="H605">
        <f t="shared" si="81"/>
        <v>1.26684346469119E-2</v>
      </c>
      <c r="I605">
        <f t="shared" si="82"/>
        <v>1.4588861369890705E-2</v>
      </c>
      <c r="J605">
        <f t="shared" si="83"/>
        <v>1377.7879326276882</v>
      </c>
      <c r="K605" s="5">
        <f t="shared" si="84"/>
        <v>949.15885465330939</v>
      </c>
      <c r="L605" s="5">
        <f t="shared" si="85"/>
        <v>1.2588861369890705E-2</v>
      </c>
    </row>
    <row r="606" spans="2:12">
      <c r="B606">
        <v>5.84375</v>
      </c>
      <c r="C606">
        <v>0.97563711460679803</v>
      </c>
      <c r="D606">
        <v>46.901738281249997</v>
      </c>
      <c r="E606" s="5">
        <f t="shared" si="79"/>
        <v>46901.73828125</v>
      </c>
      <c r="F606" s="5">
        <v>0.12731620518025</v>
      </c>
      <c r="G606">
        <f t="shared" si="80"/>
        <v>938.03476562499998</v>
      </c>
      <c r="H606">
        <f t="shared" si="81"/>
        <v>1.2731620518025E-2</v>
      </c>
      <c r="I606">
        <f t="shared" si="82"/>
        <v>1.4651254842204937E-2</v>
      </c>
      <c r="J606">
        <f t="shared" si="83"/>
        <v>1384.6165862051193</v>
      </c>
      <c r="K606" s="5">
        <f t="shared" si="84"/>
        <v>949.97746829365201</v>
      </c>
      <c r="L606" s="5">
        <f t="shared" si="85"/>
        <v>1.2651254842204937E-2</v>
      </c>
    </row>
    <row r="607" spans="2:12">
      <c r="B607">
        <v>5.853515625</v>
      </c>
      <c r="C607">
        <v>0.97659823950380098</v>
      </c>
      <c r="D607">
        <v>46.906339843749997</v>
      </c>
      <c r="E607" s="5">
        <f t="shared" si="79"/>
        <v>46906.33984375</v>
      </c>
      <c r="F607" s="5">
        <v>0.127917155623436</v>
      </c>
      <c r="G607">
        <f t="shared" si="80"/>
        <v>938.12679687499997</v>
      </c>
      <c r="H607">
        <f t="shared" si="81"/>
        <v>1.2791715562343601E-2</v>
      </c>
      <c r="I607">
        <f t="shared" si="82"/>
        <v>1.4710592637297943E-2</v>
      </c>
      <c r="J607">
        <f t="shared" si="83"/>
        <v>1391.1108111890735</v>
      </c>
      <c r="K607" s="5">
        <f t="shared" si="84"/>
        <v>950.12704802203746</v>
      </c>
      <c r="L607" s="5">
        <f t="shared" si="85"/>
        <v>1.2710592637297943E-2</v>
      </c>
    </row>
    <row r="608" spans="2:12">
      <c r="B608">
        <v>5.86328125</v>
      </c>
      <c r="C608">
        <v>0.97855483181774605</v>
      </c>
      <c r="D608">
        <v>46.909082031250001</v>
      </c>
      <c r="E608" s="5">
        <f t="shared" si="79"/>
        <v>46909.08203125</v>
      </c>
      <c r="F608" s="5">
        <v>0.128486906760372</v>
      </c>
      <c r="G608">
        <f t="shared" si="80"/>
        <v>938.181640625</v>
      </c>
      <c r="H608">
        <f t="shared" si="81"/>
        <v>1.28486906760372E-2</v>
      </c>
      <c r="I608">
        <f t="shared" si="82"/>
        <v>1.4766846564236982E-2</v>
      </c>
      <c r="J608">
        <f t="shared" si="83"/>
        <v>1397.2675222229166</v>
      </c>
      <c r="K608" s="5">
        <f t="shared" si="84"/>
        <v>950.23604632332774</v>
      </c>
      <c r="L608" s="5">
        <f t="shared" si="85"/>
        <v>1.2766846564236982E-2</v>
      </c>
    </row>
    <row r="609" spans="2:12">
      <c r="B609">
        <v>5.873046875</v>
      </c>
      <c r="C609">
        <v>0.98079000599682298</v>
      </c>
      <c r="D609">
        <v>46.904449218750003</v>
      </c>
      <c r="E609" s="5">
        <f t="shared" si="79"/>
        <v>46904.44921875</v>
      </c>
      <c r="F609" s="5">
        <v>0.12908827920909999</v>
      </c>
      <c r="G609">
        <f t="shared" si="80"/>
        <v>938.088984375</v>
      </c>
      <c r="H609">
        <f t="shared" si="81"/>
        <v>1.2908827920909999E-2</v>
      </c>
      <c r="I609">
        <f t="shared" si="82"/>
        <v>1.4826219163709861E-2</v>
      </c>
      <c r="J609">
        <f t="shared" si="83"/>
        <v>1403.7655563722258</v>
      </c>
      <c r="K609" s="5">
        <f t="shared" si="84"/>
        <v>950.19861364879807</v>
      </c>
      <c r="L609" s="5">
        <f t="shared" si="85"/>
        <v>1.2826219163709861E-2</v>
      </c>
    </row>
    <row r="610" spans="2:12">
      <c r="B610">
        <v>5.8828125</v>
      </c>
      <c r="C610">
        <v>0.98087335936725095</v>
      </c>
      <c r="D610">
        <v>46.899539062499997</v>
      </c>
      <c r="E610" s="5">
        <f t="shared" si="79"/>
        <v>46899.5390625</v>
      </c>
      <c r="F610" s="5">
        <v>0.12969861563760801</v>
      </c>
      <c r="G610">
        <f t="shared" si="80"/>
        <v>937.99078125000005</v>
      </c>
      <c r="H610">
        <f t="shared" si="81"/>
        <v>1.2969861563760801E-2</v>
      </c>
      <c r="I610">
        <f t="shared" si="82"/>
        <v>1.4886473159357356E-2</v>
      </c>
      <c r="J610">
        <f t="shared" si="83"/>
        <v>1410.3600549258658</v>
      </c>
      <c r="K610" s="5">
        <f t="shared" si="84"/>
        <v>950.15639183089638</v>
      </c>
      <c r="L610" s="5">
        <f t="shared" si="85"/>
        <v>1.2886473159357356E-2</v>
      </c>
    </row>
    <row r="611" spans="2:12">
      <c r="B611">
        <v>5.892578125</v>
      </c>
      <c r="C611">
        <v>0.98291190806776296</v>
      </c>
      <c r="D611">
        <v>46.923191406249998</v>
      </c>
      <c r="E611" s="5">
        <f t="shared" si="79"/>
        <v>46923.19140625</v>
      </c>
      <c r="F611" s="5">
        <v>0.130263288156129</v>
      </c>
      <c r="G611">
        <f t="shared" si="80"/>
        <v>938.46382812499996</v>
      </c>
      <c r="H611">
        <f t="shared" si="81"/>
        <v>1.30263288156129E-2</v>
      </c>
      <c r="I611">
        <f t="shared" si="82"/>
        <v>1.4942215862265601E-2</v>
      </c>
      <c r="J611">
        <f t="shared" si="83"/>
        <v>1416.4608150456586</v>
      </c>
      <c r="K611" s="5">
        <f t="shared" si="84"/>
        <v>950.68856653171508</v>
      </c>
      <c r="L611" s="5">
        <f t="shared" si="85"/>
        <v>1.2942215862265601E-2</v>
      </c>
    </row>
    <row r="612" spans="2:12">
      <c r="B612">
        <v>5.90234375</v>
      </c>
      <c r="C612">
        <v>0.98695908673107602</v>
      </c>
      <c r="D612">
        <v>46.938554687500002</v>
      </c>
      <c r="E612" s="5">
        <f t="shared" si="79"/>
        <v>46938.5546875</v>
      </c>
      <c r="F612" s="5">
        <v>0.13089644198771599</v>
      </c>
      <c r="G612">
        <f t="shared" si="80"/>
        <v>938.77109374999998</v>
      </c>
      <c r="H612">
        <f t="shared" si="81"/>
        <v>1.3089644198771599E-2</v>
      </c>
      <c r="I612">
        <f t="shared" si="82"/>
        <v>1.5004715130839093E-2</v>
      </c>
      <c r="J612">
        <f t="shared" si="83"/>
        <v>1423.3010474946846</v>
      </c>
      <c r="K612" s="5">
        <f t="shared" si="84"/>
        <v>951.0592733512791</v>
      </c>
      <c r="L612" s="5">
        <f t="shared" si="85"/>
        <v>1.3004715130839093E-2</v>
      </c>
    </row>
    <row r="613" spans="2:12">
      <c r="B613">
        <v>5.912109375</v>
      </c>
      <c r="C613">
        <v>0.98796037491411004</v>
      </c>
      <c r="D613">
        <v>46.949445312500004</v>
      </c>
      <c r="E613" s="5">
        <f t="shared" si="79"/>
        <v>46949.4453125</v>
      </c>
      <c r="F613" s="5">
        <v>0.13149026199243999</v>
      </c>
      <c r="G613">
        <f t="shared" si="80"/>
        <v>938.98890625000001</v>
      </c>
      <c r="H613">
        <f t="shared" si="81"/>
        <v>1.3149026199243999E-2</v>
      </c>
      <c r="I613">
        <f t="shared" si="82"/>
        <v>1.5063328167256695E-2</v>
      </c>
      <c r="J613">
        <f t="shared" si="83"/>
        <v>1429.7159512654091</v>
      </c>
      <c r="K613" s="5">
        <f t="shared" si="84"/>
        <v>951.3356959790807</v>
      </c>
      <c r="L613" s="5">
        <f t="shared" si="85"/>
        <v>1.3063328167256695E-2</v>
      </c>
    </row>
    <row r="614" spans="2:12">
      <c r="B614">
        <v>5.921875</v>
      </c>
      <c r="C614">
        <v>0.98747014999389604</v>
      </c>
      <c r="D614">
        <v>46.949054687500002</v>
      </c>
      <c r="E614" s="5">
        <f t="shared" si="79"/>
        <v>46949.0546875</v>
      </c>
      <c r="F614" s="5">
        <v>0.13204476272221699</v>
      </c>
      <c r="G614">
        <f t="shared" si="80"/>
        <v>938.98109375000001</v>
      </c>
      <c r="H614">
        <f t="shared" si="81"/>
        <v>1.32044762722217E-2</v>
      </c>
      <c r="I614">
        <f t="shared" si="82"/>
        <v>1.5118057090836814E-2</v>
      </c>
      <c r="J614">
        <f t="shared" si="83"/>
        <v>1435.7057583066351</v>
      </c>
      <c r="K614" s="5">
        <f t="shared" si="84"/>
        <v>951.37984732248663</v>
      </c>
      <c r="L614" s="5">
        <f t="shared" si="85"/>
        <v>1.3118057090836814E-2</v>
      </c>
    </row>
    <row r="615" spans="2:12">
      <c r="B615">
        <v>5.931640625</v>
      </c>
      <c r="C615">
        <v>0.99105236586183298</v>
      </c>
      <c r="D615">
        <v>46.954968749999999</v>
      </c>
      <c r="E615" s="5">
        <f t="shared" si="79"/>
        <v>46954.96875</v>
      </c>
      <c r="F615" s="5">
        <v>0.13271784700918901</v>
      </c>
      <c r="G615">
        <f t="shared" si="80"/>
        <v>939.09937500000001</v>
      </c>
      <c r="H615">
        <f t="shared" si="81"/>
        <v>1.3271784700918901E-2</v>
      </c>
      <c r="I615">
        <f t="shared" si="82"/>
        <v>1.5184486123358239E-2</v>
      </c>
      <c r="J615">
        <f t="shared" si="83"/>
        <v>1442.9760837709425</v>
      </c>
      <c r="K615" s="5">
        <f t="shared" si="84"/>
        <v>951.56289971776755</v>
      </c>
      <c r="L615" s="5">
        <f t="shared" si="85"/>
        <v>1.3184486123358239E-2</v>
      </c>
    </row>
    <row r="616" spans="2:12">
      <c r="B616">
        <v>5.94140625</v>
      </c>
      <c r="C616">
        <v>0.98915095441043399</v>
      </c>
      <c r="D616">
        <v>46.969289062500003</v>
      </c>
      <c r="E616" s="5">
        <f t="shared" si="79"/>
        <v>46969.2890625</v>
      </c>
      <c r="F616" s="5">
        <v>0.13328617205843299</v>
      </c>
      <c r="G616">
        <f t="shared" si="80"/>
        <v>939.38578125000004</v>
      </c>
      <c r="H616">
        <f t="shared" si="81"/>
        <v>1.3328617205843298E-2</v>
      </c>
      <c r="I616">
        <f t="shared" si="82"/>
        <v>1.5240572666009481E-2</v>
      </c>
      <c r="J616">
        <f t="shared" si="83"/>
        <v>1449.1144754314078</v>
      </c>
      <c r="K616" s="5">
        <f t="shared" si="84"/>
        <v>951.90649473689336</v>
      </c>
      <c r="L616" s="5">
        <f t="shared" si="85"/>
        <v>1.3240572666009481E-2</v>
      </c>
    </row>
    <row r="617" spans="2:12">
      <c r="B617">
        <v>5.951171875</v>
      </c>
      <c r="C617">
        <v>0.99313259124755904</v>
      </c>
      <c r="D617">
        <v>46.978640624999997</v>
      </c>
      <c r="E617" s="5">
        <f t="shared" si="79"/>
        <v>46978.640625</v>
      </c>
      <c r="F617" s="5">
        <v>0.133854715386406</v>
      </c>
      <c r="G617">
        <f t="shared" si="80"/>
        <v>939.57281250000005</v>
      </c>
      <c r="H617">
        <f t="shared" si="81"/>
        <v>1.33854715386406E-2</v>
      </c>
      <c r="I617">
        <f t="shared" si="82"/>
        <v>1.5296677602692843E-2</v>
      </c>
      <c r="J617">
        <f t="shared" si="83"/>
        <v>1455.2548802267183</v>
      </c>
      <c r="K617" s="5">
        <f t="shared" si="84"/>
        <v>952.14943764019927</v>
      </c>
      <c r="L617" s="5">
        <f t="shared" si="85"/>
        <v>1.3296677602692843E-2</v>
      </c>
    </row>
    <row r="618" spans="2:12">
      <c r="B618">
        <v>5.9609375</v>
      </c>
      <c r="C618">
        <v>0.99413841962814298</v>
      </c>
      <c r="D618">
        <v>46.986421874999998</v>
      </c>
      <c r="E618" s="5">
        <f t="shared" si="79"/>
        <v>46986.421875</v>
      </c>
      <c r="F618" s="5">
        <v>0.13445496733765999</v>
      </c>
      <c r="G618">
        <f t="shared" si="80"/>
        <v>939.72843750000004</v>
      </c>
      <c r="H618">
        <f t="shared" si="81"/>
        <v>1.3445496733765999E-2</v>
      </c>
      <c r="I618">
        <f t="shared" si="82"/>
        <v>1.5355908190820477E-2</v>
      </c>
      <c r="J618">
        <f t="shared" si="83"/>
        <v>1461.7373719443472</v>
      </c>
      <c r="K618" s="5">
        <f t="shared" si="84"/>
        <v>952.36355313703336</v>
      </c>
      <c r="L618" s="5">
        <f t="shared" si="85"/>
        <v>1.3355908190820477E-2</v>
      </c>
    </row>
    <row r="619" spans="2:12">
      <c r="B619">
        <v>5.970703125</v>
      </c>
      <c r="C619">
        <v>0.99573284387588501</v>
      </c>
      <c r="D619">
        <v>47.025035156249999</v>
      </c>
      <c r="E619" s="5">
        <f t="shared" si="79"/>
        <v>47025.03515625</v>
      </c>
      <c r="F619" s="5">
        <v>0.13507997209671899</v>
      </c>
      <c r="G619">
        <f t="shared" si="80"/>
        <v>940.50070312499997</v>
      </c>
      <c r="H619">
        <f t="shared" si="81"/>
        <v>1.3507997209671899E-2</v>
      </c>
      <c r="I619">
        <f t="shared" si="82"/>
        <v>1.5417577564205111E-2</v>
      </c>
      <c r="J619">
        <f t="shared" si="83"/>
        <v>1468.4867765144284</v>
      </c>
      <c r="K619" s="5">
        <f t="shared" si="84"/>
        <v>953.20498399850692</v>
      </c>
      <c r="L619" s="5">
        <f t="shared" si="85"/>
        <v>1.3417577564205111E-2</v>
      </c>
    </row>
    <row r="620" spans="2:12">
      <c r="B620">
        <v>5.98046875</v>
      </c>
      <c r="C620">
        <v>0.99738244898617301</v>
      </c>
      <c r="D620">
        <v>47.021949218750002</v>
      </c>
      <c r="E620" s="5">
        <f t="shared" si="79"/>
        <v>47021.94921875</v>
      </c>
      <c r="F620" s="5">
        <v>0.13574531476478999</v>
      </c>
      <c r="G620">
        <f t="shared" si="80"/>
        <v>940.43898437500002</v>
      </c>
      <c r="H620">
        <f t="shared" si="81"/>
        <v>1.3574531476478999E-2</v>
      </c>
      <c r="I620">
        <f t="shared" si="82"/>
        <v>1.5483222910055097E-2</v>
      </c>
      <c r="J620">
        <f t="shared" si="83"/>
        <v>1475.67133139098</v>
      </c>
      <c r="K620" s="5">
        <f t="shared" si="84"/>
        <v>953.20500297010642</v>
      </c>
      <c r="L620" s="5">
        <f t="shared" si="85"/>
        <v>1.3483222910055097E-2</v>
      </c>
    </row>
    <row r="621" spans="2:12">
      <c r="B621">
        <v>5.990234375</v>
      </c>
      <c r="C621">
        <v>0.99932553712278605</v>
      </c>
      <c r="D621">
        <v>47.031339843749997</v>
      </c>
      <c r="E621" s="5">
        <f t="shared" si="79"/>
        <v>47031.33984375</v>
      </c>
      <c r="F621" s="5">
        <v>0.13636185030918599</v>
      </c>
      <c r="G621">
        <f t="shared" si="80"/>
        <v>940.62679687499997</v>
      </c>
      <c r="H621">
        <f t="shared" si="81"/>
        <v>1.36361850309186E-2</v>
      </c>
      <c r="I621">
        <f t="shared" si="82"/>
        <v>1.5544048905060465E-2</v>
      </c>
      <c r="J621">
        <f t="shared" si="83"/>
        <v>1482.3284324143426</v>
      </c>
      <c r="K621" s="5">
        <f t="shared" si="84"/>
        <v>953.45335792222772</v>
      </c>
      <c r="L621" s="5">
        <f t="shared" si="85"/>
        <v>1.3544048905060465E-2</v>
      </c>
    </row>
    <row r="622" spans="2:12">
      <c r="B622" t="s">
        <v>8</v>
      </c>
      <c r="C622">
        <v>1.0012954007834201</v>
      </c>
      <c r="D622">
        <v>47.031464843750001</v>
      </c>
      <c r="E622" s="5">
        <f t="shared" si="79"/>
        <v>47031.46484375</v>
      </c>
      <c r="F622" s="5">
        <v>0.136945440317504</v>
      </c>
      <c r="G622">
        <f t="shared" si="80"/>
        <v>940.62929687500002</v>
      </c>
      <c r="H622">
        <f t="shared" si="81"/>
        <v>1.36945440317504E-2</v>
      </c>
      <c r="I622">
        <f t="shared" si="82"/>
        <v>1.5601621160057007E-2</v>
      </c>
      <c r="J622">
        <f t="shared" si="83"/>
        <v>1488.6294278624391</v>
      </c>
      <c r="K622" s="5">
        <f t="shared" si="84"/>
        <v>953.51078619860914</v>
      </c>
      <c r="L622" s="5">
        <f t="shared" si="85"/>
        <v>1.3601621160057007E-2</v>
      </c>
    </row>
    <row r="623" spans="2:12">
      <c r="B623">
        <v>6.009765625</v>
      </c>
      <c r="C623">
        <v>1.0021164780482701</v>
      </c>
      <c r="D623">
        <v>47.021769531250001</v>
      </c>
      <c r="E623" s="5">
        <f t="shared" si="79"/>
        <v>47021.76953125</v>
      </c>
      <c r="F623" s="5">
        <v>0.13753879466094099</v>
      </c>
      <c r="G623">
        <f t="shared" si="80"/>
        <v>940.43539062499997</v>
      </c>
      <c r="H623">
        <f t="shared" si="81"/>
        <v>1.3753879466094099E-2</v>
      </c>
      <c r="I623">
        <f t="shared" si="82"/>
        <v>1.5660153287111799E-2</v>
      </c>
      <c r="J623">
        <f t="shared" si="83"/>
        <v>1495.0354765079508</v>
      </c>
      <c r="K623" s="5">
        <f t="shared" si="84"/>
        <v>953.37002563330532</v>
      </c>
      <c r="L623" s="5">
        <f t="shared" si="85"/>
        <v>1.3660153287111799E-2</v>
      </c>
    </row>
    <row r="624" spans="2:12">
      <c r="B624">
        <v>6.01953125</v>
      </c>
      <c r="C624">
        <v>1.00396131165326</v>
      </c>
      <c r="D624">
        <v>47.032742187499998</v>
      </c>
      <c r="E624" s="5">
        <f t="shared" si="79"/>
        <v>47032.7421875</v>
      </c>
      <c r="F624" s="5">
        <v>0.13812938414048401</v>
      </c>
      <c r="G624">
        <f t="shared" si="80"/>
        <v>940.65484375000005</v>
      </c>
      <c r="H624">
        <f t="shared" si="81"/>
        <v>1.38129384140484E-2</v>
      </c>
      <c r="I624">
        <f t="shared" si="82"/>
        <v>1.5718409269060426E-2</v>
      </c>
      <c r="J624">
        <f t="shared" si="83"/>
        <v>1501.4113024523183</v>
      </c>
      <c r="K624" s="5">
        <f t="shared" si="84"/>
        <v>953.64805117559513</v>
      </c>
      <c r="L624" s="5">
        <f t="shared" si="85"/>
        <v>1.3718409269060426E-2</v>
      </c>
    </row>
    <row r="625" spans="2:12">
      <c r="B625">
        <v>6.029296875</v>
      </c>
      <c r="C625">
        <v>1.0048851836472801</v>
      </c>
      <c r="D625">
        <v>47.049121093750003</v>
      </c>
      <c r="E625" s="5">
        <f t="shared" si="79"/>
        <v>47049.12109375</v>
      </c>
      <c r="F625" s="5">
        <v>0.13875777949579099</v>
      </c>
      <c r="G625">
        <f t="shared" si="80"/>
        <v>940.982421875</v>
      </c>
      <c r="H625">
        <f t="shared" si="81"/>
        <v>1.3875777949579098E-2</v>
      </c>
      <c r="I625">
        <f t="shared" si="82"/>
        <v>1.578039071132388E-2</v>
      </c>
      <c r="J625">
        <f t="shared" si="83"/>
        <v>1508.1948614008418</v>
      </c>
      <c r="K625" s="5">
        <f t="shared" si="84"/>
        <v>954.03928501539463</v>
      </c>
      <c r="L625" s="5">
        <f t="shared" si="85"/>
        <v>1.3780390711323878E-2</v>
      </c>
    </row>
    <row r="626" spans="2:12">
      <c r="B626">
        <v>6.0390625</v>
      </c>
      <c r="C626">
        <v>1.0073333978653001</v>
      </c>
      <c r="D626">
        <v>47.05133984375</v>
      </c>
      <c r="E626" s="5">
        <f t="shared" si="79"/>
        <v>47051.33984375</v>
      </c>
      <c r="F626" s="5">
        <v>0.13936987670604101</v>
      </c>
      <c r="G626">
        <f t="shared" si="80"/>
        <v>941.02679687499995</v>
      </c>
      <c r="H626">
        <f t="shared" si="81"/>
        <v>1.3936987670604101E-2</v>
      </c>
      <c r="I626">
        <f t="shared" si="82"/>
        <v>1.5840760901394114E-2</v>
      </c>
      <c r="J626">
        <f t="shared" si="83"/>
        <v>1514.8020768530789</v>
      </c>
      <c r="K626" s="5">
        <f t="shared" si="84"/>
        <v>954.14187574075493</v>
      </c>
      <c r="L626" s="5">
        <f t="shared" si="85"/>
        <v>1.3840760901394114E-2</v>
      </c>
    </row>
    <row r="627" spans="2:12">
      <c r="B627">
        <v>6.048828125</v>
      </c>
      <c r="C627">
        <v>1.0092675220221301</v>
      </c>
      <c r="D627">
        <v>47.080703124999999</v>
      </c>
      <c r="E627" s="5">
        <f t="shared" si="79"/>
        <v>47080.703125</v>
      </c>
      <c r="F627" s="5">
        <v>0.139954936457798</v>
      </c>
      <c r="G627">
        <f t="shared" si="80"/>
        <v>941.61406250000005</v>
      </c>
      <c r="H627">
        <f t="shared" si="81"/>
        <v>1.3995493645779799E-2</v>
      </c>
      <c r="I627">
        <f t="shared" si="82"/>
        <v>1.5898461022804372E-2</v>
      </c>
      <c r="J627">
        <f t="shared" si="83"/>
        <v>1521.1170666408245</v>
      </c>
      <c r="K627" s="5">
        <f t="shared" si="84"/>
        <v>954.79241612849569</v>
      </c>
      <c r="L627" s="5">
        <f t="shared" si="85"/>
        <v>1.3898461022804372E-2</v>
      </c>
    </row>
    <row r="628" spans="2:12">
      <c r="B628">
        <v>6.05859375</v>
      </c>
      <c r="C628">
        <v>1.01014971733093</v>
      </c>
      <c r="D628">
        <v>47.073601562500002</v>
      </c>
      <c r="E628" s="5">
        <f t="shared" si="79"/>
        <v>47073.6015625</v>
      </c>
      <c r="F628" s="5">
        <v>0.14066592848394099</v>
      </c>
      <c r="G628">
        <f t="shared" si="80"/>
        <v>941.47203124999999</v>
      </c>
      <c r="H628">
        <f t="shared" si="81"/>
        <v>1.4066592848394099E-2</v>
      </c>
      <c r="I628">
        <f t="shared" si="82"/>
        <v>1.5968576433093719E-2</v>
      </c>
      <c r="J628">
        <f t="shared" si="83"/>
        <v>1528.7908477199423</v>
      </c>
      <c r="K628" s="5">
        <f t="shared" si="84"/>
        <v>954.71533499174427</v>
      </c>
      <c r="L628" s="5">
        <f t="shared" si="85"/>
        <v>1.3968576433093721E-2</v>
      </c>
    </row>
    <row r="629" spans="2:12">
      <c r="B629">
        <v>6.068359375</v>
      </c>
      <c r="C629">
        <v>1.0126576526090501</v>
      </c>
      <c r="D629">
        <v>47.064828124999998</v>
      </c>
      <c r="E629" s="5">
        <f t="shared" si="79"/>
        <v>47064.828125</v>
      </c>
      <c r="F629" s="5">
        <v>0.14120066771283701</v>
      </c>
      <c r="G629">
        <f t="shared" si="80"/>
        <v>941.29656250000005</v>
      </c>
      <c r="H629">
        <f t="shared" si="81"/>
        <v>1.4120066771283701E-2</v>
      </c>
      <c r="I629">
        <f t="shared" si="82"/>
        <v>1.6021307203852364E-2</v>
      </c>
      <c r="J629">
        <f t="shared" si="83"/>
        <v>1534.5619669256218</v>
      </c>
      <c r="K629" s="5">
        <f t="shared" si="84"/>
        <v>954.58773281407991</v>
      </c>
      <c r="L629" s="5">
        <f t="shared" si="85"/>
        <v>1.4021307203852362E-2</v>
      </c>
    </row>
    <row r="630" spans="2:12">
      <c r="B630">
        <v>6.078125</v>
      </c>
      <c r="C630">
        <v>1.01254123728722</v>
      </c>
      <c r="D630">
        <v>47.093945312499997</v>
      </c>
      <c r="E630" s="5">
        <f t="shared" si="79"/>
        <v>47093.9453125</v>
      </c>
      <c r="F630" s="5">
        <v>0.141818425618112</v>
      </c>
      <c r="G630">
        <f t="shared" si="80"/>
        <v>941.87890625</v>
      </c>
      <c r="H630">
        <f t="shared" si="81"/>
        <v>1.41818425618112E-2</v>
      </c>
      <c r="I630">
        <f t="shared" si="82"/>
        <v>1.6082221005946917E-2</v>
      </c>
      <c r="J630">
        <f t="shared" si="83"/>
        <v>1541.2286779958606</v>
      </c>
      <c r="K630" s="5">
        <f t="shared" si="84"/>
        <v>955.23648461072844</v>
      </c>
      <c r="L630" s="5">
        <f t="shared" si="85"/>
        <v>1.4082221005946919E-2</v>
      </c>
    </row>
    <row r="631" spans="2:12">
      <c r="B631">
        <v>6.087890625</v>
      </c>
      <c r="C631">
        <v>1.01733510382473</v>
      </c>
      <c r="D631">
        <v>47.103730468750001</v>
      </c>
      <c r="E631" s="5">
        <f t="shared" si="79"/>
        <v>47103.73046875</v>
      </c>
      <c r="F631" s="5">
        <v>0.14252412074711199</v>
      </c>
      <c r="G631">
        <f t="shared" si="80"/>
        <v>942.07460937500002</v>
      </c>
      <c r="H631">
        <f t="shared" si="81"/>
        <v>1.4252412074711198E-2</v>
      </c>
      <c r="I631">
        <f t="shared" si="82"/>
        <v>1.615180128715853E-2</v>
      </c>
      <c r="J631">
        <f t="shared" si="83"/>
        <v>1548.8438918730653</v>
      </c>
      <c r="K631" s="5">
        <f t="shared" si="84"/>
        <v>955.50144491293509</v>
      </c>
      <c r="L631" s="5">
        <f t="shared" si="85"/>
        <v>1.415180128715853E-2</v>
      </c>
    </row>
    <row r="632" spans="2:12">
      <c r="B632">
        <v>6.09765625</v>
      </c>
      <c r="C632">
        <v>1.01650657597929</v>
      </c>
      <c r="D632">
        <v>47.102804687499997</v>
      </c>
      <c r="E632" s="5">
        <f t="shared" si="79"/>
        <v>47102.8046875</v>
      </c>
      <c r="F632" s="5">
        <v>0.143114433740266</v>
      </c>
      <c r="G632">
        <f t="shared" si="80"/>
        <v>942.05609374999995</v>
      </c>
      <c r="H632">
        <f t="shared" si="81"/>
        <v>1.43114433740266E-2</v>
      </c>
      <c r="I632">
        <f t="shared" si="82"/>
        <v>1.6210001377013721E-2</v>
      </c>
      <c r="J632">
        <f t="shared" si="83"/>
        <v>1555.2136007072668</v>
      </c>
      <c r="K632" s="5">
        <f t="shared" si="84"/>
        <v>955.53827619085973</v>
      </c>
      <c r="L632" s="5">
        <f t="shared" si="85"/>
        <v>1.4210001377013722E-2</v>
      </c>
    </row>
    <row r="633" spans="2:12">
      <c r="B633">
        <v>6.107421875</v>
      </c>
      <c r="C633">
        <v>1.01833802182227</v>
      </c>
      <c r="D633">
        <v>47.130226562499999</v>
      </c>
      <c r="E633" s="5">
        <f t="shared" si="79"/>
        <v>47130.2265625</v>
      </c>
      <c r="F633" s="5">
        <v>0.14376844046637399</v>
      </c>
      <c r="G633">
        <f t="shared" si="80"/>
        <v>942.60453125000004</v>
      </c>
      <c r="H633">
        <f t="shared" si="81"/>
        <v>1.4376844046637399E-2</v>
      </c>
      <c r="I633">
        <f t="shared" si="82"/>
        <v>1.6274477199188116E-2</v>
      </c>
      <c r="J633">
        <f t="shared" si="83"/>
        <v>1562.2701570651434</v>
      </c>
      <c r="K633" s="5">
        <f t="shared" si="84"/>
        <v>956.15620959343505</v>
      </c>
      <c r="L633" s="5">
        <f t="shared" si="85"/>
        <v>1.4274477199188116E-2</v>
      </c>
    </row>
    <row r="634" spans="2:12">
      <c r="B634">
        <v>6.1171875</v>
      </c>
      <c r="C634">
        <v>1.02103804238141</v>
      </c>
      <c r="D634">
        <v>47.125011718750002</v>
      </c>
      <c r="E634" s="5">
        <f t="shared" si="79"/>
        <v>47125.01171875</v>
      </c>
      <c r="F634" s="5">
        <v>0.14432911120820799</v>
      </c>
      <c r="G634">
        <f t="shared" si="80"/>
        <v>942.50023437499999</v>
      </c>
      <c r="H634">
        <f t="shared" si="81"/>
        <v>1.4432911120820799E-2</v>
      </c>
      <c r="I634">
        <f t="shared" si="82"/>
        <v>1.63297481027855E-2</v>
      </c>
      <c r="J634">
        <f t="shared" si="83"/>
        <v>1568.3192811093593</v>
      </c>
      <c r="K634" s="5">
        <f t="shared" si="84"/>
        <v>956.10325648908713</v>
      </c>
      <c r="L634" s="5">
        <f t="shared" si="85"/>
        <v>1.4329748102785502E-2</v>
      </c>
    </row>
    <row r="635" spans="2:12">
      <c r="B635">
        <v>6.126953125</v>
      </c>
      <c r="C635">
        <v>1.0221690172329501</v>
      </c>
      <c r="D635">
        <v>47.141277343749998</v>
      </c>
      <c r="E635" s="5">
        <f t="shared" si="79"/>
        <v>47141.27734375</v>
      </c>
      <c r="F635" s="5">
        <v>0.14500846737064399</v>
      </c>
      <c r="G635">
        <f t="shared" si="80"/>
        <v>942.82554687499999</v>
      </c>
      <c r="H635">
        <f t="shared" si="81"/>
        <v>1.4500846737064399E-2</v>
      </c>
      <c r="I635">
        <f t="shared" si="82"/>
        <v>1.639671491824304E-2</v>
      </c>
      <c r="J635">
        <f t="shared" si="83"/>
        <v>1575.6484642271096</v>
      </c>
      <c r="K635" s="5">
        <f t="shared" si="84"/>
        <v>956.49731563002331</v>
      </c>
      <c r="L635" s="5">
        <f t="shared" si="85"/>
        <v>1.439671491824304E-2</v>
      </c>
    </row>
    <row r="636" spans="2:12">
      <c r="B636">
        <v>6.13671875</v>
      </c>
      <c r="C636">
        <v>1.0249525075778401</v>
      </c>
      <c r="D636">
        <v>47.137289062500003</v>
      </c>
      <c r="E636" s="5">
        <f t="shared" si="79"/>
        <v>47137.2890625</v>
      </c>
      <c r="F636" s="5">
        <v>0.145585348946042</v>
      </c>
      <c r="G636">
        <f t="shared" si="80"/>
        <v>942.74578125000005</v>
      </c>
      <c r="H636">
        <f t="shared" si="81"/>
        <v>1.4558534894604199E-2</v>
      </c>
      <c r="I636">
        <f t="shared" si="82"/>
        <v>1.6453576888944922E-2</v>
      </c>
      <c r="J636">
        <f t="shared" si="83"/>
        <v>1581.8717226105769</v>
      </c>
      <c r="K636" s="5">
        <f t="shared" si="84"/>
        <v>956.47077860306911</v>
      </c>
      <c r="L636" s="5">
        <f t="shared" si="85"/>
        <v>1.445357688894492E-2</v>
      </c>
    </row>
    <row r="637" spans="2:12">
      <c r="B637">
        <v>6.146484375</v>
      </c>
      <c r="C637">
        <v>1.02557544596493</v>
      </c>
      <c r="D637">
        <v>47.146789062499998</v>
      </c>
      <c r="E637" s="5">
        <f t="shared" si="79"/>
        <v>47146.7890625</v>
      </c>
      <c r="F637" s="5">
        <v>0.14630690566264101</v>
      </c>
      <c r="G637">
        <f t="shared" si="80"/>
        <v>942.93578124999999</v>
      </c>
      <c r="H637">
        <f t="shared" si="81"/>
        <v>1.4630690566264102E-2</v>
      </c>
      <c r="I637">
        <f t="shared" si="82"/>
        <v>1.6524694624821801E-2</v>
      </c>
      <c r="J637">
        <f t="shared" si="83"/>
        <v>1589.6552032136221</v>
      </c>
      <c r="K637" s="5">
        <f t="shared" si="84"/>
        <v>956.73158288932723</v>
      </c>
      <c r="L637" s="5">
        <f t="shared" si="85"/>
        <v>1.4524694624821801E-2</v>
      </c>
    </row>
    <row r="638" spans="2:12">
      <c r="B638">
        <v>6.15625</v>
      </c>
      <c r="C638">
        <v>1.0278939735144399</v>
      </c>
      <c r="D638">
        <v>47.162367187500003</v>
      </c>
      <c r="E638" s="5">
        <f t="shared" si="79"/>
        <v>47162.3671875</v>
      </c>
      <c r="F638" s="5">
        <v>0.146901104017161</v>
      </c>
      <c r="G638">
        <f t="shared" si="80"/>
        <v>943.24734375000003</v>
      </c>
      <c r="H638">
        <f t="shared" si="81"/>
        <v>1.4690110401716101E-2</v>
      </c>
      <c r="I638">
        <f t="shared" si="82"/>
        <v>1.6583255928131389E-2</v>
      </c>
      <c r="J638">
        <f t="shared" si="83"/>
        <v>1596.06444505434</v>
      </c>
      <c r="K638" s="5">
        <f t="shared" si="84"/>
        <v>957.10375136581297</v>
      </c>
      <c r="L638" s="5">
        <f t="shared" si="85"/>
        <v>1.4583255928131391E-2</v>
      </c>
    </row>
    <row r="639" spans="2:12">
      <c r="B639">
        <v>6.166015625</v>
      </c>
      <c r="C639">
        <v>1.0290980571880901</v>
      </c>
      <c r="D639">
        <v>47.135238281249997</v>
      </c>
      <c r="E639" s="5">
        <f t="shared" si="79"/>
        <v>47135.23828125</v>
      </c>
      <c r="F639" s="5">
        <v>0.14746945817023499</v>
      </c>
      <c r="G639">
        <f t="shared" si="80"/>
        <v>942.70476562500005</v>
      </c>
      <c r="H639">
        <f t="shared" si="81"/>
        <v>1.4746945817023498E-2</v>
      </c>
      <c r="I639">
        <f t="shared" si="82"/>
        <v>1.6639266943745925E-2</v>
      </c>
      <c r="J639">
        <f t="shared" si="83"/>
        <v>1602.1945706582728</v>
      </c>
      <c r="K639" s="5">
        <f t="shared" si="84"/>
        <v>956.60678172512178</v>
      </c>
      <c r="L639" s="5">
        <f t="shared" si="85"/>
        <v>1.4639266943745925E-2</v>
      </c>
    </row>
    <row r="640" spans="2:12">
      <c r="B640">
        <v>6.17578125</v>
      </c>
      <c r="C640">
        <v>1.0300442809239001</v>
      </c>
      <c r="D640">
        <v>47.142167968750002</v>
      </c>
      <c r="E640" s="5">
        <f t="shared" si="79"/>
        <v>47142.16796875</v>
      </c>
      <c r="F640" s="5">
        <v>0.14807056868448901</v>
      </c>
      <c r="G640">
        <f t="shared" si="80"/>
        <v>942.84335937499998</v>
      </c>
      <c r="H640">
        <f t="shared" si="81"/>
        <v>1.48070568684489E-2</v>
      </c>
      <c r="I640">
        <f t="shared" si="82"/>
        <v>1.6698502668800175E-2</v>
      </c>
      <c r="J640">
        <f t="shared" si="83"/>
        <v>1608.6776245868352</v>
      </c>
      <c r="K640" s="5">
        <f t="shared" si="84"/>
        <v>956.80409461530496</v>
      </c>
      <c r="L640" s="5">
        <f t="shared" si="85"/>
        <v>1.4698502668800175E-2</v>
      </c>
    </row>
    <row r="641" spans="2:12">
      <c r="B641">
        <v>6.185546875</v>
      </c>
      <c r="C641">
        <v>1.0318637359887399</v>
      </c>
      <c r="D641">
        <v>47.155128906249999</v>
      </c>
      <c r="E641" s="5">
        <f t="shared" si="79"/>
        <v>47155.12890625</v>
      </c>
      <c r="F641" s="5">
        <v>0.148690363857895</v>
      </c>
      <c r="G641">
        <f t="shared" si="80"/>
        <v>943.10257812500004</v>
      </c>
      <c r="H641">
        <f t="shared" si="81"/>
        <v>1.48690363857895E-2</v>
      </c>
      <c r="I641">
        <f t="shared" si="82"/>
        <v>1.6759575977557093E-2</v>
      </c>
      <c r="J641">
        <f t="shared" si="83"/>
        <v>1615.3617928637361</v>
      </c>
      <c r="K641" s="5">
        <f t="shared" si="84"/>
        <v>957.12560467467256</v>
      </c>
      <c r="L641" s="5">
        <f t="shared" si="85"/>
        <v>1.4759575977557093E-2</v>
      </c>
    </row>
    <row r="642" spans="2:12">
      <c r="B642">
        <v>6.1953125</v>
      </c>
      <c r="C642">
        <v>1.0341419838368899</v>
      </c>
      <c r="D642">
        <v>47.155640624999997</v>
      </c>
      <c r="E642" s="5">
        <f t="shared" si="79"/>
        <v>47155.640625</v>
      </c>
      <c r="F642" s="5">
        <v>0.149251849506982</v>
      </c>
      <c r="G642">
        <f t="shared" si="80"/>
        <v>943.11281250000002</v>
      </c>
      <c r="H642">
        <f t="shared" si="81"/>
        <v>1.49251849506982E-2</v>
      </c>
      <c r="I642">
        <f t="shared" si="82"/>
        <v>1.6814900368899585E-2</v>
      </c>
      <c r="J642">
        <f t="shared" si="83"/>
        <v>1621.416770874215</v>
      </c>
      <c r="K642" s="5">
        <f t="shared" si="84"/>
        <v>957.18894565593564</v>
      </c>
      <c r="L642" s="5">
        <f t="shared" si="85"/>
        <v>1.4814900368899585E-2</v>
      </c>
    </row>
    <row r="643" spans="2:12">
      <c r="B643">
        <v>6.205078125</v>
      </c>
      <c r="C643">
        <v>1.0360374581068801</v>
      </c>
      <c r="D643">
        <v>47.176464843749997</v>
      </c>
      <c r="E643" s="5">
        <f t="shared" si="79"/>
        <v>47176.46484375</v>
      </c>
      <c r="F643" s="5">
        <v>0.149977771798149</v>
      </c>
      <c r="G643">
        <f t="shared" si="80"/>
        <v>943.529296875</v>
      </c>
      <c r="H643">
        <f t="shared" si="81"/>
        <v>1.4997777179814899E-2</v>
      </c>
      <c r="I643">
        <f t="shared" si="82"/>
        <v>1.6886422520726925E-2</v>
      </c>
      <c r="J643">
        <f t="shared" si="83"/>
        <v>1629.2445127809585</v>
      </c>
      <c r="K643" s="5">
        <f t="shared" si="84"/>
        <v>957.68013903215865</v>
      </c>
      <c r="L643" s="5">
        <f t="shared" si="85"/>
        <v>1.4886422520726927E-2</v>
      </c>
    </row>
    <row r="644" spans="2:12">
      <c r="B644">
        <v>6.21484375</v>
      </c>
      <c r="C644">
        <v>1.03654409758747</v>
      </c>
      <c r="D644">
        <v>47.181097656250003</v>
      </c>
      <c r="E644" s="5">
        <f t="shared" si="79"/>
        <v>47181.09765625</v>
      </c>
      <c r="F644" s="5">
        <v>0.15051389345899199</v>
      </c>
      <c r="G644">
        <f t="shared" si="80"/>
        <v>943.621953125</v>
      </c>
      <c r="H644">
        <f t="shared" si="81"/>
        <v>1.50513893458992E-2</v>
      </c>
      <c r="I644">
        <f t="shared" si="82"/>
        <v>1.6939241109538317E-2</v>
      </c>
      <c r="J644">
        <f t="shared" si="83"/>
        <v>1635.025243233421</v>
      </c>
      <c r="K644" s="5">
        <f t="shared" si="84"/>
        <v>957.82477453682225</v>
      </c>
      <c r="L644" s="5">
        <f t="shared" si="85"/>
        <v>1.4939241109538317E-2</v>
      </c>
    </row>
    <row r="645" spans="2:12">
      <c r="B645">
        <v>6.224609375</v>
      </c>
      <c r="C645">
        <v>1.03868695441633</v>
      </c>
      <c r="D645">
        <v>47.212273437500002</v>
      </c>
      <c r="E645" s="5">
        <f t="shared" si="79"/>
        <v>47212.2734375</v>
      </c>
      <c r="F645" s="5">
        <v>0.151159780216403</v>
      </c>
      <c r="G645">
        <f t="shared" si="80"/>
        <v>944.24546874999999</v>
      </c>
      <c r="H645">
        <f t="shared" si="81"/>
        <v>1.5115978021640299E-2</v>
      </c>
      <c r="I645">
        <f t="shared" si="82"/>
        <v>1.7002870026839503E-2</v>
      </c>
      <c r="J645">
        <f t="shared" si="83"/>
        <v>1641.9891100874493</v>
      </c>
      <c r="K645" s="5">
        <f t="shared" si="84"/>
        <v>958.51866250265846</v>
      </c>
      <c r="L645" s="5">
        <f t="shared" si="85"/>
        <v>1.5002870026839503E-2</v>
      </c>
    </row>
    <row r="646" spans="2:12">
      <c r="B646">
        <v>6.234375</v>
      </c>
      <c r="C646">
        <v>1.0401904582977299</v>
      </c>
      <c r="D646">
        <v>47.236472656250001</v>
      </c>
      <c r="E646" s="5">
        <f t="shared" si="79"/>
        <v>47236.47265625</v>
      </c>
      <c r="F646" s="5">
        <v>0.151947228005156</v>
      </c>
      <c r="G646">
        <f t="shared" si="80"/>
        <v>944.72945312499996</v>
      </c>
      <c r="H646">
        <f t="shared" si="81"/>
        <v>1.5194722800515601E-2</v>
      </c>
      <c r="I646">
        <f t="shared" si="82"/>
        <v>1.7080439217488853E-2</v>
      </c>
      <c r="J646">
        <f t="shared" si="83"/>
        <v>1650.4786701580674</v>
      </c>
      <c r="K646" s="5">
        <f t="shared" si="84"/>
        <v>959.08435528671703</v>
      </c>
      <c r="L646" s="5">
        <f t="shared" si="85"/>
        <v>1.5080439217488853E-2</v>
      </c>
    </row>
    <row r="647" spans="2:12">
      <c r="B647">
        <v>6.244140625</v>
      </c>
      <c r="C647">
        <v>1.0417685844004201</v>
      </c>
      <c r="D647">
        <v>47.213941406250001</v>
      </c>
      <c r="E647" s="5">
        <f t="shared" si="79"/>
        <v>47213.94140625</v>
      </c>
      <c r="F647" s="5">
        <v>0.15241903020069</v>
      </c>
      <c r="G647">
        <f t="shared" si="80"/>
        <v>944.27882812500002</v>
      </c>
      <c r="H647">
        <f t="shared" si="81"/>
        <v>1.5241903020069E-2</v>
      </c>
      <c r="I647">
        <f t="shared" si="82"/>
        <v>1.7126912196711079E-2</v>
      </c>
      <c r="J647">
        <f t="shared" si="83"/>
        <v>1655.564905369044</v>
      </c>
      <c r="K647" s="5">
        <f t="shared" si="84"/>
        <v>958.67143444718567</v>
      </c>
      <c r="L647" s="5">
        <f t="shared" si="85"/>
        <v>1.5126912196711079E-2</v>
      </c>
    </row>
    <row r="648" spans="2:12">
      <c r="B648">
        <v>6.25390625</v>
      </c>
      <c r="C648">
        <v>1.0441794293001301</v>
      </c>
      <c r="D648">
        <v>47.211726562499997</v>
      </c>
      <c r="E648" s="5">
        <f t="shared" si="79"/>
        <v>47211.7265625</v>
      </c>
      <c r="F648" s="5">
        <v>0.15310545859392699</v>
      </c>
      <c r="G648">
        <f t="shared" si="80"/>
        <v>944.23453125000003</v>
      </c>
      <c r="H648">
        <f t="shared" si="81"/>
        <v>1.5310545859392699E-2</v>
      </c>
      <c r="I648">
        <f t="shared" si="82"/>
        <v>1.7194522210318711E-2</v>
      </c>
      <c r="J648">
        <f t="shared" si="83"/>
        <v>1662.9644833083314</v>
      </c>
      <c r="K648" s="5">
        <f t="shared" si="84"/>
        <v>958.69127734272536</v>
      </c>
      <c r="L648" s="5">
        <f t="shared" si="85"/>
        <v>1.5194522210318712E-2</v>
      </c>
    </row>
    <row r="649" spans="2:12">
      <c r="B649">
        <v>6.263671875</v>
      </c>
      <c r="C649">
        <v>1.0451005073264199</v>
      </c>
      <c r="D649">
        <v>47.218253906249998</v>
      </c>
      <c r="E649" s="5">
        <f t="shared" ref="E649:E712" si="86" xml:space="preserve"> D649*R$3</f>
        <v>47218.25390625</v>
      </c>
      <c r="F649" s="5">
        <v>0.15371736662928001</v>
      </c>
      <c r="G649">
        <f t="shared" ref="G649:G712" si="87" xml:space="preserve"> E649/C$3</f>
        <v>944.36507812499997</v>
      </c>
      <c r="H649">
        <f t="shared" ref="H649:H712" si="88" xml:space="preserve"> F649/C$4</f>
        <v>1.5371736662928001E-2</v>
      </c>
      <c r="I649">
        <f t="shared" ref="I649:I712" si="89">L649+0.002</f>
        <v>1.7254788460810438E-2</v>
      </c>
      <c r="J649">
        <f t="shared" ref="J649:J712" si="90">L649*G$2</f>
        <v>1669.5603230933987</v>
      </c>
      <c r="K649" s="5">
        <f t="shared" ref="K649:K712" si="91" xml:space="preserve"> G649 * (1 + H649)</f>
        <v>958.88160941960291</v>
      </c>
      <c r="L649" s="5">
        <f t="shared" ref="L649:L712" si="92">LN(1 + H649)</f>
        <v>1.525478846081044E-2</v>
      </c>
    </row>
    <row r="650" spans="2:12">
      <c r="B650">
        <v>6.2734375</v>
      </c>
      <c r="C650">
        <v>1.0468394029885499</v>
      </c>
      <c r="D650">
        <v>47.226300781250004</v>
      </c>
      <c r="E650" s="5">
        <f t="shared" si="86"/>
        <v>47226.30078125</v>
      </c>
      <c r="F650" s="5">
        <v>0.15430856728926301</v>
      </c>
      <c r="G650">
        <f t="shared" si="87"/>
        <v>944.52601562500001</v>
      </c>
      <c r="H650">
        <f t="shared" si="88"/>
        <v>1.5430856728926301E-2</v>
      </c>
      <c r="I650">
        <f t="shared" si="89"/>
        <v>1.7313011811723386E-2</v>
      </c>
      <c r="J650">
        <f t="shared" si="90"/>
        <v>1675.9325777340659</v>
      </c>
      <c r="K650" s="5">
        <f t="shared" si="91"/>
        <v>959.10086124885299</v>
      </c>
      <c r="L650" s="5">
        <f t="shared" si="92"/>
        <v>1.5313011811723386E-2</v>
      </c>
    </row>
    <row r="651" spans="2:12">
      <c r="B651">
        <v>6.283203125</v>
      </c>
      <c r="C651">
        <v>1.04850984644145</v>
      </c>
      <c r="D651">
        <v>47.23765234375</v>
      </c>
      <c r="E651" s="5">
        <f t="shared" si="86"/>
        <v>47237.65234375</v>
      </c>
      <c r="F651" s="5">
        <v>0.154968889546581</v>
      </c>
      <c r="G651">
        <f t="shared" si="87"/>
        <v>944.753046875</v>
      </c>
      <c r="H651">
        <f t="shared" si="88"/>
        <v>1.5496888954658099E-2</v>
      </c>
      <c r="I651">
        <f t="shared" si="89"/>
        <v>1.7378038473450146E-2</v>
      </c>
      <c r="J651">
        <f t="shared" si="90"/>
        <v>1683.0494207267511</v>
      </c>
      <c r="K651" s="5">
        <f t="shared" si="91"/>
        <v>959.39377993199673</v>
      </c>
      <c r="L651" s="5">
        <f t="shared" si="92"/>
        <v>1.5378038473450146E-2</v>
      </c>
    </row>
    <row r="652" spans="2:12">
      <c r="B652">
        <v>6.29296875</v>
      </c>
      <c r="C652">
        <v>1.04959611780941</v>
      </c>
      <c r="D652">
        <v>47.229917968750001</v>
      </c>
      <c r="E652" s="5">
        <f t="shared" si="86"/>
        <v>47229.91796875</v>
      </c>
      <c r="F652" s="5">
        <v>0.15557068400085</v>
      </c>
      <c r="G652">
        <f t="shared" si="87"/>
        <v>944.59835937499997</v>
      </c>
      <c r="H652">
        <f t="shared" si="88"/>
        <v>1.5557068400085E-2</v>
      </c>
      <c r="I652">
        <f t="shared" si="89"/>
        <v>1.7437297800585796E-2</v>
      </c>
      <c r="J652">
        <f t="shared" si="90"/>
        <v>1689.5350577851127</v>
      </c>
      <c r="K652" s="5">
        <f t="shared" si="91"/>
        <v>959.29354066240489</v>
      </c>
      <c r="L652" s="5">
        <f t="shared" si="92"/>
        <v>1.5437297800585798E-2</v>
      </c>
    </row>
    <row r="653" spans="2:12">
      <c r="B653">
        <v>6.302734375</v>
      </c>
      <c r="C653">
        <v>1.0516688926145401</v>
      </c>
      <c r="D653">
        <v>47.234710937499997</v>
      </c>
      <c r="E653" s="5">
        <f t="shared" si="86"/>
        <v>47234.7109375</v>
      </c>
      <c r="F653" s="5">
        <v>0.15614239964634199</v>
      </c>
      <c r="G653">
        <f t="shared" si="87"/>
        <v>944.69421875</v>
      </c>
      <c r="H653">
        <f t="shared" si="88"/>
        <v>1.5614239964634199E-2</v>
      </c>
      <c r="I653">
        <f t="shared" si="89"/>
        <v>1.7493591983482989E-2</v>
      </c>
      <c r="J653">
        <f t="shared" si="90"/>
        <v>1695.6961746322957</v>
      </c>
      <c r="K653" s="5">
        <f t="shared" si="91"/>
        <v>959.44490097476512</v>
      </c>
      <c r="L653" s="5">
        <f t="shared" si="92"/>
        <v>1.5493591983482989E-2</v>
      </c>
    </row>
    <row r="654" spans="2:12">
      <c r="B654">
        <v>6.3125</v>
      </c>
      <c r="C654">
        <v>1.0533883469179299</v>
      </c>
      <c r="D654">
        <v>47.274097656249999</v>
      </c>
      <c r="E654" s="5">
        <f t="shared" si="86"/>
        <v>47274.09765625</v>
      </c>
      <c r="F654" s="5">
        <v>0.15685957623645699</v>
      </c>
      <c r="G654">
        <f t="shared" si="87"/>
        <v>945.48195312500002</v>
      </c>
      <c r="H654">
        <f t="shared" si="88"/>
        <v>1.5685957623645698E-2</v>
      </c>
      <c r="I654">
        <f t="shared" si="89"/>
        <v>1.7564204548899398E-2</v>
      </c>
      <c r="J654">
        <f t="shared" si="90"/>
        <v>1703.4243668542947</v>
      </c>
      <c r="K654" s="5">
        <f t="shared" si="91"/>
        <v>960.3127429756405</v>
      </c>
      <c r="L654" s="5">
        <f t="shared" si="92"/>
        <v>1.5564204548899398E-2</v>
      </c>
    </row>
    <row r="655" spans="2:12">
      <c r="B655">
        <v>6.322265625</v>
      </c>
      <c r="C655">
        <v>1.05703179724514</v>
      </c>
      <c r="D655">
        <v>47.267050781249999</v>
      </c>
      <c r="E655" s="5">
        <f t="shared" si="86"/>
        <v>47267.05078125</v>
      </c>
      <c r="F655" s="5">
        <v>0.15748623991385099</v>
      </c>
      <c r="G655">
        <f t="shared" si="87"/>
        <v>945.34101562499995</v>
      </c>
      <c r="H655">
        <f t="shared" si="88"/>
        <v>1.5748623991385099E-2</v>
      </c>
      <c r="I655">
        <f t="shared" si="89"/>
        <v>1.7625901212258842E-2</v>
      </c>
      <c r="J655">
        <f t="shared" si="90"/>
        <v>1710.1767581756687</v>
      </c>
      <c r="K655" s="5">
        <f t="shared" si="91"/>
        <v>960.22883582371219</v>
      </c>
      <c r="L655" s="5">
        <f t="shared" si="92"/>
        <v>1.562590121225884E-2</v>
      </c>
    </row>
    <row r="656" spans="2:12">
      <c r="B656">
        <v>6.33203125</v>
      </c>
      <c r="C656">
        <v>1.0575725464150301</v>
      </c>
      <c r="D656">
        <v>47.307691406250001</v>
      </c>
      <c r="E656" s="5">
        <f t="shared" si="86"/>
        <v>47307.69140625</v>
      </c>
      <c r="F656" s="5">
        <v>0.15815913502592599</v>
      </c>
      <c r="G656">
        <f t="shared" si="87"/>
        <v>946.15382812500002</v>
      </c>
      <c r="H656">
        <f t="shared" si="88"/>
        <v>1.58159135025926E-2</v>
      </c>
      <c r="I656">
        <f t="shared" si="89"/>
        <v>1.7692145242404297E-2</v>
      </c>
      <c r="J656">
        <f t="shared" si="90"/>
        <v>1717.4268360549386</v>
      </c>
      <c r="K656" s="5">
        <f t="shared" si="91"/>
        <v>961.11811523077188</v>
      </c>
      <c r="L656" s="5">
        <f t="shared" si="92"/>
        <v>1.5692145242404299E-2</v>
      </c>
    </row>
    <row r="657" spans="2:12">
      <c r="B657">
        <v>6.341796875</v>
      </c>
      <c r="C657">
        <v>1.0584294795989999</v>
      </c>
      <c r="D657">
        <v>47.315167968750004</v>
      </c>
      <c r="E657" s="5">
        <f t="shared" si="86"/>
        <v>47315.16796875</v>
      </c>
      <c r="F657" s="5">
        <v>0.158825612743385</v>
      </c>
      <c r="G657">
        <f t="shared" si="87"/>
        <v>946.30335937500001</v>
      </c>
      <c r="H657">
        <f t="shared" si="88"/>
        <v>1.58825612743385E-2</v>
      </c>
      <c r="I657">
        <f t="shared" si="89"/>
        <v>1.7757753178421619E-2</v>
      </c>
      <c r="J657">
        <f t="shared" si="90"/>
        <v>1724.6072966123543</v>
      </c>
      <c r="K657" s="5">
        <f t="shared" si="91"/>
        <v>961.33308046438583</v>
      </c>
      <c r="L657" s="5">
        <f t="shared" si="92"/>
        <v>1.5757753178421621E-2</v>
      </c>
    </row>
    <row r="658" spans="2:12">
      <c r="B658">
        <v>6.3515625</v>
      </c>
      <c r="C658">
        <v>1.0580777889117601</v>
      </c>
      <c r="D658">
        <v>47.301585937500001</v>
      </c>
      <c r="E658" s="5">
        <f t="shared" si="86"/>
        <v>47301.5859375</v>
      </c>
      <c r="F658" s="5">
        <v>0.15940825687721399</v>
      </c>
      <c r="G658">
        <f t="shared" si="87"/>
        <v>946.03171874999998</v>
      </c>
      <c r="H658">
        <f t="shared" si="88"/>
        <v>1.5940825687721399E-2</v>
      </c>
      <c r="I658">
        <f t="shared" si="89"/>
        <v>1.7815105026788659E-2</v>
      </c>
      <c r="J658">
        <f t="shared" si="90"/>
        <v>1730.884169656885</v>
      </c>
      <c r="K658" s="5">
        <f t="shared" si="91"/>
        <v>961.11224547364918</v>
      </c>
      <c r="L658" s="5">
        <f t="shared" si="92"/>
        <v>1.5815105026788661E-2</v>
      </c>
    </row>
    <row r="659" spans="2:12">
      <c r="B659">
        <v>6.361328125</v>
      </c>
      <c r="C659">
        <v>1.0619534878060199</v>
      </c>
      <c r="D659">
        <v>47.299414062499999</v>
      </c>
      <c r="E659" s="5">
        <f t="shared" si="86"/>
        <v>47299.4140625</v>
      </c>
      <c r="F659" s="5">
        <v>0.160058349138126</v>
      </c>
      <c r="G659">
        <f t="shared" si="87"/>
        <v>945.98828125</v>
      </c>
      <c r="H659">
        <f t="shared" si="88"/>
        <v>1.6005834913812599E-2</v>
      </c>
      <c r="I659">
        <f t="shared" si="89"/>
        <v>1.787909216520512E-2</v>
      </c>
      <c r="J659">
        <f t="shared" si="90"/>
        <v>1737.8872420208745</v>
      </c>
      <c r="K659" s="5">
        <f t="shared" si="91"/>
        <v>961.1296135100888</v>
      </c>
      <c r="L659" s="5">
        <f t="shared" si="92"/>
        <v>1.5879092165205121E-2</v>
      </c>
    </row>
    <row r="660" spans="2:12">
      <c r="B660">
        <v>6.37109375</v>
      </c>
      <c r="C660">
        <v>1.06133369263262</v>
      </c>
      <c r="D660">
        <v>47.27783203125</v>
      </c>
      <c r="E660" s="5">
        <f t="shared" si="86"/>
        <v>47277.83203125</v>
      </c>
      <c r="F660" s="5">
        <v>0.160713752848096</v>
      </c>
      <c r="G660">
        <f t="shared" si="87"/>
        <v>945.556640625</v>
      </c>
      <c r="H660">
        <f t="shared" si="88"/>
        <v>1.6071375284809598E-2</v>
      </c>
      <c r="I660">
        <f t="shared" si="89"/>
        <v>1.794359795336202E-2</v>
      </c>
      <c r="J660">
        <f t="shared" si="90"/>
        <v>1744.9470780057065</v>
      </c>
      <c r="K660" s="5">
        <f t="shared" si="91"/>
        <v>960.75303624952824</v>
      </c>
      <c r="L660" s="5">
        <f t="shared" si="92"/>
        <v>1.5943597953362022E-2</v>
      </c>
    </row>
    <row r="661" spans="2:12">
      <c r="B661">
        <v>6.380859375</v>
      </c>
      <c r="C661">
        <v>1.06514396611601</v>
      </c>
      <c r="D661">
        <v>47.289894531249999</v>
      </c>
      <c r="E661" s="5">
        <f t="shared" si="86"/>
        <v>47289.89453125</v>
      </c>
      <c r="F661" s="5">
        <v>0.16132347809616501</v>
      </c>
      <c r="G661">
        <f t="shared" si="87"/>
        <v>945.79789062500004</v>
      </c>
      <c r="H661">
        <f t="shared" si="88"/>
        <v>1.6132347809616501E-2</v>
      </c>
      <c r="I661">
        <f t="shared" si="89"/>
        <v>1.8003604264867357E-2</v>
      </c>
      <c r="J661">
        <f t="shared" si="90"/>
        <v>1751.5144687684076</v>
      </c>
      <c r="K661" s="5">
        <f t="shared" si="91"/>
        <v>961.05583115416414</v>
      </c>
      <c r="L661" s="5">
        <f t="shared" si="92"/>
        <v>1.6003604264867355E-2</v>
      </c>
    </row>
    <row r="662" spans="2:12">
      <c r="B662">
        <v>6.390625</v>
      </c>
      <c r="C662">
        <v>1.06547179166228</v>
      </c>
      <c r="D662">
        <v>47.294011718749999</v>
      </c>
      <c r="E662" s="5">
        <f t="shared" si="86"/>
        <v>47294.01171875</v>
      </c>
      <c r="F662" s="5">
        <v>0.161927411681972</v>
      </c>
      <c r="G662">
        <f t="shared" si="87"/>
        <v>945.88023437499999</v>
      </c>
      <c r="H662">
        <f t="shared" si="88"/>
        <v>1.6192741168197199E-2</v>
      </c>
      <c r="I662">
        <f t="shared" si="89"/>
        <v>1.8063037038616087E-2</v>
      </c>
      <c r="J662">
        <f t="shared" si="90"/>
        <v>1758.0190886913379</v>
      </c>
      <c r="K662" s="5">
        <f t="shared" si="91"/>
        <v>961.19662818634811</v>
      </c>
      <c r="L662" s="5">
        <f t="shared" si="92"/>
        <v>1.6063037038616088E-2</v>
      </c>
    </row>
    <row r="663" spans="2:12">
      <c r="B663">
        <v>6.400390625</v>
      </c>
      <c r="C663">
        <v>1.0682389838621</v>
      </c>
      <c r="D663">
        <v>47.323265624999998</v>
      </c>
      <c r="E663" s="5">
        <f t="shared" si="86"/>
        <v>47323.265625</v>
      </c>
      <c r="F663" s="5">
        <v>0.16258106916211501</v>
      </c>
      <c r="G663">
        <f t="shared" si="87"/>
        <v>946.46531249999998</v>
      </c>
      <c r="H663">
        <f t="shared" si="88"/>
        <v>1.62581069162115E-2</v>
      </c>
      <c r="I663">
        <f t="shared" si="89"/>
        <v>1.8127359133389941E-2</v>
      </c>
      <c r="J663">
        <f t="shared" si="90"/>
        <v>1765.0588203538618</v>
      </c>
      <c r="K663" s="5">
        <f t="shared" si="91"/>
        <v>961.85304674311055</v>
      </c>
      <c r="L663" s="5">
        <f t="shared" si="92"/>
        <v>1.6127359133389939E-2</v>
      </c>
    </row>
    <row r="664" spans="2:12">
      <c r="B664">
        <v>6.41015625</v>
      </c>
      <c r="C664">
        <v>1.0702908039093</v>
      </c>
      <c r="D664">
        <v>47.317863281249998</v>
      </c>
      <c r="E664" s="5">
        <f t="shared" si="86"/>
        <v>47317.86328125</v>
      </c>
      <c r="F664" s="5">
        <v>0.16316131222993099</v>
      </c>
      <c r="G664">
        <f t="shared" si="87"/>
        <v>946.35726562499997</v>
      </c>
      <c r="H664">
        <f t="shared" si="88"/>
        <v>1.6316131222993101E-2</v>
      </c>
      <c r="I664">
        <f t="shared" si="89"/>
        <v>1.8184453536840089E-2</v>
      </c>
      <c r="J664">
        <f t="shared" si="90"/>
        <v>1771.3075173394639</v>
      </c>
      <c r="K664" s="5">
        <f t="shared" si="91"/>
        <v>961.79815495477044</v>
      </c>
      <c r="L664" s="5">
        <f t="shared" si="92"/>
        <v>1.6184453536840091E-2</v>
      </c>
    </row>
    <row r="665" spans="2:12">
      <c r="B665">
        <v>6.419921875</v>
      </c>
      <c r="C665">
        <v>1.07213854789734</v>
      </c>
      <c r="D665">
        <v>47.324710937500001</v>
      </c>
      <c r="E665" s="5">
        <f t="shared" si="86"/>
        <v>47324.7109375</v>
      </c>
      <c r="F665" s="5">
        <v>0.16382326430175501</v>
      </c>
      <c r="G665">
        <f t="shared" si="87"/>
        <v>946.49421874999996</v>
      </c>
      <c r="H665">
        <f t="shared" si="88"/>
        <v>1.6382326430175502E-2</v>
      </c>
      <c r="I665">
        <f t="shared" si="89"/>
        <v>1.824958391262848E-2</v>
      </c>
      <c r="J665">
        <f t="shared" si="90"/>
        <v>1778.4357113176241</v>
      </c>
      <c r="K665" s="5">
        <f t="shared" si="91"/>
        <v>961.99999600583635</v>
      </c>
      <c r="L665" s="5">
        <f t="shared" si="92"/>
        <v>1.6249583912628481E-2</v>
      </c>
    </row>
    <row r="666" spans="2:12">
      <c r="B666">
        <v>6.4296875</v>
      </c>
      <c r="C666">
        <v>1.07243657112122</v>
      </c>
      <c r="D666">
        <v>47.313839843750003</v>
      </c>
      <c r="E666" s="5">
        <f t="shared" si="86"/>
        <v>47313.83984375</v>
      </c>
      <c r="F666" s="5">
        <v>0.164365308592096</v>
      </c>
      <c r="G666">
        <f t="shared" si="87"/>
        <v>946.27679687499995</v>
      </c>
      <c r="H666">
        <f t="shared" si="88"/>
        <v>1.6436530859209601E-2</v>
      </c>
      <c r="I666">
        <f t="shared" si="89"/>
        <v>1.8302913237917474E-2</v>
      </c>
      <c r="J666">
        <f t="shared" si="90"/>
        <v>1784.2723393238778</v>
      </c>
      <c r="K666" s="5">
        <f t="shared" si="91"/>
        <v>961.83030464818989</v>
      </c>
      <c r="L666" s="5">
        <f t="shared" si="92"/>
        <v>1.6302913237917473E-2</v>
      </c>
    </row>
    <row r="667" spans="2:12">
      <c r="B667">
        <v>6.439453125</v>
      </c>
      <c r="C667">
        <v>1.0746135376393799</v>
      </c>
      <c r="D667">
        <v>47.334929687500001</v>
      </c>
      <c r="E667" s="5">
        <f t="shared" si="86"/>
        <v>47334.9296875</v>
      </c>
      <c r="F667" s="5">
        <v>0.16505422536283701</v>
      </c>
      <c r="G667">
        <f t="shared" si="87"/>
        <v>946.69859374999999</v>
      </c>
      <c r="H667">
        <f t="shared" si="88"/>
        <v>1.65054225362837E-2</v>
      </c>
      <c r="I667">
        <f t="shared" si="89"/>
        <v>1.8370688588793024E-2</v>
      </c>
      <c r="J667">
        <f t="shared" si="90"/>
        <v>1791.6900126004527</v>
      </c>
      <c r="K667" s="5">
        <f t="shared" si="91"/>
        <v>962.32425405434935</v>
      </c>
      <c r="L667" s="5">
        <f t="shared" si="92"/>
        <v>1.6370688588793026E-2</v>
      </c>
    </row>
    <row r="668" spans="2:12">
      <c r="B668">
        <v>6.44921875</v>
      </c>
      <c r="C668">
        <v>1.07596663292497</v>
      </c>
      <c r="D668">
        <v>47.325109374999997</v>
      </c>
      <c r="E668" s="5">
        <f t="shared" si="86"/>
        <v>47325.109375</v>
      </c>
      <c r="F668" s="5">
        <v>0.16564090037718401</v>
      </c>
      <c r="G668">
        <f t="shared" si="87"/>
        <v>946.50218749999999</v>
      </c>
      <c r="H668">
        <f t="shared" si="88"/>
        <v>1.6564090037718401E-2</v>
      </c>
      <c r="I668">
        <f t="shared" si="89"/>
        <v>1.8428401816096E-2</v>
      </c>
      <c r="J668">
        <f t="shared" si="90"/>
        <v>1798.0064367626269</v>
      </c>
      <c r="K668" s="5">
        <f t="shared" si="91"/>
        <v>962.18013495464743</v>
      </c>
      <c r="L668" s="5">
        <f t="shared" si="92"/>
        <v>1.6428401816096002E-2</v>
      </c>
    </row>
    <row r="669" spans="2:12">
      <c r="B669">
        <v>6.458984375</v>
      </c>
      <c r="C669">
        <v>1.07781437691301</v>
      </c>
      <c r="D669">
        <v>47.337589843750003</v>
      </c>
      <c r="E669" s="5">
        <f t="shared" si="86"/>
        <v>47337.58984375</v>
      </c>
      <c r="F669" s="5">
        <v>0.166301266290247</v>
      </c>
      <c r="G669">
        <f t="shared" si="87"/>
        <v>946.75179687499997</v>
      </c>
      <c r="H669">
        <f t="shared" si="88"/>
        <v>1.6630126629024699E-2</v>
      </c>
      <c r="I669">
        <f t="shared" si="89"/>
        <v>1.8493360284685206E-2</v>
      </c>
      <c r="J669">
        <f t="shared" si="90"/>
        <v>1805.1158163573725</v>
      </c>
      <c r="K669" s="5">
        <f t="shared" si="91"/>
        <v>962.49639914328793</v>
      </c>
      <c r="L669" s="5">
        <f t="shared" si="92"/>
        <v>1.6493360284685208E-2</v>
      </c>
    </row>
    <row r="670" spans="2:12">
      <c r="B670">
        <v>6.46875</v>
      </c>
      <c r="C670">
        <v>1.0798514122143399</v>
      </c>
      <c r="D670">
        <v>47.362167968750001</v>
      </c>
      <c r="E670" s="5">
        <f t="shared" si="86"/>
        <v>47362.16796875</v>
      </c>
      <c r="F670" s="5">
        <v>0.16694900114089301</v>
      </c>
      <c r="G670">
        <f t="shared" si="87"/>
        <v>947.24335937499995</v>
      </c>
      <c r="H670">
        <f t="shared" si="88"/>
        <v>1.6694900114089299E-2</v>
      </c>
      <c r="I670">
        <f t="shared" si="89"/>
        <v>1.8557072169636694E-2</v>
      </c>
      <c r="J670">
        <f t="shared" si="90"/>
        <v>1812.0887636058878</v>
      </c>
      <c r="K670" s="5">
        <f t="shared" si="91"/>
        <v>963.05749264349993</v>
      </c>
      <c r="L670" s="5">
        <f t="shared" si="92"/>
        <v>1.6557072169636693E-2</v>
      </c>
    </row>
    <row r="671" spans="2:12">
      <c r="B671">
        <v>6.478515625</v>
      </c>
      <c r="C671">
        <v>1.08162616379559</v>
      </c>
      <c r="D671">
        <v>47.375960937499997</v>
      </c>
      <c r="E671" s="5">
        <f t="shared" si="86"/>
        <v>47375.9609375</v>
      </c>
      <c r="F671" s="5">
        <v>0.167482372489758</v>
      </c>
      <c r="G671">
        <f t="shared" si="87"/>
        <v>947.51921875000005</v>
      </c>
      <c r="H671">
        <f t="shared" si="88"/>
        <v>1.6748237248975801E-2</v>
      </c>
      <c r="I671">
        <f t="shared" si="89"/>
        <v>1.8609532092335027E-2</v>
      </c>
      <c r="J671">
        <f t="shared" si="90"/>
        <v>1817.8302398456071</v>
      </c>
      <c r="K671" s="5">
        <f t="shared" si="91"/>
        <v>963.38849542358923</v>
      </c>
      <c r="L671" s="5">
        <f t="shared" si="92"/>
        <v>1.6609532092335028E-2</v>
      </c>
    </row>
    <row r="672" spans="2:12">
      <c r="B672">
        <v>6.48828125</v>
      </c>
      <c r="C672">
        <v>1.0821223258972199</v>
      </c>
      <c r="D672">
        <v>47.362359374999997</v>
      </c>
      <c r="E672" s="5">
        <f t="shared" si="86"/>
        <v>47362.359375</v>
      </c>
      <c r="F672" s="5">
        <v>0.16806347412057199</v>
      </c>
      <c r="G672">
        <f t="shared" si="87"/>
        <v>947.2471875</v>
      </c>
      <c r="H672">
        <f t="shared" si="88"/>
        <v>1.68063474120572E-2</v>
      </c>
      <c r="I672">
        <f t="shared" si="89"/>
        <v>1.8666683411051113E-2</v>
      </c>
      <c r="J672">
        <f t="shared" si="90"/>
        <v>1824.0851659224888</v>
      </c>
      <c r="K672" s="5">
        <f t="shared" si="91"/>
        <v>963.1669528182191</v>
      </c>
      <c r="L672" s="5">
        <f t="shared" si="92"/>
        <v>1.6666683411051111E-2</v>
      </c>
    </row>
    <row r="673" spans="2:12">
      <c r="B673">
        <v>6.498046875</v>
      </c>
      <c r="C673">
        <v>1.0862157214432999</v>
      </c>
      <c r="D673">
        <v>47.361160156250001</v>
      </c>
      <c r="E673" s="5">
        <f t="shared" si="86"/>
        <v>47361.16015625</v>
      </c>
      <c r="F673" s="5">
        <v>0.16871468687895699</v>
      </c>
      <c r="G673">
        <f t="shared" si="87"/>
        <v>947.22320312500005</v>
      </c>
      <c r="H673">
        <f t="shared" si="88"/>
        <v>1.6871468687895699E-2</v>
      </c>
      <c r="I673">
        <f t="shared" si="89"/>
        <v>1.8730726275014299E-2</v>
      </c>
      <c r="J673">
        <f t="shared" si="90"/>
        <v>1831.0943371689398</v>
      </c>
      <c r="K673" s="5">
        <f t="shared" si="91"/>
        <v>963.20424973697175</v>
      </c>
      <c r="L673" s="5">
        <f t="shared" si="92"/>
        <v>1.6730726275014297E-2</v>
      </c>
    </row>
    <row r="674" spans="2:12">
      <c r="B674">
        <v>6.5078125</v>
      </c>
      <c r="C674">
        <v>1.0869055986404399</v>
      </c>
      <c r="D674">
        <v>47.353433593749997</v>
      </c>
      <c r="E674" s="5">
        <f t="shared" si="86"/>
        <v>47353.43359375</v>
      </c>
      <c r="F674" s="5">
        <v>0.16932614380493799</v>
      </c>
      <c r="G674">
        <f t="shared" si="87"/>
        <v>947.06867187499995</v>
      </c>
      <c r="H674">
        <f t="shared" si="88"/>
        <v>1.6932614380493798E-2</v>
      </c>
      <c r="I674">
        <f t="shared" si="89"/>
        <v>1.8790855658297127E-2</v>
      </c>
      <c r="J674">
        <f t="shared" si="90"/>
        <v>1837.675197522329</v>
      </c>
      <c r="K674" s="5">
        <f t="shared" si="91"/>
        <v>963.1050204877057</v>
      </c>
      <c r="L674" s="5">
        <f t="shared" si="92"/>
        <v>1.6790855658297126E-2</v>
      </c>
    </row>
    <row r="675" spans="2:12">
      <c r="B675">
        <v>6.517578125</v>
      </c>
      <c r="C675">
        <v>1.0864570504054401</v>
      </c>
      <c r="D675">
        <v>47.346597656249997</v>
      </c>
      <c r="E675" s="5">
        <f t="shared" si="86"/>
        <v>47346.59765625</v>
      </c>
      <c r="F675" s="5">
        <v>0.16987713752314401</v>
      </c>
      <c r="G675">
        <f t="shared" si="87"/>
        <v>946.93195312499995</v>
      </c>
      <c r="H675">
        <f t="shared" si="88"/>
        <v>1.69877137523144E-2</v>
      </c>
      <c r="I675">
        <f t="shared" si="89"/>
        <v>1.884503612060142E-2</v>
      </c>
      <c r="J675">
        <f t="shared" si="90"/>
        <v>1843.6049782192222</v>
      </c>
      <c r="K675" s="5">
        <f t="shared" si="91"/>
        <v>963.01816208760749</v>
      </c>
      <c r="L675" s="5">
        <f t="shared" si="92"/>
        <v>1.6845036120601418E-2</v>
      </c>
    </row>
    <row r="676" spans="2:12">
      <c r="B676">
        <v>6.52734375</v>
      </c>
      <c r="C676">
        <v>1.08856265433133</v>
      </c>
      <c r="D676">
        <v>47.355195312500001</v>
      </c>
      <c r="E676" s="5">
        <f t="shared" si="86"/>
        <v>47355.1953125</v>
      </c>
      <c r="F676" s="5">
        <v>0.17047954315785299</v>
      </c>
      <c r="G676">
        <f t="shared" si="87"/>
        <v>947.10390625000002</v>
      </c>
      <c r="H676">
        <f t="shared" si="88"/>
        <v>1.7047954315785298E-2</v>
      </c>
      <c r="I676">
        <f t="shared" si="89"/>
        <v>1.8904268674321281E-2</v>
      </c>
      <c r="J676">
        <f t="shared" si="90"/>
        <v>1850.0876850610928</v>
      </c>
      <c r="K676" s="5">
        <f t="shared" si="91"/>
        <v>963.25009037605184</v>
      </c>
      <c r="L676" s="5">
        <f t="shared" si="92"/>
        <v>1.6904268674321283E-2</v>
      </c>
    </row>
    <row r="677" spans="2:12">
      <c r="B677">
        <v>6.537109375</v>
      </c>
      <c r="C677">
        <v>1.0902046924457001</v>
      </c>
      <c r="D677">
        <v>47.383031250000002</v>
      </c>
      <c r="E677" s="5">
        <f t="shared" si="86"/>
        <v>47383.03125</v>
      </c>
      <c r="F677" s="5">
        <v>0.17111147462856</v>
      </c>
      <c r="G677">
        <f t="shared" si="87"/>
        <v>947.66062499999998</v>
      </c>
      <c r="H677">
        <f t="shared" si="88"/>
        <v>1.7111147462856E-2</v>
      </c>
      <c r="I677">
        <f t="shared" si="89"/>
        <v>1.8966400635420863E-2</v>
      </c>
      <c r="J677">
        <f t="shared" si="90"/>
        <v>1856.8877175436367</v>
      </c>
      <c r="K677" s="5">
        <f t="shared" si="91"/>
        <v>963.87618569911729</v>
      </c>
      <c r="L677" s="5">
        <f t="shared" si="92"/>
        <v>1.6966400635420865E-2</v>
      </c>
    </row>
    <row r="678" spans="2:12">
      <c r="B678">
        <v>6.546875</v>
      </c>
      <c r="C678">
        <v>1.0922267101705101</v>
      </c>
      <c r="D678">
        <v>47.404003906249997</v>
      </c>
      <c r="E678" s="5">
        <f t="shared" si="86"/>
        <v>47404.00390625</v>
      </c>
      <c r="F678" s="5">
        <v>0.17175581888295699</v>
      </c>
      <c r="G678">
        <f t="shared" si="87"/>
        <v>948.080078125</v>
      </c>
      <c r="H678">
        <f t="shared" si="88"/>
        <v>1.71755818882957E-2</v>
      </c>
      <c r="I678">
        <f t="shared" si="89"/>
        <v>1.9029749055809751E-2</v>
      </c>
      <c r="J678">
        <f t="shared" si="90"/>
        <v>1863.820885413098</v>
      </c>
      <c r="K678" s="5">
        <f t="shared" si="91"/>
        <v>964.36390514349773</v>
      </c>
      <c r="L678" s="5">
        <f t="shared" si="92"/>
        <v>1.7029749055809749E-2</v>
      </c>
    </row>
    <row r="679" spans="2:12">
      <c r="B679">
        <v>6.556640625</v>
      </c>
      <c r="C679">
        <v>1.0942743392661201</v>
      </c>
      <c r="D679">
        <v>47.401496093749998</v>
      </c>
      <c r="E679" s="5">
        <f t="shared" si="86"/>
        <v>47401.49609375</v>
      </c>
      <c r="F679" s="5">
        <v>0.17243016918655499</v>
      </c>
      <c r="G679">
        <f t="shared" si="87"/>
        <v>948.02992187500001</v>
      </c>
      <c r="H679">
        <f t="shared" si="88"/>
        <v>1.7243016918655499E-2</v>
      </c>
      <c r="I679">
        <f t="shared" si="89"/>
        <v>1.90960432102419E-2</v>
      </c>
      <c r="J679">
        <f t="shared" si="90"/>
        <v>1871.0764491449245</v>
      </c>
      <c r="K679" s="5">
        <f t="shared" si="91"/>
        <v>964.37681785728228</v>
      </c>
      <c r="L679" s="5">
        <f t="shared" si="92"/>
        <v>1.7096043210241899E-2</v>
      </c>
    </row>
    <row r="680" spans="2:12">
      <c r="B680">
        <v>6.56640625</v>
      </c>
      <c r="C680">
        <v>1.0961160296574199</v>
      </c>
      <c r="D680">
        <v>47.417437499999998</v>
      </c>
      <c r="E680" s="5">
        <f t="shared" si="86"/>
        <v>47417.4375</v>
      </c>
      <c r="F680" s="5">
        <v>0.173049367731437</v>
      </c>
      <c r="G680">
        <f t="shared" si="87"/>
        <v>948.34875</v>
      </c>
      <c r="H680">
        <f t="shared" si="88"/>
        <v>1.7304936773143702E-2</v>
      </c>
      <c r="I680">
        <f t="shared" si="89"/>
        <v>1.9156911625159312E-2</v>
      </c>
      <c r="J680">
        <f t="shared" si="90"/>
        <v>1877.7381928155608</v>
      </c>
      <c r="K680" s="5">
        <f t="shared" si="91"/>
        <v>964.75986515763987</v>
      </c>
      <c r="L680" s="5">
        <f t="shared" si="92"/>
        <v>1.715691162515931E-2</v>
      </c>
    </row>
    <row r="681" spans="2:12">
      <c r="B681">
        <v>6.576171875</v>
      </c>
      <c r="C681">
        <v>1.0970800649374699</v>
      </c>
      <c r="D681">
        <v>47.434296875000001</v>
      </c>
      <c r="E681" s="5">
        <f t="shared" si="86"/>
        <v>47434.296875</v>
      </c>
      <c r="F681" s="5">
        <v>0.17369257693644599</v>
      </c>
      <c r="G681">
        <f t="shared" si="87"/>
        <v>948.68593750000002</v>
      </c>
      <c r="H681">
        <f t="shared" si="88"/>
        <v>1.7369257693644599E-2</v>
      </c>
      <c r="I681">
        <f t="shared" si="89"/>
        <v>1.9220136411414769E-2</v>
      </c>
      <c r="J681">
        <f t="shared" si="90"/>
        <v>1884.6578295472896</v>
      </c>
      <c r="K681" s="5">
        <f t="shared" si="91"/>
        <v>965.16390801877435</v>
      </c>
      <c r="L681" s="5">
        <f t="shared" si="92"/>
        <v>1.7220136411414771E-2</v>
      </c>
    </row>
    <row r="682" spans="2:12">
      <c r="B682">
        <v>6.5859375</v>
      </c>
      <c r="C682">
        <v>1.0983735555782901</v>
      </c>
      <c r="D682">
        <v>47.455281249999999</v>
      </c>
      <c r="E682" s="5">
        <f t="shared" si="86"/>
        <v>47455.28125</v>
      </c>
      <c r="F682" s="5">
        <v>0.174380562384613</v>
      </c>
      <c r="G682">
        <f t="shared" si="87"/>
        <v>949.10562500000003</v>
      </c>
      <c r="H682">
        <f t="shared" si="88"/>
        <v>1.74380562384613E-2</v>
      </c>
      <c r="I682">
        <f t="shared" si="89"/>
        <v>1.9287758091729987E-2</v>
      </c>
      <c r="J682">
        <f t="shared" si="90"/>
        <v>1892.0586843493882</v>
      </c>
      <c r="K682" s="5">
        <f t="shared" si="91"/>
        <v>965.65618226498998</v>
      </c>
      <c r="L682" s="5">
        <f t="shared" si="92"/>
        <v>1.7287758091729985E-2</v>
      </c>
    </row>
    <row r="683" spans="2:12">
      <c r="B683">
        <v>6.595703125</v>
      </c>
      <c r="C683">
        <v>1.10156834125519</v>
      </c>
      <c r="D683">
        <v>47.470964843749996</v>
      </c>
      <c r="E683" s="5">
        <f t="shared" si="86"/>
        <v>47470.96484375</v>
      </c>
      <c r="F683" s="5">
        <v>0.17502640548627801</v>
      </c>
      <c r="G683">
        <f t="shared" si="87"/>
        <v>949.41929687499999</v>
      </c>
      <c r="H683">
        <f t="shared" si="88"/>
        <v>1.7502640548627803E-2</v>
      </c>
      <c r="I683">
        <f t="shared" si="89"/>
        <v>1.935123346503221E-2</v>
      </c>
      <c r="J683">
        <f t="shared" si="90"/>
        <v>1899.00574658045</v>
      </c>
      <c r="K683" s="5">
        <f t="shared" si="91"/>
        <v>966.03664155813408</v>
      </c>
      <c r="L683" s="5">
        <f t="shared" si="92"/>
        <v>1.7351233465032208E-2</v>
      </c>
    </row>
    <row r="684" spans="2:12">
      <c r="B684">
        <v>6.60546875</v>
      </c>
      <c r="C684">
        <v>1.1027723085135199</v>
      </c>
      <c r="D684">
        <v>47.483390624999998</v>
      </c>
      <c r="E684" s="5">
        <f t="shared" si="86"/>
        <v>47483.390625</v>
      </c>
      <c r="F684" s="5">
        <v>0.175752225914039</v>
      </c>
      <c r="G684">
        <f t="shared" si="87"/>
        <v>949.66781249999997</v>
      </c>
      <c r="H684">
        <f t="shared" si="88"/>
        <v>1.75752225914039E-2</v>
      </c>
      <c r="I684">
        <f t="shared" si="89"/>
        <v>1.9422564438771786E-2</v>
      </c>
      <c r="J684">
        <f t="shared" si="90"/>
        <v>1906.8125650013783</v>
      </c>
      <c r="K684" s="5">
        <f t="shared" si="91"/>
        <v>966.35843569257906</v>
      </c>
      <c r="L684" s="5">
        <f t="shared" si="92"/>
        <v>1.7422564438771788E-2</v>
      </c>
    </row>
    <row r="685" spans="2:12">
      <c r="B685">
        <v>6.615234375</v>
      </c>
      <c r="C685">
        <v>1.1041879188269399</v>
      </c>
      <c r="D685">
        <v>47.4871640625</v>
      </c>
      <c r="E685" s="5">
        <f t="shared" si="86"/>
        <v>47487.1640625</v>
      </c>
      <c r="F685" s="5">
        <v>0.17639464931562501</v>
      </c>
      <c r="G685">
        <f t="shared" si="87"/>
        <v>949.74328125</v>
      </c>
      <c r="H685">
        <f t="shared" si="88"/>
        <v>1.7639464931562501E-2</v>
      </c>
      <c r="I685">
        <f t="shared" si="89"/>
        <v>1.9485695213695781E-2</v>
      </c>
      <c r="J685">
        <f t="shared" si="90"/>
        <v>1913.721912662935</v>
      </c>
      <c r="K685" s="5">
        <f t="shared" si="91"/>
        <v>966.49624455359651</v>
      </c>
      <c r="L685" s="5">
        <f t="shared" si="92"/>
        <v>1.7485695213695782E-2</v>
      </c>
    </row>
    <row r="686" spans="2:12">
      <c r="B686">
        <v>6.625</v>
      </c>
      <c r="C686">
        <v>1.1058002710342401</v>
      </c>
      <c r="D686">
        <v>47.490945312500003</v>
      </c>
      <c r="E686" s="5">
        <f t="shared" si="86"/>
        <v>47490.9453125</v>
      </c>
      <c r="F686" s="5">
        <v>0.177025693119504</v>
      </c>
      <c r="G686">
        <f t="shared" si="87"/>
        <v>949.81890625000005</v>
      </c>
      <c r="H686">
        <f t="shared" si="88"/>
        <v>1.7702569311950401E-2</v>
      </c>
      <c r="I686">
        <f t="shared" si="89"/>
        <v>1.9547703838630887E-2</v>
      </c>
      <c r="J686">
        <f t="shared" si="90"/>
        <v>1920.5084466189576</v>
      </c>
      <c r="K686" s="5">
        <f t="shared" si="91"/>
        <v>966.63314127169156</v>
      </c>
      <c r="L686" s="5">
        <f t="shared" si="92"/>
        <v>1.7547703838630888E-2</v>
      </c>
    </row>
    <row r="687" spans="2:12">
      <c r="B687">
        <v>6.634765625</v>
      </c>
      <c r="C687">
        <v>1.1083171702921399</v>
      </c>
      <c r="D687">
        <v>47.472992187499997</v>
      </c>
      <c r="E687" s="5">
        <f t="shared" si="86"/>
        <v>47472.9921875</v>
      </c>
      <c r="F687" s="5">
        <v>0.17769698752090299</v>
      </c>
      <c r="G687">
        <f t="shared" si="87"/>
        <v>949.45984375</v>
      </c>
      <c r="H687">
        <f t="shared" si="88"/>
        <v>1.77696987520903E-2</v>
      </c>
      <c r="I687">
        <f t="shared" si="89"/>
        <v>1.9613663410979337E-2</v>
      </c>
      <c r="J687">
        <f t="shared" si="90"/>
        <v>1927.7273920146338</v>
      </c>
      <c r="K687" s="5">
        <f t="shared" si="91"/>
        <v>966.33145915064426</v>
      </c>
      <c r="L687" s="5">
        <f t="shared" si="92"/>
        <v>1.7613663410979339E-2</v>
      </c>
    </row>
    <row r="688" spans="2:12">
      <c r="B688">
        <v>6.64453125</v>
      </c>
      <c r="C688">
        <v>1.1092438362538799</v>
      </c>
      <c r="D688">
        <v>47.486656250000003</v>
      </c>
      <c r="E688" s="5">
        <f t="shared" si="86"/>
        <v>47486.65625</v>
      </c>
      <c r="F688" s="5">
        <v>0.178342219442129</v>
      </c>
      <c r="G688">
        <f t="shared" si="87"/>
        <v>949.73312499999997</v>
      </c>
      <c r="H688">
        <f t="shared" si="88"/>
        <v>1.78342219442129E-2</v>
      </c>
      <c r="I688">
        <f t="shared" si="89"/>
        <v>1.967705805419865E-2</v>
      </c>
      <c r="J688">
        <f t="shared" si="90"/>
        <v>1934.6656187417714</v>
      </c>
      <c r="K688" s="5">
        <f t="shared" si="91"/>
        <v>966.67087633902088</v>
      </c>
      <c r="L688" s="5">
        <f t="shared" si="92"/>
        <v>1.7677058054198651E-2</v>
      </c>
    </row>
    <row r="689" spans="2:12">
      <c r="B689">
        <v>6.654296875</v>
      </c>
      <c r="C689">
        <v>1.1104673612862801</v>
      </c>
      <c r="D689">
        <v>47.497812500000002</v>
      </c>
      <c r="E689" s="5">
        <f t="shared" si="86"/>
        <v>47497.8125</v>
      </c>
      <c r="F689" s="5">
        <v>0.17896747158374601</v>
      </c>
      <c r="G689">
        <f t="shared" si="87"/>
        <v>949.95624999999995</v>
      </c>
      <c r="H689">
        <f t="shared" si="88"/>
        <v>1.7896747158374603E-2</v>
      </c>
      <c r="I689">
        <f t="shared" si="89"/>
        <v>1.9738485831375857E-2</v>
      </c>
      <c r="J689">
        <f t="shared" si="90"/>
        <v>1941.3885818149304</v>
      </c>
      <c r="K689" s="5">
        <f t="shared" si="91"/>
        <v>966.95737681776768</v>
      </c>
      <c r="L689" s="5">
        <f t="shared" si="92"/>
        <v>1.7738485831375855E-2</v>
      </c>
    </row>
    <row r="690" spans="2:12">
      <c r="B690">
        <v>6.6640625</v>
      </c>
      <c r="C690">
        <v>1.11325527541339</v>
      </c>
      <c r="D690">
        <v>47.488496093750001</v>
      </c>
      <c r="E690" s="5">
        <f t="shared" si="86"/>
        <v>47488.49609375</v>
      </c>
      <c r="F690" s="5">
        <v>0.179589434992522</v>
      </c>
      <c r="G690">
        <f t="shared" si="87"/>
        <v>949.76992187500002</v>
      </c>
      <c r="H690">
        <f t="shared" si="88"/>
        <v>1.79589434992522E-2</v>
      </c>
      <c r="I690">
        <f t="shared" si="89"/>
        <v>1.9799586764199656E-2</v>
      </c>
      <c r="J690">
        <f t="shared" si="90"/>
        <v>1948.0757734078315</v>
      </c>
      <c r="K690" s="5">
        <f t="shared" si="91"/>
        <v>966.82678623924232</v>
      </c>
      <c r="L690" s="5">
        <f t="shared" si="92"/>
        <v>1.7799586764199658E-2</v>
      </c>
    </row>
    <row r="691" spans="2:12">
      <c r="B691">
        <v>6.673828125</v>
      </c>
      <c r="C691">
        <v>1.1126413010060801</v>
      </c>
      <c r="D691">
        <v>47.477472656250001</v>
      </c>
      <c r="E691" s="5">
        <f t="shared" si="86"/>
        <v>47477.47265625</v>
      </c>
      <c r="F691" s="5">
        <v>0.18011181964539</v>
      </c>
      <c r="G691">
        <f t="shared" si="87"/>
        <v>949.54945312500001</v>
      </c>
      <c r="H691">
        <f t="shared" si="88"/>
        <v>1.8011181964538998E-2</v>
      </c>
      <c r="I691">
        <f t="shared" si="89"/>
        <v>1.9850902316078257E-2</v>
      </c>
      <c r="J691">
        <f t="shared" si="90"/>
        <v>1953.6920039831848</v>
      </c>
      <c r="K691" s="5">
        <f t="shared" si="91"/>
        <v>966.65196110956288</v>
      </c>
      <c r="L691" s="5">
        <f t="shared" si="92"/>
        <v>1.7850902316078256E-2</v>
      </c>
    </row>
    <row r="692" spans="2:12">
      <c r="B692">
        <v>6.68359375</v>
      </c>
      <c r="C692">
        <v>1.1148512130603201</v>
      </c>
      <c r="D692">
        <v>47.452574218750001</v>
      </c>
      <c r="E692" s="5">
        <f t="shared" si="86"/>
        <v>47452.57421875</v>
      </c>
      <c r="F692" s="5">
        <v>0.180752103915438</v>
      </c>
      <c r="G692">
        <f t="shared" si="87"/>
        <v>949.05148437499997</v>
      </c>
      <c r="H692">
        <f t="shared" si="88"/>
        <v>1.8075210391543799E-2</v>
      </c>
      <c r="I692">
        <f t="shared" si="89"/>
        <v>1.9913795941089746E-2</v>
      </c>
      <c r="J692">
        <f t="shared" si="90"/>
        <v>1960.575396772567</v>
      </c>
      <c r="K692" s="5">
        <f t="shared" si="91"/>
        <v>966.20578962748505</v>
      </c>
      <c r="L692" s="5">
        <f t="shared" si="92"/>
        <v>1.7913795941089744E-2</v>
      </c>
    </row>
    <row r="693" spans="2:12">
      <c r="B693">
        <v>6.693359375</v>
      </c>
      <c r="C693">
        <v>1.11636659130454</v>
      </c>
      <c r="D693">
        <v>47.472996093749998</v>
      </c>
      <c r="E693" s="5">
        <f t="shared" si="86"/>
        <v>47472.99609375</v>
      </c>
      <c r="F693" s="5">
        <v>0.181422059540637</v>
      </c>
      <c r="G693">
        <f t="shared" si="87"/>
        <v>949.45992187499996</v>
      </c>
      <c r="H693">
        <f t="shared" si="88"/>
        <v>1.8142205954063701E-2</v>
      </c>
      <c r="I693">
        <f t="shared" si="89"/>
        <v>1.997959987931977E-2</v>
      </c>
      <c r="J693">
        <f t="shared" si="90"/>
        <v>1967.7773087921521</v>
      </c>
      <c r="K693" s="5">
        <f t="shared" si="91"/>
        <v>966.68521932278543</v>
      </c>
      <c r="L693" s="5">
        <f t="shared" si="92"/>
        <v>1.7979599879319769E-2</v>
      </c>
    </row>
    <row r="694" spans="2:12">
      <c r="B694">
        <v>6.703125</v>
      </c>
      <c r="C694">
        <v>1.11840071622282</v>
      </c>
      <c r="D694">
        <v>47.480929687500002</v>
      </c>
      <c r="E694" s="5">
        <f t="shared" si="86"/>
        <v>47480.9296875</v>
      </c>
      <c r="F694" s="5">
        <v>0.18204357184004</v>
      </c>
      <c r="G694">
        <f t="shared" si="87"/>
        <v>949.61859374999995</v>
      </c>
      <c r="H694">
        <f t="shared" si="88"/>
        <v>1.8204357184004E-2</v>
      </c>
      <c r="I694">
        <f t="shared" si="89"/>
        <v>2.0040641777673139E-2</v>
      </c>
      <c r="J694">
        <f t="shared" si="90"/>
        <v>1974.4580393574365</v>
      </c>
      <c r="K694" s="5">
        <f t="shared" si="91"/>
        <v>966.90578981919657</v>
      </c>
      <c r="L694" s="5">
        <f t="shared" si="92"/>
        <v>1.8040641777673137E-2</v>
      </c>
    </row>
    <row r="695" spans="2:12">
      <c r="B695">
        <v>6.712890625</v>
      </c>
      <c r="C695">
        <v>1.1196315754205</v>
      </c>
      <c r="D695">
        <v>47.501316406249998</v>
      </c>
      <c r="E695" s="5">
        <f t="shared" si="86"/>
        <v>47501.31640625</v>
      </c>
      <c r="F695" s="5">
        <v>0.18268913845531601</v>
      </c>
      <c r="G695">
        <f t="shared" si="87"/>
        <v>950.02632812499996</v>
      </c>
      <c r="H695">
        <f t="shared" si="88"/>
        <v>1.8268913845531601E-2</v>
      </c>
      <c r="I695">
        <f t="shared" si="89"/>
        <v>2.010404222831258E-2</v>
      </c>
      <c r="J695">
        <f t="shared" si="90"/>
        <v>1981.3969016776705</v>
      </c>
      <c r="K695" s="5">
        <f t="shared" si="91"/>
        <v>967.38227726450236</v>
      </c>
      <c r="L695" s="5">
        <f t="shared" si="92"/>
        <v>1.8104042228312581E-2</v>
      </c>
    </row>
    <row r="696" spans="2:12">
      <c r="B696">
        <v>6.72265625</v>
      </c>
      <c r="C696">
        <v>1.12151366192847</v>
      </c>
      <c r="D696">
        <v>47.503765625</v>
      </c>
      <c r="E696" s="5">
        <f t="shared" si="86"/>
        <v>47503.765625</v>
      </c>
      <c r="F696" s="5">
        <v>0.183272495632991</v>
      </c>
      <c r="G696">
        <f t="shared" si="87"/>
        <v>950.0753125</v>
      </c>
      <c r="H696">
        <f t="shared" si="88"/>
        <v>1.8327249563299099E-2</v>
      </c>
      <c r="I696">
        <f t="shared" si="89"/>
        <v>2.0161329695343642E-2</v>
      </c>
      <c r="J696">
        <f t="shared" si="90"/>
        <v>1987.6667285068847</v>
      </c>
      <c r="K696" s="5">
        <f t="shared" si="91"/>
        <v>967.48757985611689</v>
      </c>
      <c r="L696" s="5">
        <f t="shared" si="92"/>
        <v>1.8161329695343641E-2</v>
      </c>
    </row>
    <row r="697" spans="2:12">
      <c r="B697">
        <v>6.732421875</v>
      </c>
      <c r="C697">
        <v>1.12211564555764</v>
      </c>
      <c r="D697">
        <v>47.508234375000001</v>
      </c>
      <c r="E697" s="5">
        <f t="shared" si="86"/>
        <v>47508.234375</v>
      </c>
      <c r="F697" s="5">
        <v>0.18392819038126601</v>
      </c>
      <c r="G697">
        <f t="shared" si="87"/>
        <v>950.16468750000001</v>
      </c>
      <c r="H697">
        <f t="shared" si="88"/>
        <v>1.83928190381266E-2</v>
      </c>
      <c r="I697">
        <f t="shared" si="89"/>
        <v>2.0225717016763983E-2</v>
      </c>
      <c r="J697">
        <f t="shared" si="90"/>
        <v>1994.7135988997341</v>
      </c>
      <c r="K697" s="5">
        <f t="shared" si="91"/>
        <v>967.64089465360564</v>
      </c>
      <c r="L697" s="5">
        <f t="shared" si="92"/>
        <v>1.8225717016763981E-2</v>
      </c>
    </row>
    <row r="698" spans="2:12">
      <c r="B698">
        <v>6.7421875</v>
      </c>
      <c r="C698">
        <v>1.1240274179726799</v>
      </c>
      <c r="D698">
        <v>47.499183593749997</v>
      </c>
      <c r="E698" s="5">
        <f t="shared" si="86"/>
        <v>47499.18359375</v>
      </c>
      <c r="F698" s="5">
        <v>0.18451506912242599</v>
      </c>
      <c r="G698">
        <f t="shared" si="87"/>
        <v>949.98367187500003</v>
      </c>
      <c r="H698">
        <f t="shared" si="88"/>
        <v>1.84515069122426E-2</v>
      </c>
      <c r="I698">
        <f t="shared" si="89"/>
        <v>2.0283343290293611E-2</v>
      </c>
      <c r="J698">
        <f t="shared" si="90"/>
        <v>2001.0205064061845</v>
      </c>
      <c r="K698" s="5">
        <f t="shared" si="91"/>
        <v>967.51230216311922</v>
      </c>
      <c r="L698" s="5">
        <f t="shared" si="92"/>
        <v>1.8283343290293613E-2</v>
      </c>
    </row>
    <row r="699" spans="2:12">
      <c r="B699">
        <v>6.751953125</v>
      </c>
      <c r="C699">
        <v>1.12817739136517</v>
      </c>
      <c r="D699">
        <v>47.506562500000001</v>
      </c>
      <c r="E699" s="5">
        <f t="shared" si="86"/>
        <v>47506.5625</v>
      </c>
      <c r="F699" s="5">
        <v>0.18515001283958599</v>
      </c>
      <c r="G699">
        <f t="shared" si="87"/>
        <v>950.13125000000002</v>
      </c>
      <c r="H699">
        <f t="shared" si="88"/>
        <v>1.8515001283958599E-2</v>
      </c>
      <c r="I699">
        <f t="shared" si="89"/>
        <v>2.0345685377393244E-2</v>
      </c>
      <c r="J699">
        <f t="shared" si="90"/>
        <v>2007.8435361288034</v>
      </c>
      <c r="K699" s="5">
        <f t="shared" si="91"/>
        <v>967.72293131367917</v>
      </c>
      <c r="L699" s="5">
        <f t="shared" si="92"/>
        <v>1.8345685377393242E-2</v>
      </c>
    </row>
    <row r="700" spans="2:12">
      <c r="B700">
        <v>6.76171875</v>
      </c>
      <c r="C700">
        <v>1.1256708530709101</v>
      </c>
      <c r="D700">
        <v>47.515726562499999</v>
      </c>
      <c r="E700" s="5">
        <f t="shared" si="86"/>
        <v>47515.7265625</v>
      </c>
      <c r="F700" s="5">
        <v>0.18585352518130099</v>
      </c>
      <c r="G700">
        <f t="shared" si="87"/>
        <v>950.31453124999996</v>
      </c>
      <c r="H700">
        <f t="shared" si="88"/>
        <v>1.8585352518130101E-2</v>
      </c>
      <c r="I700">
        <f t="shared" si="89"/>
        <v>2.0414755351357165E-2</v>
      </c>
      <c r="J700">
        <f t="shared" si="90"/>
        <v>2015.4028994292851</v>
      </c>
      <c r="K700" s="5">
        <f t="shared" si="91"/>
        <v>967.97646181638277</v>
      </c>
      <c r="L700" s="5">
        <f t="shared" si="92"/>
        <v>1.8414755351357167E-2</v>
      </c>
    </row>
    <row r="701" spans="2:12">
      <c r="B701">
        <v>6.771484375</v>
      </c>
      <c r="C701">
        <v>1.12808204721659</v>
      </c>
      <c r="D701">
        <v>47.531957031250002</v>
      </c>
      <c r="E701" s="5">
        <f t="shared" si="86"/>
        <v>47531.95703125</v>
      </c>
      <c r="F701" s="5">
        <v>0.18645479576662199</v>
      </c>
      <c r="G701">
        <f t="shared" si="87"/>
        <v>950.63914062499998</v>
      </c>
      <c r="H701">
        <f t="shared" si="88"/>
        <v>1.86454795766622E-2</v>
      </c>
      <c r="I701">
        <f t="shared" si="89"/>
        <v>2.0473783574965702E-2</v>
      </c>
      <c r="J701">
        <f t="shared" si="90"/>
        <v>2021.8632433621215</v>
      </c>
      <c r="K701" s="5">
        <f t="shared" si="91"/>
        <v>968.36426330629911</v>
      </c>
      <c r="L701" s="5">
        <f t="shared" si="92"/>
        <v>1.8473783574965704E-2</v>
      </c>
    </row>
    <row r="702" spans="2:12">
      <c r="B702">
        <v>6.78125</v>
      </c>
      <c r="C702">
        <v>1.1312231654301299</v>
      </c>
      <c r="D702">
        <v>47.562042968749999</v>
      </c>
      <c r="E702" s="5">
        <f t="shared" si="86"/>
        <v>47562.04296875</v>
      </c>
      <c r="F702" s="5">
        <v>0.187111872946844</v>
      </c>
      <c r="G702">
        <f t="shared" si="87"/>
        <v>951.24085937500001</v>
      </c>
      <c r="H702">
        <f t="shared" si="88"/>
        <v>1.8711187294684399E-2</v>
      </c>
      <c r="I702">
        <f t="shared" si="89"/>
        <v>2.0538286486128383E-2</v>
      </c>
      <c r="J702">
        <f t="shared" si="90"/>
        <v>2028.9227644743212</v>
      </c>
      <c r="K702" s="5">
        <f t="shared" si="91"/>
        <v>969.03970525712214</v>
      </c>
      <c r="L702" s="5">
        <f t="shared" si="92"/>
        <v>1.8538286486128385E-2</v>
      </c>
    </row>
    <row r="703" spans="2:12">
      <c r="B703">
        <v>6.791015625</v>
      </c>
      <c r="C703">
        <v>1.1337965261191101</v>
      </c>
      <c r="D703">
        <v>47.547761718750003</v>
      </c>
      <c r="E703" s="5">
        <f t="shared" si="86"/>
        <v>47547.76171875</v>
      </c>
      <c r="F703" s="5">
        <v>0.18775004718918401</v>
      </c>
      <c r="G703">
        <f t="shared" si="87"/>
        <v>950.95523437500003</v>
      </c>
      <c r="H703">
        <f t="shared" si="88"/>
        <v>1.8775004718918402E-2</v>
      </c>
      <c r="I703">
        <f t="shared" si="89"/>
        <v>2.0600929781091577E-2</v>
      </c>
      <c r="J703">
        <f t="shared" si="90"/>
        <v>2035.7787598915679</v>
      </c>
      <c r="K703" s="5">
        <f t="shared" si="91"/>
        <v>968.80942338787077</v>
      </c>
      <c r="L703" s="5">
        <f t="shared" si="92"/>
        <v>1.8600929781091579E-2</v>
      </c>
    </row>
    <row r="704" spans="2:12">
      <c r="B704">
        <v>6.80078125</v>
      </c>
      <c r="C704">
        <v>1.13545509520918</v>
      </c>
      <c r="D704">
        <v>47.583027343749997</v>
      </c>
      <c r="E704" s="5">
        <f t="shared" si="86"/>
        <v>47583.02734375</v>
      </c>
      <c r="F704" s="5">
        <v>0.188418940524571</v>
      </c>
      <c r="G704">
        <f t="shared" si="87"/>
        <v>951.66054687500002</v>
      </c>
      <c r="H704">
        <f t="shared" si="88"/>
        <v>1.8841894052457099E-2</v>
      </c>
      <c r="I704">
        <f t="shared" si="89"/>
        <v>2.0666584255790009E-2</v>
      </c>
      <c r="J704">
        <f t="shared" si="90"/>
        <v>2042.9643138749373</v>
      </c>
      <c r="K704" s="5">
        <f t="shared" si="91"/>
        <v>969.59163407312212</v>
      </c>
      <c r="L704" s="5">
        <f t="shared" si="92"/>
        <v>1.8666584255790007E-2</v>
      </c>
    </row>
    <row r="705" spans="2:12">
      <c r="B705">
        <v>6.810546875</v>
      </c>
      <c r="C705">
        <v>1.13642669748515</v>
      </c>
      <c r="D705">
        <v>47.5861796875</v>
      </c>
      <c r="E705" s="5">
        <f t="shared" si="86"/>
        <v>47586.1796875</v>
      </c>
      <c r="F705" s="5">
        <v>0.189164857147262</v>
      </c>
      <c r="G705">
        <f t="shared" si="87"/>
        <v>951.72359374999996</v>
      </c>
      <c r="H705">
        <f t="shared" si="88"/>
        <v>1.8916485714726199E-2</v>
      </c>
      <c r="I705">
        <f t="shared" si="89"/>
        <v>2.0739793781554217E-2</v>
      </c>
      <c r="J705">
        <f t="shared" si="90"/>
        <v>2050.9767304222014</v>
      </c>
      <c r="K705" s="5">
        <f t="shared" si="91"/>
        <v>969.72685951553967</v>
      </c>
      <c r="L705" s="5">
        <f t="shared" si="92"/>
        <v>1.8739793781554218E-2</v>
      </c>
    </row>
    <row r="706" spans="2:12">
      <c r="B706">
        <v>6.8203125</v>
      </c>
      <c r="C706">
        <v>1.1381984222680299</v>
      </c>
      <c r="D706">
        <v>47.568730468749997</v>
      </c>
      <c r="E706" s="5">
        <f t="shared" si="86"/>
        <v>47568.73046875</v>
      </c>
      <c r="F706" s="5">
        <v>0.18972452380694399</v>
      </c>
      <c r="G706">
        <f t="shared" si="87"/>
        <v>951.37460937499998</v>
      </c>
      <c r="H706">
        <f t="shared" si="88"/>
        <v>1.89724523806944E-2</v>
      </c>
      <c r="I706">
        <f t="shared" si="89"/>
        <v>2.0794719901360018E-2</v>
      </c>
      <c r="J706">
        <f t="shared" si="90"/>
        <v>2056.988119604347</v>
      </c>
      <c r="K706" s="5">
        <f t="shared" si="91"/>
        <v>969.42451884756895</v>
      </c>
      <c r="L706" s="5">
        <f t="shared" si="92"/>
        <v>1.8794719901360016E-2</v>
      </c>
    </row>
    <row r="707" spans="2:12">
      <c r="B707">
        <v>6.830078125</v>
      </c>
      <c r="C707">
        <v>1.1391713051125401</v>
      </c>
      <c r="D707">
        <v>47.557777343749997</v>
      </c>
      <c r="E707" s="5">
        <f t="shared" si="86"/>
        <v>47557.77734375</v>
      </c>
      <c r="F707" s="5">
        <v>0.19031514239031799</v>
      </c>
      <c r="G707">
        <f t="shared" si="87"/>
        <v>951.15554687500003</v>
      </c>
      <c r="H707">
        <f t="shared" si="88"/>
        <v>1.9031514239031801E-2</v>
      </c>
      <c r="I707">
        <f t="shared" si="89"/>
        <v>2.0852680395374038E-2</v>
      </c>
      <c r="J707">
        <f t="shared" si="90"/>
        <v>2063.3316058717119</v>
      </c>
      <c r="K707" s="5">
        <f t="shared" si="91"/>
        <v>969.25747720888569</v>
      </c>
      <c r="L707" s="5">
        <f t="shared" si="92"/>
        <v>1.8852680395374039E-2</v>
      </c>
    </row>
    <row r="708" spans="2:12">
      <c r="B708">
        <v>6.83984375</v>
      </c>
      <c r="C708">
        <v>1.14095211029053</v>
      </c>
      <c r="D708">
        <v>47.561570312500002</v>
      </c>
      <c r="E708" s="5">
        <f t="shared" si="86"/>
        <v>47561.5703125</v>
      </c>
      <c r="F708" s="5">
        <v>0.19099771452601999</v>
      </c>
      <c r="G708">
        <f t="shared" si="87"/>
        <v>951.23140624999996</v>
      </c>
      <c r="H708">
        <f t="shared" si="88"/>
        <v>1.9099771452601999E-2</v>
      </c>
      <c r="I708">
        <f t="shared" si="89"/>
        <v>2.0919660588529294E-2</v>
      </c>
      <c r="J708">
        <f t="shared" si="90"/>
        <v>2070.6622531115886</v>
      </c>
      <c r="K708" s="5">
        <f t="shared" si="91"/>
        <v>969.39970870791217</v>
      </c>
      <c r="L708" s="5">
        <f t="shared" si="92"/>
        <v>1.8919660588529293E-2</v>
      </c>
    </row>
    <row r="709" spans="2:12">
      <c r="B709">
        <v>6.849609375</v>
      </c>
      <c r="C709">
        <v>1.1425421107560401</v>
      </c>
      <c r="D709">
        <v>47.594496093750003</v>
      </c>
      <c r="E709" s="5">
        <f t="shared" si="86"/>
        <v>47594.49609375</v>
      </c>
      <c r="F709" s="5">
        <v>0.19161870295647501</v>
      </c>
      <c r="G709">
        <f t="shared" si="87"/>
        <v>951.88992187500003</v>
      </c>
      <c r="H709">
        <f t="shared" si="88"/>
        <v>1.9161870295647501E-2</v>
      </c>
      <c r="I709">
        <f t="shared" si="89"/>
        <v>2.0980593730568389E-2</v>
      </c>
      <c r="J709">
        <f t="shared" si="90"/>
        <v>2077.3310808420574</v>
      </c>
      <c r="K709" s="5">
        <f t="shared" si="91"/>
        <v>970.12991309370284</v>
      </c>
      <c r="L709" s="5">
        <f t="shared" si="92"/>
        <v>1.8980593730568391E-2</v>
      </c>
    </row>
    <row r="710" spans="2:12">
      <c r="B710">
        <v>6.859375</v>
      </c>
      <c r="C710">
        <v>1.1443614494055501</v>
      </c>
      <c r="D710">
        <v>47.6063046875</v>
      </c>
      <c r="E710" s="5">
        <f t="shared" si="86"/>
        <v>47606.3046875</v>
      </c>
      <c r="F710" s="5">
        <v>0.19227774464525299</v>
      </c>
      <c r="G710">
        <f t="shared" si="87"/>
        <v>952.12609375</v>
      </c>
      <c r="H710">
        <f t="shared" si="88"/>
        <v>1.92277744645253E-2</v>
      </c>
      <c r="I710">
        <f t="shared" si="89"/>
        <v>2.1045256705157306E-2</v>
      </c>
      <c r="J710">
        <f t="shared" si="90"/>
        <v>2084.4081200959413</v>
      </c>
      <c r="K710" s="5">
        <f t="shared" si="91"/>
        <v>970.43335954241445</v>
      </c>
      <c r="L710" s="5">
        <f t="shared" si="92"/>
        <v>1.9045256705157304E-2</v>
      </c>
    </row>
    <row r="711" spans="2:12">
      <c r="B711">
        <v>6.869140625</v>
      </c>
      <c r="C711">
        <v>1.1463091941550401</v>
      </c>
      <c r="D711">
        <v>47.610964843749997</v>
      </c>
      <c r="E711" s="5">
        <f t="shared" si="86"/>
        <v>47610.96484375</v>
      </c>
      <c r="F711" s="5">
        <v>0.19295293895993401</v>
      </c>
      <c r="G711">
        <f t="shared" si="87"/>
        <v>952.21929687500005</v>
      </c>
      <c r="H711">
        <f t="shared" si="88"/>
        <v>1.9295293895993403E-2</v>
      </c>
      <c r="I711">
        <f t="shared" si="89"/>
        <v>2.1111500185587564E-2</v>
      </c>
      <c r="J711">
        <f t="shared" si="90"/>
        <v>2091.6581378116311</v>
      </c>
      <c r="K711" s="5">
        <f t="shared" si="91"/>
        <v>970.59264806163935</v>
      </c>
      <c r="L711" s="5">
        <f t="shared" si="92"/>
        <v>1.9111500185587566E-2</v>
      </c>
    </row>
    <row r="712" spans="2:12">
      <c r="B712">
        <v>6.87890625</v>
      </c>
      <c r="C712">
        <v>1.1487111914902901</v>
      </c>
      <c r="D712">
        <v>47.608945312499998</v>
      </c>
      <c r="E712" s="5">
        <f t="shared" si="86"/>
        <v>47608.9453125</v>
      </c>
      <c r="F712" s="5">
        <v>0.193578656762838</v>
      </c>
      <c r="G712">
        <f t="shared" si="87"/>
        <v>952.17890624999995</v>
      </c>
      <c r="H712">
        <f t="shared" si="88"/>
        <v>1.9357865676283802E-2</v>
      </c>
      <c r="I712">
        <f t="shared" si="89"/>
        <v>2.1172885595868177E-2</v>
      </c>
      <c r="J712">
        <f t="shared" si="90"/>
        <v>2098.3764640397926</v>
      </c>
      <c r="K712" s="5">
        <f t="shared" si="91"/>
        <v>970.61105761697831</v>
      </c>
      <c r="L712" s="5">
        <f t="shared" si="92"/>
        <v>1.9172885595868178E-2</v>
      </c>
    </row>
    <row r="713" spans="2:12">
      <c r="B713">
        <v>6.888671875</v>
      </c>
      <c r="C713">
        <v>1.15031597670168</v>
      </c>
      <c r="D713">
        <v>47.602835937499997</v>
      </c>
      <c r="E713" s="5">
        <f t="shared" ref="E713:E776" si="93" xml:space="preserve"> D713*R$3</f>
        <v>47602.8359375</v>
      </c>
      <c r="F713" s="5">
        <v>0.19417719158809599</v>
      </c>
      <c r="G713">
        <f t="shared" ref="G713:G776" si="94" xml:space="preserve"> E713/C$3</f>
        <v>952.05671874999996</v>
      </c>
      <c r="H713">
        <f t="shared" ref="H713:H776" si="95" xml:space="preserve"> F713/C$4</f>
        <v>1.9417719158809597E-2</v>
      </c>
      <c r="I713">
        <f t="shared" ref="I713:I776" si="96">L713+0.002</f>
        <v>2.1231600721739012E-2</v>
      </c>
      <c r="J713">
        <f t="shared" ref="J713:J776" si="97">L713*G$2</f>
        <v>2104.8025409907264</v>
      </c>
      <c r="K713" s="5">
        <f t="shared" ref="K713:K776" si="98" xml:space="preserve"> G713 * (1 + H713)</f>
        <v>970.54348873794527</v>
      </c>
      <c r="L713" s="5">
        <f t="shared" ref="L713:L776" si="99">LN(1 + H713)</f>
        <v>1.9231600721739014E-2</v>
      </c>
    </row>
    <row r="714" spans="2:12">
      <c r="B714">
        <v>6.8984375</v>
      </c>
      <c r="C714">
        <v>1.14928185939789</v>
      </c>
      <c r="D714">
        <v>47.584277343750003</v>
      </c>
      <c r="E714" s="5">
        <f t="shared" si="93"/>
        <v>47584.27734375</v>
      </c>
      <c r="F714" s="5">
        <v>0.19480615446809699</v>
      </c>
      <c r="G714">
        <f t="shared" si="94"/>
        <v>951.685546875</v>
      </c>
      <c r="H714">
        <f t="shared" si="95"/>
        <v>1.94806154468097E-2</v>
      </c>
      <c r="I714">
        <f t="shared" si="96"/>
        <v>2.1293297067213897E-2</v>
      </c>
      <c r="J714">
        <f t="shared" si="97"/>
        <v>2111.554897521225</v>
      </c>
      <c r="K714" s="5">
        <f t="shared" si="98"/>
        <v>970.22496703995864</v>
      </c>
      <c r="L714" s="5">
        <f t="shared" si="99"/>
        <v>1.9293297067213899E-2</v>
      </c>
    </row>
    <row r="715" spans="2:12">
      <c r="B715">
        <v>6.908203125</v>
      </c>
      <c r="C715">
        <v>1.15325592923909</v>
      </c>
      <c r="D715">
        <v>47.619128906249998</v>
      </c>
      <c r="E715" s="5">
        <f t="shared" si="93"/>
        <v>47619.12890625</v>
      </c>
      <c r="F715" s="5">
        <v>0.19538051856215999</v>
      </c>
      <c r="G715">
        <f t="shared" si="94"/>
        <v>952.38257812500001</v>
      </c>
      <c r="H715">
        <f t="shared" si="95"/>
        <v>1.9538051856215998E-2</v>
      </c>
      <c r="I715">
        <f t="shared" si="96"/>
        <v>2.1349634373333343E-2</v>
      </c>
      <c r="J715">
        <f t="shared" si="97"/>
        <v>2117.720733989468</v>
      </c>
      <c r="K715" s="5">
        <f t="shared" si="98"/>
        <v>970.99027832336299</v>
      </c>
      <c r="L715" s="5">
        <f t="shared" si="99"/>
        <v>1.9349634373333344E-2</v>
      </c>
    </row>
    <row r="716" spans="2:12">
      <c r="B716">
        <v>6.91796875</v>
      </c>
      <c r="C716">
        <v>1.1522040003910701</v>
      </c>
      <c r="D716">
        <v>47.617101562499997</v>
      </c>
      <c r="E716" s="5">
        <f t="shared" si="93"/>
        <v>47617.1015625</v>
      </c>
      <c r="F716" s="5">
        <v>0.196093969861977</v>
      </c>
      <c r="G716">
        <f t="shared" si="94"/>
        <v>952.34203124999999</v>
      </c>
      <c r="H716">
        <f t="shared" si="95"/>
        <v>1.9609396986197701E-2</v>
      </c>
      <c r="I716">
        <f t="shared" si="96"/>
        <v>2.1419609823172689E-2</v>
      </c>
      <c r="J716">
        <f t="shared" si="97"/>
        <v>2125.3791970971347</v>
      </c>
      <c r="K716" s="5">
        <f t="shared" si="98"/>
        <v>971.01688420742312</v>
      </c>
      <c r="L716" s="5">
        <f t="shared" si="99"/>
        <v>1.9419609823172687E-2</v>
      </c>
    </row>
    <row r="717" spans="2:12">
      <c r="B717">
        <v>6.927734375</v>
      </c>
      <c r="C717">
        <v>1.15723605267704</v>
      </c>
      <c r="D717">
        <v>47.613597656250001</v>
      </c>
      <c r="E717" s="5">
        <f t="shared" si="93"/>
        <v>47613.59765625</v>
      </c>
      <c r="F717" s="5">
        <v>0.19669976609293399</v>
      </c>
      <c r="G717">
        <f t="shared" si="94"/>
        <v>952.27195312499998</v>
      </c>
      <c r="H717">
        <f t="shared" si="95"/>
        <v>1.9669976609293399E-2</v>
      </c>
      <c r="I717">
        <f t="shared" si="96"/>
        <v>2.1479022597996868E-2</v>
      </c>
      <c r="J717">
        <f t="shared" si="97"/>
        <v>2131.881628237767</v>
      </c>
      <c r="K717" s="5">
        <f t="shared" si="98"/>
        <v>971.00312016865485</v>
      </c>
      <c r="L717" s="5">
        <f t="shared" si="99"/>
        <v>1.9479022597996866E-2</v>
      </c>
    </row>
    <row r="718" spans="2:12">
      <c r="B718">
        <v>6.9375</v>
      </c>
      <c r="C718">
        <v>1.1581003200262801</v>
      </c>
      <c r="D718">
        <v>47.616878906250001</v>
      </c>
      <c r="E718" s="5">
        <f t="shared" si="93"/>
        <v>47616.87890625</v>
      </c>
      <c r="F718" s="5">
        <v>0.19734702073037599</v>
      </c>
      <c r="G718">
        <f t="shared" si="94"/>
        <v>952.33757812500005</v>
      </c>
      <c r="H718">
        <f t="shared" si="95"/>
        <v>1.97347020730376E-2</v>
      </c>
      <c r="I718">
        <f t="shared" si="96"/>
        <v>2.1542497458521166E-2</v>
      </c>
      <c r="J718">
        <f t="shared" si="97"/>
        <v>2138.8286343478494</v>
      </c>
      <c r="K718" s="5">
        <f t="shared" si="98"/>
        <v>971.13167650225512</v>
      </c>
      <c r="L718" s="5">
        <f t="shared" si="99"/>
        <v>1.9542497458521168E-2</v>
      </c>
    </row>
    <row r="719" spans="2:12">
      <c r="B719">
        <v>6.947265625</v>
      </c>
      <c r="C719">
        <v>1.1598051059991099</v>
      </c>
      <c r="D719">
        <v>47.606023437499999</v>
      </c>
      <c r="E719" s="5">
        <f t="shared" si="93"/>
        <v>47606.0234375</v>
      </c>
      <c r="F719" s="5">
        <v>0.1979924418265</v>
      </c>
      <c r="G719">
        <f t="shared" si="94"/>
        <v>952.12046874999999</v>
      </c>
      <c r="H719">
        <f t="shared" si="95"/>
        <v>1.979924418265E-2</v>
      </c>
      <c r="I719">
        <f t="shared" si="96"/>
        <v>2.1605788495919598E-2</v>
      </c>
      <c r="J719">
        <f t="shared" si="97"/>
        <v>2145.7555219359206</v>
      </c>
      <c r="K719" s="5">
        <f t="shared" si="98"/>
        <v>970.97173440208041</v>
      </c>
      <c r="L719" s="5">
        <f t="shared" si="99"/>
        <v>1.96057884959196E-2</v>
      </c>
    </row>
    <row r="720" spans="2:12">
      <c r="B720">
        <v>6.95703125</v>
      </c>
      <c r="C720">
        <v>1.15967530291528</v>
      </c>
      <c r="D720">
        <v>47.615062500000001</v>
      </c>
      <c r="E720" s="5">
        <f t="shared" si="93"/>
        <v>47615.0625</v>
      </c>
      <c r="F720" s="5">
        <v>0.19852290279231999</v>
      </c>
      <c r="G720">
        <f t="shared" si="94"/>
        <v>952.30124999999998</v>
      </c>
      <c r="H720">
        <f t="shared" si="95"/>
        <v>1.9852290279232E-2</v>
      </c>
      <c r="I720">
        <f t="shared" si="96"/>
        <v>2.1657803357966042E-2</v>
      </c>
      <c r="J720">
        <f t="shared" si="97"/>
        <v>2151.4482885125935</v>
      </c>
      <c r="K720" s="5">
        <f t="shared" si="98"/>
        <v>971.20661084827543</v>
      </c>
      <c r="L720" s="5">
        <f t="shared" si="99"/>
        <v>1.9657803357966044E-2</v>
      </c>
    </row>
    <row r="721" spans="2:12">
      <c r="B721">
        <v>6.966796875</v>
      </c>
      <c r="C721">
        <v>1.1626065243035599</v>
      </c>
      <c r="D721">
        <v>47.612664062500002</v>
      </c>
      <c r="E721" s="5">
        <f t="shared" si="93"/>
        <v>47612.6640625</v>
      </c>
      <c r="F721" s="5">
        <v>0.199172209249809</v>
      </c>
      <c r="G721">
        <f t="shared" si="94"/>
        <v>952.25328124999999</v>
      </c>
      <c r="H721">
        <f t="shared" si="95"/>
        <v>1.99172209249809E-2</v>
      </c>
      <c r="I721">
        <f t="shared" si="96"/>
        <v>2.1721468046955898E-2</v>
      </c>
      <c r="J721">
        <f t="shared" si="97"/>
        <v>2158.4160703990883</v>
      </c>
      <c r="K721" s="5">
        <f t="shared" si="98"/>
        <v>971.21952022919425</v>
      </c>
      <c r="L721" s="5">
        <f t="shared" si="99"/>
        <v>1.97214680469559E-2</v>
      </c>
    </row>
    <row r="722" spans="2:12">
      <c r="B722">
        <v>6.9765625</v>
      </c>
      <c r="C722">
        <v>1.1627747444436001</v>
      </c>
      <c r="D722">
        <v>47.603093749999999</v>
      </c>
      <c r="E722" s="5">
        <f t="shared" si="93"/>
        <v>47603.09375</v>
      </c>
      <c r="F722" s="5">
        <v>0.19973865710198899</v>
      </c>
      <c r="G722">
        <f t="shared" si="94"/>
        <v>952.06187499999999</v>
      </c>
      <c r="H722">
        <f t="shared" si="95"/>
        <v>1.99738657101989E-2</v>
      </c>
      <c r="I722">
        <f t="shared" si="96"/>
        <v>2.1777005115188243E-2</v>
      </c>
      <c r="J722">
        <f t="shared" si="97"/>
        <v>2164.4943248317772</v>
      </c>
      <c r="K722" s="5">
        <f t="shared" si="98"/>
        <v>971.07823103905014</v>
      </c>
      <c r="L722" s="5">
        <f t="shared" si="99"/>
        <v>1.9777005115188241E-2</v>
      </c>
    </row>
    <row r="723" spans="2:12">
      <c r="B723">
        <v>6.986328125</v>
      </c>
      <c r="C723">
        <v>1.1654436821117999</v>
      </c>
      <c r="D723">
        <v>47.619890624999996</v>
      </c>
      <c r="E723" s="5">
        <f t="shared" si="93"/>
        <v>47619.890625</v>
      </c>
      <c r="F723" s="5">
        <v>0.20032303291372999</v>
      </c>
      <c r="G723">
        <f t="shared" si="94"/>
        <v>952.39781249999999</v>
      </c>
      <c r="H723">
        <f t="shared" si="95"/>
        <v>2.0032303291373E-2</v>
      </c>
      <c r="I723">
        <f t="shared" si="96"/>
        <v>2.1834296688202123E-2</v>
      </c>
      <c r="J723">
        <f t="shared" si="97"/>
        <v>2170.7646010402814</v>
      </c>
      <c r="K723" s="5">
        <f t="shared" si="98"/>
        <v>971.47653433404014</v>
      </c>
      <c r="L723" s="5">
        <f t="shared" si="99"/>
        <v>1.9834296688202122E-2</v>
      </c>
    </row>
    <row r="724" spans="2:12">
      <c r="B724">
        <v>6.99609375</v>
      </c>
      <c r="C724">
        <v>1.16590852849185</v>
      </c>
      <c r="D724">
        <v>47.612484375000001</v>
      </c>
      <c r="E724" s="5">
        <f t="shared" si="93"/>
        <v>47612.484375</v>
      </c>
      <c r="F724" s="5">
        <v>0.20099402172490999</v>
      </c>
      <c r="G724">
        <f t="shared" si="94"/>
        <v>952.24968750000005</v>
      </c>
      <c r="H724">
        <f t="shared" si="95"/>
        <v>2.0099402172491E-2</v>
      </c>
      <c r="I724">
        <f t="shared" si="96"/>
        <v>2.1900075658219095E-2</v>
      </c>
      <c r="J724">
        <f t="shared" si="97"/>
        <v>2177.9637804137892</v>
      </c>
      <c r="K724" s="5">
        <f t="shared" si="98"/>
        <v>971.38933693769138</v>
      </c>
      <c r="L724" s="5">
        <f t="shared" si="99"/>
        <v>1.9900075658219097E-2</v>
      </c>
    </row>
    <row r="725" spans="2:12">
      <c r="B725">
        <v>7.005859375</v>
      </c>
      <c r="C725">
        <v>1.16807362064719</v>
      </c>
      <c r="D725">
        <v>47.633816406249998</v>
      </c>
      <c r="E725" s="5">
        <f t="shared" si="93"/>
        <v>47633.81640625</v>
      </c>
      <c r="F725" s="5">
        <v>0.20153447985649101</v>
      </c>
      <c r="G725">
        <f t="shared" si="94"/>
        <v>952.67632812500005</v>
      </c>
      <c r="H725">
        <f t="shared" si="95"/>
        <v>2.0153447985649102E-2</v>
      </c>
      <c r="I725">
        <f t="shared" si="96"/>
        <v>2.1953055182954581E-2</v>
      </c>
      <c r="J725">
        <f t="shared" si="97"/>
        <v>2183.7621244984639</v>
      </c>
      <c r="K725" s="5">
        <f t="shared" si="98"/>
        <v>971.87604095102643</v>
      </c>
      <c r="L725" s="5">
        <f t="shared" si="99"/>
        <v>1.9953055182954579E-2</v>
      </c>
    </row>
    <row r="726" spans="2:12">
      <c r="B726">
        <v>7.015625</v>
      </c>
      <c r="C726">
        <v>1.1700689792633101</v>
      </c>
      <c r="D726">
        <v>47.653472656250003</v>
      </c>
      <c r="E726" s="5">
        <f t="shared" si="93"/>
        <v>47653.47265625</v>
      </c>
      <c r="F726" s="5">
        <v>0.20222517196088999</v>
      </c>
      <c r="G726">
        <f t="shared" si="94"/>
        <v>953.069453125</v>
      </c>
      <c r="H726">
        <f t="shared" si="95"/>
        <v>2.0222517196088998E-2</v>
      </c>
      <c r="I726">
        <f t="shared" si="96"/>
        <v>2.2020757617843972E-2</v>
      </c>
      <c r="J726">
        <f t="shared" si="97"/>
        <v>2191.1718174849339</v>
      </c>
      <c r="K726" s="5">
        <f t="shared" si="98"/>
        <v>972.34291652988748</v>
      </c>
      <c r="L726" s="5">
        <f t="shared" si="99"/>
        <v>2.0020757617843974E-2</v>
      </c>
    </row>
    <row r="727" spans="2:12">
      <c r="B727">
        <v>7.025390625</v>
      </c>
      <c r="C727">
        <v>1.1719524627551401</v>
      </c>
      <c r="D727">
        <v>47.655023437499999</v>
      </c>
      <c r="E727" s="5">
        <f t="shared" si="93"/>
        <v>47655.0234375</v>
      </c>
      <c r="F727" s="5">
        <v>0.20286871585995001</v>
      </c>
      <c r="G727">
        <f t="shared" si="94"/>
        <v>953.10046875</v>
      </c>
      <c r="H727">
        <f t="shared" si="95"/>
        <v>2.0286871585995001E-2</v>
      </c>
      <c r="I727">
        <f t="shared" si="96"/>
        <v>2.2083834406689998E-2</v>
      </c>
      <c r="J727">
        <f t="shared" si="97"/>
        <v>2198.0752566401866</v>
      </c>
      <c r="K727" s="5">
        <f t="shared" si="98"/>
        <v>972.43589556808286</v>
      </c>
      <c r="L727" s="5">
        <f t="shared" si="99"/>
        <v>2.0083834406689996E-2</v>
      </c>
    </row>
    <row r="728" spans="2:12">
      <c r="B728">
        <v>7.03515625</v>
      </c>
      <c r="C728">
        <v>1.1736303567886399</v>
      </c>
      <c r="D728">
        <v>47.67878125</v>
      </c>
      <c r="E728" s="5">
        <f t="shared" si="93"/>
        <v>47678.78125</v>
      </c>
      <c r="F728" s="5">
        <v>0.20350876729935399</v>
      </c>
      <c r="G728">
        <f t="shared" si="94"/>
        <v>953.57562499999995</v>
      </c>
      <c r="H728">
        <f t="shared" si="95"/>
        <v>2.0350876729935401E-2</v>
      </c>
      <c r="I728">
        <f t="shared" si="96"/>
        <v>2.2146564936902188E-2</v>
      </c>
      <c r="J728">
        <f t="shared" si="97"/>
        <v>2204.9407995192601</v>
      </c>
      <c r="K728" s="5">
        <f t="shared" si="98"/>
        <v>972.98172499704606</v>
      </c>
      <c r="L728" s="5">
        <f t="shared" si="99"/>
        <v>2.014656493690219E-2</v>
      </c>
    </row>
    <row r="729" spans="2:12">
      <c r="B729">
        <v>7.044921875</v>
      </c>
      <c r="C729">
        <v>1.17481057532132</v>
      </c>
      <c r="D729">
        <v>47.678585937500003</v>
      </c>
      <c r="E729" s="5">
        <f t="shared" si="93"/>
        <v>47678.5859375</v>
      </c>
      <c r="F729" s="5">
        <v>0.20408668206073299</v>
      </c>
      <c r="G729">
        <f t="shared" si="94"/>
        <v>953.57171874999995</v>
      </c>
      <c r="H729">
        <f t="shared" si="95"/>
        <v>2.0408668206073299E-2</v>
      </c>
      <c r="I729">
        <f t="shared" si="96"/>
        <v>2.2203202159348893E-2</v>
      </c>
      <c r="J729">
        <f t="shared" si="97"/>
        <v>2211.1394603299395</v>
      </c>
      <c r="K729" s="5">
        <f t="shared" si="98"/>
        <v>973.03284756866378</v>
      </c>
      <c r="L729" s="5">
        <f t="shared" si="99"/>
        <v>2.0203202159348892E-2</v>
      </c>
    </row>
    <row r="730" spans="2:12">
      <c r="B730">
        <v>7.0546875</v>
      </c>
      <c r="C730">
        <v>1.1765406234189899</v>
      </c>
      <c r="D730">
        <v>47.677</v>
      </c>
      <c r="E730" s="5">
        <f t="shared" si="93"/>
        <v>47677</v>
      </c>
      <c r="F730" s="5">
        <v>0.204718031454831</v>
      </c>
      <c r="G730">
        <f t="shared" si="94"/>
        <v>953.54</v>
      </c>
      <c r="H730">
        <f t="shared" si="95"/>
        <v>2.0471803145483101E-2</v>
      </c>
      <c r="I730">
        <f t="shared" si="96"/>
        <v>2.2265072455347285E-2</v>
      </c>
      <c r="J730">
        <f t="shared" si="97"/>
        <v>2217.9108548754839</v>
      </c>
      <c r="K730" s="5">
        <f t="shared" si="98"/>
        <v>973.06068317134395</v>
      </c>
      <c r="L730" s="5">
        <f t="shared" si="99"/>
        <v>2.0265072455347286E-2</v>
      </c>
    </row>
    <row r="731" spans="2:12">
      <c r="B731">
        <v>7.064453125</v>
      </c>
      <c r="C731">
        <v>1.17893074639142</v>
      </c>
      <c r="D731">
        <v>47.686511718749998</v>
      </c>
      <c r="E731" s="5">
        <f t="shared" si="93"/>
        <v>47686.51171875</v>
      </c>
      <c r="F731" s="5">
        <v>0.20538030366879001</v>
      </c>
      <c r="G731">
        <f t="shared" si="94"/>
        <v>953.73023437500001</v>
      </c>
      <c r="H731">
        <f t="shared" si="95"/>
        <v>2.0538030366879002E-2</v>
      </c>
      <c r="I731">
        <f t="shared" si="96"/>
        <v>2.2329968978952071E-2</v>
      </c>
      <c r="J731">
        <f t="shared" si="97"/>
        <v>2225.0134549014092</v>
      </c>
      <c r="K731" s="5">
        <f t="shared" si="98"/>
        <v>973.31797489040434</v>
      </c>
      <c r="L731" s="5">
        <f t="shared" si="99"/>
        <v>2.0329968978952069E-2</v>
      </c>
    </row>
    <row r="732" spans="2:12">
      <c r="B732">
        <v>7.07421875</v>
      </c>
      <c r="C732">
        <v>1.18077534716576</v>
      </c>
      <c r="D732">
        <v>47.682945312500003</v>
      </c>
      <c r="E732" s="5">
        <f t="shared" si="93"/>
        <v>47682.9453125</v>
      </c>
      <c r="F732" s="5">
        <v>0.206019496545196</v>
      </c>
      <c r="G732">
        <f t="shared" si="94"/>
        <v>953.65890624999997</v>
      </c>
      <c r="H732">
        <f t="shared" si="95"/>
        <v>2.06019496545196E-2</v>
      </c>
      <c r="I732">
        <f t="shared" si="96"/>
        <v>2.2392599948201738E-2</v>
      </c>
      <c r="J732">
        <f t="shared" si="97"/>
        <v>2231.8681013309392</v>
      </c>
      <c r="K732" s="5">
        <f t="shared" si="98"/>
        <v>973.30613902414666</v>
      </c>
      <c r="L732" s="5">
        <f t="shared" si="99"/>
        <v>2.0392599948201737E-2</v>
      </c>
    </row>
    <row r="733" spans="2:12">
      <c r="B733">
        <v>7.083984375</v>
      </c>
      <c r="C733">
        <v>1.1816710466519</v>
      </c>
      <c r="D733">
        <v>47.690816406250001</v>
      </c>
      <c r="E733" s="5">
        <f t="shared" si="93"/>
        <v>47690.81640625</v>
      </c>
      <c r="F733" s="5">
        <v>0.20666251657530699</v>
      </c>
      <c r="G733">
        <f t="shared" si="94"/>
        <v>953.81632812500004</v>
      </c>
      <c r="H733">
        <f t="shared" si="95"/>
        <v>2.06662516575307E-2</v>
      </c>
      <c r="I733">
        <f t="shared" si="96"/>
        <v>2.2455601961353218E-2</v>
      </c>
      <c r="J733">
        <f t="shared" si="97"/>
        <v>2238.7633566603026</v>
      </c>
      <c r="K733" s="5">
        <f t="shared" si="98"/>
        <v>973.52813639709314</v>
      </c>
      <c r="L733" s="5">
        <f t="shared" si="99"/>
        <v>2.0455601961353216E-2</v>
      </c>
    </row>
    <row r="734" spans="2:12">
      <c r="B734">
        <v>7.09375</v>
      </c>
      <c r="C734">
        <v>1.1839747894555299</v>
      </c>
      <c r="D734">
        <v>47.72290234375</v>
      </c>
      <c r="E734" s="5">
        <f t="shared" si="93"/>
        <v>47722.90234375</v>
      </c>
      <c r="F734" s="5">
        <v>0.20728961681015801</v>
      </c>
      <c r="G734">
        <f t="shared" si="94"/>
        <v>954.45804687500004</v>
      </c>
      <c r="H734">
        <f t="shared" si="95"/>
        <v>2.07289616810158E-2</v>
      </c>
      <c r="I734">
        <f t="shared" si="96"/>
        <v>2.2517040357108331E-2</v>
      </c>
      <c r="J734">
        <f t="shared" si="97"/>
        <v>2245.4874818837216</v>
      </c>
      <c r="K734" s="5">
        <f t="shared" si="98"/>
        <v>974.24297115480908</v>
      </c>
      <c r="L734" s="5">
        <f t="shared" si="99"/>
        <v>2.0517040357108333E-2</v>
      </c>
    </row>
    <row r="735" spans="2:12">
      <c r="B735">
        <v>7.103515625</v>
      </c>
      <c r="C735">
        <v>1.18520855903625</v>
      </c>
      <c r="D735">
        <v>47.726414062499998</v>
      </c>
      <c r="E735" s="5">
        <f t="shared" si="93"/>
        <v>47726.4140625</v>
      </c>
      <c r="F735" s="5">
        <v>0.20799563208129301</v>
      </c>
      <c r="G735">
        <f t="shared" si="94"/>
        <v>954.52828124999996</v>
      </c>
      <c r="H735">
        <f t="shared" si="95"/>
        <v>2.0799563208129302E-2</v>
      </c>
      <c r="I735">
        <f t="shared" si="96"/>
        <v>2.258620571657393E-2</v>
      </c>
      <c r="J735">
        <f t="shared" si="97"/>
        <v>2253.0572846504338</v>
      </c>
      <c r="K735" s="5">
        <f t="shared" si="98"/>
        <v>974.38205256980632</v>
      </c>
      <c r="L735" s="5">
        <f t="shared" si="99"/>
        <v>2.0586205716573928E-2</v>
      </c>
    </row>
    <row r="736" spans="2:12">
      <c r="B736">
        <v>7.11328125</v>
      </c>
      <c r="C736">
        <v>1.18613697122782</v>
      </c>
      <c r="D736">
        <v>47.737847656249997</v>
      </c>
      <c r="E736" s="5">
        <f t="shared" si="93"/>
        <v>47737.84765625</v>
      </c>
      <c r="F736" s="5">
        <v>0.20866777049377599</v>
      </c>
      <c r="G736">
        <f t="shared" si="94"/>
        <v>954.756953125</v>
      </c>
      <c r="H736">
        <f t="shared" si="95"/>
        <v>2.0866777049377599E-2</v>
      </c>
      <c r="I736">
        <f t="shared" si="96"/>
        <v>2.2652047857326572E-2</v>
      </c>
      <c r="J736">
        <f t="shared" si="97"/>
        <v>2260.2633777451069</v>
      </c>
      <c r="K736" s="5">
        <f t="shared" si="98"/>
        <v>974.67965360220239</v>
      </c>
      <c r="L736" s="5">
        <f t="shared" si="99"/>
        <v>2.0652047857326574E-2</v>
      </c>
    </row>
    <row r="737" spans="2:12">
      <c r="B737">
        <v>7.123046875</v>
      </c>
      <c r="C737">
        <v>1.1890544556081299</v>
      </c>
      <c r="D737">
        <v>47.736671874999999</v>
      </c>
      <c r="E737" s="5">
        <f t="shared" si="93"/>
        <v>47736.671875</v>
      </c>
      <c r="F737" s="5">
        <v>0.20930189930368201</v>
      </c>
      <c r="G737">
        <f t="shared" si="94"/>
        <v>954.73343750000004</v>
      </c>
      <c r="H737">
        <f t="shared" si="95"/>
        <v>2.0930189930368201E-2</v>
      </c>
      <c r="I737">
        <f t="shared" si="96"/>
        <v>2.2714162633708915E-2</v>
      </c>
      <c r="J737">
        <f t="shared" si="97"/>
        <v>2267.0615294462718</v>
      </c>
      <c r="K737" s="5">
        <f t="shared" si="98"/>
        <v>974.71618967974837</v>
      </c>
      <c r="L737" s="5">
        <f t="shared" si="99"/>
        <v>2.0714162633708913E-2</v>
      </c>
    </row>
    <row r="738" spans="2:12">
      <c r="B738">
        <v>7.1328125</v>
      </c>
      <c r="C738">
        <v>1.1898205848410699</v>
      </c>
      <c r="D738">
        <v>47.742585937500003</v>
      </c>
      <c r="E738" s="5">
        <f t="shared" si="93"/>
        <v>47742.5859375</v>
      </c>
      <c r="F738" s="5">
        <v>0.20995325758121899</v>
      </c>
      <c r="G738">
        <f t="shared" si="94"/>
        <v>954.85171875000003</v>
      </c>
      <c r="H738">
        <f t="shared" si="95"/>
        <v>2.0995325758121901E-2</v>
      </c>
      <c r="I738">
        <f t="shared" si="96"/>
        <v>2.2777961070307447E-2</v>
      </c>
      <c r="J738">
        <f t="shared" si="97"/>
        <v>2274.0439493397985</v>
      </c>
      <c r="K738" s="5">
        <f t="shared" si="98"/>
        <v>974.89914163585888</v>
      </c>
      <c r="L738" s="5">
        <f t="shared" si="99"/>
        <v>2.0777961070307445E-2</v>
      </c>
    </row>
    <row r="739" spans="2:12">
      <c r="B739">
        <v>7.142578125</v>
      </c>
      <c r="C739">
        <v>1.19283061940223</v>
      </c>
      <c r="D739">
        <v>47.752980468750003</v>
      </c>
      <c r="E739" s="5">
        <f t="shared" si="93"/>
        <v>47752.98046875</v>
      </c>
      <c r="F739" s="5">
        <v>0.21060497965663699</v>
      </c>
      <c r="G739">
        <f t="shared" si="94"/>
        <v>955.05960937500004</v>
      </c>
      <c r="H739">
        <f t="shared" si="95"/>
        <v>2.1060497965663699E-2</v>
      </c>
      <c r="I739">
        <f t="shared" si="96"/>
        <v>2.2841791066340607E-2</v>
      </c>
      <c r="J739">
        <f t="shared" si="97"/>
        <v>2281.0298232556474</v>
      </c>
      <c r="K739" s="5">
        <f t="shared" si="98"/>
        <v>975.17364033532976</v>
      </c>
      <c r="L739" s="5">
        <f t="shared" si="99"/>
        <v>2.0841791066340605E-2</v>
      </c>
    </row>
    <row r="740" spans="2:12">
      <c r="B740">
        <v>7.15234375</v>
      </c>
      <c r="C740">
        <v>1.19325064588338</v>
      </c>
      <c r="D740">
        <v>47.763562499999999</v>
      </c>
      <c r="E740" s="5">
        <f t="shared" si="93"/>
        <v>47763.5625</v>
      </c>
      <c r="F740" s="5">
        <v>0.21127077343407999</v>
      </c>
      <c r="G740">
        <f t="shared" si="94"/>
        <v>955.27125000000001</v>
      </c>
      <c r="H740">
        <f t="shared" si="95"/>
        <v>2.1127077343407998E-2</v>
      </c>
      <c r="I740">
        <f t="shared" si="96"/>
        <v>2.2906995045223748E-2</v>
      </c>
      <c r="J740">
        <f t="shared" si="97"/>
        <v>2288.1660727245135</v>
      </c>
      <c r="K740" s="5">
        <f t="shared" si="98"/>
        <v>975.45333958268407</v>
      </c>
      <c r="L740" s="5">
        <f t="shared" si="99"/>
        <v>2.0906995045223749E-2</v>
      </c>
    </row>
    <row r="741" spans="2:12">
      <c r="B741">
        <v>7.162109375</v>
      </c>
      <c r="C741">
        <v>1.1939912801608401</v>
      </c>
      <c r="D741">
        <v>47.75658984375</v>
      </c>
      <c r="E741" s="5">
        <f t="shared" si="93"/>
        <v>47756.58984375</v>
      </c>
      <c r="F741" s="5">
        <v>0.211898834095337</v>
      </c>
      <c r="G741">
        <f t="shared" si="94"/>
        <v>955.13179687499996</v>
      </c>
      <c r="H741">
        <f t="shared" si="95"/>
        <v>2.1189883409533698E-2</v>
      </c>
      <c r="I741">
        <f t="shared" si="96"/>
        <v>2.2968499764963506E-2</v>
      </c>
      <c r="J741">
        <f t="shared" si="97"/>
        <v>2294.8974567764308</v>
      </c>
      <c r="K741" s="5">
        <f t="shared" si="98"/>
        <v>975.37092829151959</v>
      </c>
      <c r="L741" s="5">
        <f t="shared" si="99"/>
        <v>2.0968499764963504E-2</v>
      </c>
    </row>
    <row r="742" spans="2:12">
      <c r="B742">
        <v>7.171875</v>
      </c>
      <c r="C742">
        <v>1.1961043346673299</v>
      </c>
      <c r="D742">
        <v>47.772003906249999</v>
      </c>
      <c r="E742" s="5">
        <f t="shared" si="93"/>
        <v>47772.00390625</v>
      </c>
      <c r="F742" s="5">
        <v>0.21256157197058201</v>
      </c>
      <c r="G742">
        <f t="shared" si="94"/>
        <v>955.44007812500001</v>
      </c>
      <c r="H742">
        <f t="shared" si="95"/>
        <v>2.1256157197058201E-2</v>
      </c>
      <c r="I742">
        <f t="shared" si="96"/>
        <v>2.303339625302752E-2</v>
      </c>
      <c r="J742">
        <f t="shared" si="97"/>
        <v>2302.0000529125969</v>
      </c>
      <c r="K742" s="5">
        <f t="shared" si="98"/>
        <v>975.74906261799458</v>
      </c>
      <c r="L742" s="5">
        <f t="shared" si="99"/>
        <v>2.1033396253027518E-2</v>
      </c>
    </row>
    <row r="743" spans="2:12">
      <c r="B743">
        <v>7.181640625</v>
      </c>
      <c r="C743">
        <v>1.20058795437217</v>
      </c>
      <c r="D743">
        <v>47.755796875000001</v>
      </c>
      <c r="E743" s="5">
        <f t="shared" si="93"/>
        <v>47755.796875</v>
      </c>
      <c r="F743" s="5">
        <v>0.21318836661521301</v>
      </c>
      <c r="G743">
        <f t="shared" si="94"/>
        <v>955.11593749999997</v>
      </c>
      <c r="H743">
        <f t="shared" si="95"/>
        <v>2.13188366615213E-2</v>
      </c>
      <c r="I743">
        <f t="shared" si="96"/>
        <v>2.3094769240233647E-2</v>
      </c>
      <c r="J743">
        <f t="shared" si="97"/>
        <v>2308.7170194973714</v>
      </c>
      <c r="K743" s="5">
        <f t="shared" si="98"/>
        <v>975.4778981643783</v>
      </c>
      <c r="L743" s="5">
        <f t="shared" si="99"/>
        <v>2.1094769240233648E-2</v>
      </c>
    </row>
    <row r="744" spans="2:12">
      <c r="B744">
        <v>7.19140625</v>
      </c>
      <c r="C744">
        <v>1.1981799034401801</v>
      </c>
      <c r="D744">
        <v>47.760957031250001</v>
      </c>
      <c r="E744" s="5">
        <f t="shared" si="93"/>
        <v>47760.95703125</v>
      </c>
      <c r="F744" s="5">
        <v>0.21388140157796401</v>
      </c>
      <c r="G744">
        <f t="shared" si="94"/>
        <v>955.21914062500002</v>
      </c>
      <c r="H744">
        <f t="shared" si="95"/>
        <v>2.1388140157796401E-2</v>
      </c>
      <c r="I744">
        <f t="shared" si="96"/>
        <v>2.3162623804875708E-2</v>
      </c>
      <c r="J744">
        <f t="shared" si="97"/>
        <v>2316.1433623246221</v>
      </c>
      <c r="K744" s="5">
        <f t="shared" si="98"/>
        <v>975.64950148609739</v>
      </c>
      <c r="L744" s="5">
        <f t="shared" si="99"/>
        <v>2.116262380487571E-2</v>
      </c>
    </row>
    <row r="745" spans="2:12">
      <c r="B745">
        <v>7.201171875</v>
      </c>
      <c r="C745">
        <v>1.2019023997709199</v>
      </c>
      <c r="D745">
        <v>47.782335937500001</v>
      </c>
      <c r="E745" s="5">
        <f t="shared" si="93"/>
        <v>47782.3359375</v>
      </c>
      <c r="F745" s="5">
        <v>0.214507585042156</v>
      </c>
      <c r="G745">
        <f t="shared" si="94"/>
        <v>955.64671874999999</v>
      </c>
      <c r="H745">
        <f t="shared" si="95"/>
        <v>2.14507585042156E-2</v>
      </c>
      <c r="I745">
        <f t="shared" si="96"/>
        <v>2.3223929027210967E-2</v>
      </c>
      <c r="J745">
        <f t="shared" si="97"/>
        <v>2322.8529123831045</v>
      </c>
      <c r="K745" s="5">
        <f t="shared" si="98"/>
        <v>976.14606572925231</v>
      </c>
      <c r="L745" s="5">
        <f t="shared" si="99"/>
        <v>2.1223929027210969E-2</v>
      </c>
    </row>
    <row r="746" spans="2:12">
      <c r="B746">
        <v>7.2109375</v>
      </c>
      <c r="C746">
        <v>1.20329717174172</v>
      </c>
      <c r="D746">
        <v>47.765964843749998</v>
      </c>
      <c r="E746" s="5">
        <f t="shared" si="93"/>
        <v>47765.96484375</v>
      </c>
      <c r="F746" s="5">
        <v>0.21509459475055301</v>
      </c>
      <c r="G746">
        <f t="shared" si="94"/>
        <v>955.31929687499996</v>
      </c>
      <c r="H746">
        <f t="shared" si="95"/>
        <v>2.1509459475055302E-2</v>
      </c>
      <c r="I746">
        <f t="shared" si="96"/>
        <v>2.3281395609613564E-2</v>
      </c>
      <c r="J746">
        <f t="shared" si="97"/>
        <v>2329.1423424941563</v>
      </c>
      <c r="K746" s="5">
        <f t="shared" si="98"/>
        <v>975.86769857687113</v>
      </c>
      <c r="L746" s="5">
        <f t="shared" si="99"/>
        <v>2.1281395609613563E-2</v>
      </c>
    </row>
    <row r="747" spans="2:12">
      <c r="B747">
        <v>7.220703125</v>
      </c>
      <c r="C747">
        <v>1.2041747104376599</v>
      </c>
      <c r="D747">
        <v>47.772660156249998</v>
      </c>
      <c r="E747" s="5">
        <f t="shared" si="93"/>
        <v>47772.66015625</v>
      </c>
      <c r="F747" s="5">
        <v>0.215743013541214</v>
      </c>
      <c r="G747">
        <f t="shared" si="94"/>
        <v>955.45320312499996</v>
      </c>
      <c r="H747">
        <f t="shared" si="95"/>
        <v>2.1574301354121399E-2</v>
      </c>
      <c r="I747">
        <f t="shared" si="96"/>
        <v>2.3344870128212382E-2</v>
      </c>
      <c r="J747">
        <f t="shared" si="97"/>
        <v>2336.0893111822043</v>
      </c>
      <c r="K747" s="5">
        <f t="shared" si="98"/>
        <v>976.06643845897929</v>
      </c>
      <c r="L747" s="5">
        <f t="shared" si="99"/>
        <v>2.1344870128212384E-2</v>
      </c>
    </row>
    <row r="748" spans="2:12">
      <c r="B748">
        <v>7.23046875</v>
      </c>
      <c r="C748">
        <v>1.20647845324129</v>
      </c>
      <c r="D748">
        <v>47.78669140625</v>
      </c>
      <c r="E748" s="5">
        <f t="shared" si="93"/>
        <v>47786.69140625</v>
      </c>
      <c r="F748" s="5">
        <v>0.216426444239914</v>
      </c>
      <c r="G748">
        <f t="shared" si="94"/>
        <v>955.73382812499995</v>
      </c>
      <c r="H748">
        <f t="shared" si="95"/>
        <v>2.16426444239914E-2</v>
      </c>
      <c r="I748">
        <f t="shared" si="96"/>
        <v>2.3411767644931525E-2</v>
      </c>
      <c r="J748">
        <f t="shared" si="97"/>
        <v>2343.4109098995309</v>
      </c>
      <c r="K748" s="5">
        <f t="shared" si="98"/>
        <v>976.41843553108947</v>
      </c>
      <c r="L748" s="5">
        <f t="shared" si="99"/>
        <v>2.1411767644931527E-2</v>
      </c>
    </row>
    <row r="749" spans="2:12">
      <c r="B749">
        <v>7.240234375</v>
      </c>
      <c r="C749">
        <v>1.2082502944394899</v>
      </c>
      <c r="D749">
        <v>47.791605468749999</v>
      </c>
      <c r="E749" s="5">
        <f t="shared" si="93"/>
        <v>47791.60546875</v>
      </c>
      <c r="F749" s="5">
        <v>0.217074033571407</v>
      </c>
      <c r="G749">
        <f t="shared" si="94"/>
        <v>955.83210937499996</v>
      </c>
      <c r="H749">
        <f t="shared" si="95"/>
        <v>2.1707403357140699E-2</v>
      </c>
      <c r="I749">
        <f t="shared" si="96"/>
        <v>2.3475152705402472E-2</v>
      </c>
      <c r="J749">
        <f t="shared" si="97"/>
        <v>2350.3480878427736</v>
      </c>
      <c r="K749" s="5">
        <f t="shared" si="98"/>
        <v>976.58074251490973</v>
      </c>
      <c r="L749" s="5">
        <f t="shared" si="99"/>
        <v>2.1475152705402473E-2</v>
      </c>
    </row>
    <row r="750" spans="2:12">
      <c r="B750">
        <v>7.25</v>
      </c>
      <c r="C750">
        <v>1.21037662029266</v>
      </c>
      <c r="D750">
        <v>47.781722656249997</v>
      </c>
      <c r="E750" s="5">
        <f t="shared" si="93"/>
        <v>47781.72265625</v>
      </c>
      <c r="F750" s="5">
        <v>0.21774721972178701</v>
      </c>
      <c r="G750">
        <f t="shared" si="94"/>
        <v>955.63445312500005</v>
      </c>
      <c r="H750">
        <f t="shared" si="95"/>
        <v>2.1774721972178702E-2</v>
      </c>
      <c r="I750">
        <f t="shared" si="96"/>
        <v>2.3541038884907418E-2</v>
      </c>
      <c r="J750">
        <f t="shared" si="97"/>
        <v>2357.5590007586925</v>
      </c>
      <c r="K750" s="5">
        <f t="shared" si="98"/>
        <v>976.44312764883193</v>
      </c>
      <c r="L750" s="5">
        <f t="shared" si="99"/>
        <v>2.154103888490742E-2</v>
      </c>
    </row>
    <row r="751" spans="2:12">
      <c r="B751">
        <v>7.259765625</v>
      </c>
      <c r="C751">
        <v>1.2114733690396</v>
      </c>
      <c r="D751">
        <v>47.755945312500003</v>
      </c>
      <c r="E751" s="5">
        <f t="shared" si="93"/>
        <v>47755.9453125</v>
      </c>
      <c r="F751" s="5">
        <v>0.21828664466738701</v>
      </c>
      <c r="G751">
        <f t="shared" si="94"/>
        <v>955.11890625000001</v>
      </c>
      <c r="H751">
        <f t="shared" si="95"/>
        <v>2.1828664466738701E-2</v>
      </c>
      <c r="I751">
        <f t="shared" si="96"/>
        <v>2.3593830434315212E-2</v>
      </c>
      <c r="J751">
        <f t="shared" si="97"/>
        <v>2363.3367718836284</v>
      </c>
      <c r="K751" s="5">
        <f t="shared" si="98"/>
        <v>975.96787638036972</v>
      </c>
      <c r="L751" s="5">
        <f t="shared" si="99"/>
        <v>2.1593830434315214E-2</v>
      </c>
    </row>
    <row r="752" spans="2:12">
      <c r="B752">
        <v>7.26953125</v>
      </c>
      <c r="C752">
        <v>1.2136592995375399</v>
      </c>
      <c r="D752">
        <v>47.79076953125</v>
      </c>
      <c r="E752" s="5">
        <f t="shared" si="93"/>
        <v>47790.76953125</v>
      </c>
      <c r="F752" s="5">
        <v>0.21892423683311801</v>
      </c>
      <c r="G752">
        <f t="shared" si="94"/>
        <v>955.81539062499996</v>
      </c>
      <c r="H752">
        <f t="shared" si="95"/>
        <v>2.1892423683311801E-2</v>
      </c>
      <c r="I752">
        <f t="shared" si="96"/>
        <v>2.3656225657385004E-2</v>
      </c>
      <c r="J752">
        <f t="shared" si="97"/>
        <v>2370.1656170725014</v>
      </c>
      <c r="K752" s="5">
        <f t="shared" si="98"/>
        <v>976.74050611959262</v>
      </c>
      <c r="L752" s="5">
        <f t="shared" si="99"/>
        <v>2.1656225657385002E-2</v>
      </c>
    </row>
    <row r="753" spans="2:12">
      <c r="B753">
        <v>7.279296875</v>
      </c>
      <c r="C753">
        <v>1.21562776621431</v>
      </c>
      <c r="D753">
        <v>47.791800781249997</v>
      </c>
      <c r="E753" s="5">
        <f t="shared" si="93"/>
        <v>47791.80078125</v>
      </c>
      <c r="F753" s="5">
        <v>0.219566529267468</v>
      </c>
      <c r="G753">
        <f t="shared" si="94"/>
        <v>955.83601562499996</v>
      </c>
      <c r="H753">
        <f t="shared" si="95"/>
        <v>2.1956652926746801E-2</v>
      </c>
      <c r="I753">
        <f t="shared" si="96"/>
        <v>2.3719076916013784E-2</v>
      </c>
      <c r="J753">
        <f t="shared" si="97"/>
        <v>2377.0443730731286</v>
      </c>
      <c r="K753" s="5">
        <f t="shared" si="98"/>
        <v>976.82297527496257</v>
      </c>
      <c r="L753" s="5">
        <f t="shared" si="99"/>
        <v>2.1719076916013783E-2</v>
      </c>
    </row>
    <row r="754" spans="2:12">
      <c r="B754">
        <v>7.2890625</v>
      </c>
      <c r="C754">
        <v>1.2159094912931301</v>
      </c>
      <c r="D754">
        <v>47.78686328125</v>
      </c>
      <c r="E754" s="5">
        <f t="shared" si="93"/>
        <v>47786.86328125</v>
      </c>
      <c r="F754" s="5">
        <v>0.22018655727151801</v>
      </c>
      <c r="G754">
        <f t="shared" si="94"/>
        <v>955.73726562499996</v>
      </c>
      <c r="H754">
        <f t="shared" si="95"/>
        <v>2.2018655727151802E-2</v>
      </c>
      <c r="I754">
        <f t="shared" si="96"/>
        <v>2.377974575106432E-2</v>
      </c>
      <c r="J754">
        <f t="shared" si="97"/>
        <v>2383.6842737252341</v>
      </c>
      <c r="K754" s="5">
        <f t="shared" si="98"/>
        <v>976.78131544240625</v>
      </c>
      <c r="L754" s="5">
        <f t="shared" si="99"/>
        <v>2.1779745751064318E-2</v>
      </c>
    </row>
    <row r="755" spans="2:12">
      <c r="B755">
        <v>7.298828125</v>
      </c>
      <c r="C755">
        <v>1.2186825042590499</v>
      </c>
      <c r="D755">
        <v>47.79178515625</v>
      </c>
      <c r="E755" s="5">
        <f t="shared" si="93"/>
        <v>47791.78515625</v>
      </c>
      <c r="F755" s="5">
        <v>0.22087288380134901</v>
      </c>
      <c r="G755">
        <f t="shared" si="94"/>
        <v>955.83570312500001</v>
      </c>
      <c r="H755">
        <f t="shared" si="95"/>
        <v>2.2087288380134899E-2</v>
      </c>
      <c r="I755">
        <f t="shared" si="96"/>
        <v>2.3846897508248636E-2</v>
      </c>
      <c r="J755">
        <f t="shared" si="97"/>
        <v>2391.0336977902721</v>
      </c>
      <c r="K755" s="5">
        <f t="shared" si="98"/>
        <v>976.94752194395085</v>
      </c>
      <c r="L755" s="5">
        <f t="shared" si="99"/>
        <v>2.1846897508248638E-2</v>
      </c>
    </row>
    <row r="756" spans="2:12">
      <c r="B756">
        <v>7.30859375</v>
      </c>
      <c r="C756">
        <v>1.21959904208779</v>
      </c>
      <c r="D756">
        <v>47.799921875000003</v>
      </c>
      <c r="E756" s="5">
        <f t="shared" si="93"/>
        <v>47799.921875</v>
      </c>
      <c r="F756" s="5">
        <v>0.221480717300437</v>
      </c>
      <c r="G756">
        <f t="shared" si="94"/>
        <v>955.99843750000002</v>
      </c>
      <c r="H756">
        <f t="shared" si="95"/>
        <v>2.2148071730043701E-2</v>
      </c>
      <c r="I756">
        <f t="shared" si="96"/>
        <v>2.3906365562771995E-2</v>
      </c>
      <c r="J756">
        <f t="shared" si="97"/>
        <v>2397.5421790175806</v>
      </c>
      <c r="K756" s="5">
        <f t="shared" si="98"/>
        <v>977.17195946755976</v>
      </c>
      <c r="L756" s="5">
        <f t="shared" si="99"/>
        <v>2.1906365562771993E-2</v>
      </c>
    </row>
    <row r="757" spans="2:12">
      <c r="B757">
        <v>7.318359375</v>
      </c>
      <c r="C757">
        <v>1.2198998592793899</v>
      </c>
      <c r="D757">
        <v>47.784421875</v>
      </c>
      <c r="E757" s="5">
        <f t="shared" si="93"/>
        <v>47784.421875</v>
      </c>
      <c r="F757" s="5">
        <v>0.222118891542777</v>
      </c>
      <c r="G757">
        <f t="shared" si="94"/>
        <v>955.68843749999996</v>
      </c>
      <c r="H757">
        <f t="shared" si="95"/>
        <v>2.22118891542777E-2</v>
      </c>
      <c r="I757">
        <f t="shared" si="96"/>
        <v>2.3968798231652017E-2</v>
      </c>
      <c r="J757">
        <f t="shared" si="97"/>
        <v>2404.3751224631546</v>
      </c>
      <c r="K757" s="5">
        <f t="shared" si="98"/>
        <v>976.91608313977486</v>
      </c>
      <c r="L757" s="5">
        <f t="shared" si="99"/>
        <v>2.1968798231652015E-2</v>
      </c>
    </row>
    <row r="758" spans="2:12">
      <c r="B758">
        <v>7.328125</v>
      </c>
      <c r="C758">
        <v>1.2220531934872301</v>
      </c>
      <c r="D758">
        <v>47.802753906249997</v>
      </c>
      <c r="E758" s="5">
        <f t="shared" si="93"/>
        <v>47802.75390625</v>
      </c>
      <c r="F758" s="5">
        <v>0.222749571548775</v>
      </c>
      <c r="G758">
        <f t="shared" si="94"/>
        <v>956.05507812500002</v>
      </c>
      <c r="H758">
        <f t="shared" si="95"/>
        <v>2.2274957154877501E-2</v>
      </c>
      <c r="I758">
        <f t="shared" si="96"/>
        <v>2.4030493909209055E-2</v>
      </c>
      <c r="J758">
        <f t="shared" si="97"/>
        <v>2411.127405893385</v>
      </c>
      <c r="K758" s="5">
        <f t="shared" si="98"/>
        <v>977.35116402793744</v>
      </c>
      <c r="L758" s="5">
        <f t="shared" si="99"/>
        <v>2.2030493909209053E-2</v>
      </c>
    </row>
    <row r="759" spans="2:12">
      <c r="B759">
        <v>7.337890625</v>
      </c>
      <c r="C759">
        <v>1.2238369090482599</v>
      </c>
      <c r="D759">
        <v>47.820964843749998</v>
      </c>
      <c r="E759" s="5">
        <f t="shared" si="93"/>
        <v>47820.96484375</v>
      </c>
      <c r="F759" s="5">
        <v>0.22339334827847801</v>
      </c>
      <c r="G759">
        <f t="shared" si="94"/>
        <v>956.41929687499999</v>
      </c>
      <c r="H759">
        <f t="shared" si="95"/>
        <v>2.23393348278478E-2</v>
      </c>
      <c r="I759">
        <f t="shared" si="96"/>
        <v>2.4093466835930735E-2</v>
      </c>
      <c r="J759">
        <f t="shared" si="97"/>
        <v>2418.0194778584396</v>
      </c>
      <c r="K759" s="5">
        <f t="shared" si="98"/>
        <v>977.78506778370536</v>
      </c>
      <c r="L759" s="5">
        <f t="shared" si="99"/>
        <v>2.2093466835930737E-2</v>
      </c>
    </row>
    <row r="760" spans="2:12">
      <c r="B760">
        <v>7.34765625</v>
      </c>
      <c r="C760">
        <v>1.22709572315216</v>
      </c>
      <c r="D760">
        <v>47.831246093750003</v>
      </c>
      <c r="E760" s="5">
        <f t="shared" si="93"/>
        <v>47831.24609375</v>
      </c>
      <c r="F760" s="5">
        <v>0.22409277153201401</v>
      </c>
      <c r="G760">
        <f t="shared" si="94"/>
        <v>956.62492187500004</v>
      </c>
      <c r="H760">
        <f t="shared" si="95"/>
        <v>2.2409277153201401E-2</v>
      </c>
      <c r="I760">
        <f t="shared" si="96"/>
        <v>2.4161878497854436E-2</v>
      </c>
      <c r="J760">
        <f t="shared" si="97"/>
        <v>2425.5067921976788</v>
      </c>
      <c r="K760" s="5">
        <f t="shared" si="98"/>
        <v>978.06219488095655</v>
      </c>
      <c r="L760" s="5">
        <f t="shared" si="99"/>
        <v>2.2161878497854438E-2</v>
      </c>
    </row>
    <row r="761" spans="2:12">
      <c r="B761">
        <v>7.357421875</v>
      </c>
      <c r="C761">
        <v>1.22567277867347</v>
      </c>
      <c r="D761">
        <v>47.830039062499999</v>
      </c>
      <c r="E761" s="5">
        <f t="shared" si="93"/>
        <v>47830.0390625</v>
      </c>
      <c r="F761" s="5">
        <v>0.22466095106210601</v>
      </c>
      <c r="G761">
        <f t="shared" si="94"/>
        <v>956.60078124999995</v>
      </c>
      <c r="H761">
        <f t="shared" si="95"/>
        <v>2.2466095106210601E-2</v>
      </c>
      <c r="I761">
        <f t="shared" si="96"/>
        <v>2.4217449564721952E-2</v>
      </c>
      <c r="J761">
        <f t="shared" si="97"/>
        <v>2431.5887676109942</v>
      </c>
      <c r="K761" s="5">
        <f t="shared" si="98"/>
        <v>978.09186538023778</v>
      </c>
      <c r="L761" s="5">
        <f t="shared" si="99"/>
        <v>2.2217449564721953E-2</v>
      </c>
    </row>
    <row r="762" spans="2:12">
      <c r="B762">
        <v>7.3671875</v>
      </c>
      <c r="C762">
        <v>1.23097444884479</v>
      </c>
      <c r="D762">
        <v>47.831324218749998</v>
      </c>
      <c r="E762" s="5">
        <f t="shared" si="93"/>
        <v>47831.32421875</v>
      </c>
      <c r="F762" s="5">
        <v>0.22533189621753999</v>
      </c>
      <c r="G762">
        <f t="shared" si="94"/>
        <v>956.62648437500002</v>
      </c>
      <c r="H762">
        <f t="shared" si="95"/>
        <v>2.2533189621753998E-2</v>
      </c>
      <c r="I762">
        <f t="shared" si="96"/>
        <v>2.4283067695807438E-2</v>
      </c>
      <c r="J762">
        <f t="shared" si="97"/>
        <v>2438.7703439676452</v>
      </c>
      <c r="K762" s="5">
        <f t="shared" si="98"/>
        <v>978.18233034461377</v>
      </c>
      <c r="L762" s="5">
        <f t="shared" si="99"/>
        <v>2.228306769580744E-2</v>
      </c>
    </row>
    <row r="763" spans="2:12">
      <c r="B763">
        <v>7.376953125</v>
      </c>
      <c r="C763">
        <v>1.23086431995034</v>
      </c>
      <c r="D763">
        <v>47.8342265625</v>
      </c>
      <c r="E763" s="5">
        <f t="shared" si="93"/>
        <v>47834.2265625</v>
      </c>
      <c r="F763" s="5">
        <v>0.22593453468289201</v>
      </c>
      <c r="G763">
        <f t="shared" si="94"/>
        <v>956.68453124999996</v>
      </c>
      <c r="H763">
        <f t="shared" si="95"/>
        <v>2.2593453468289202E-2</v>
      </c>
      <c r="I763">
        <f t="shared" si="96"/>
        <v>2.4342001793366916E-2</v>
      </c>
      <c r="J763">
        <f t="shared" si="97"/>
        <v>2445.2203862750421</v>
      </c>
      <c r="K763" s="5">
        <f t="shared" si="98"/>
        <v>978.29933869062893</v>
      </c>
      <c r="L763" s="5">
        <f t="shared" si="99"/>
        <v>2.2342001793366918E-2</v>
      </c>
    </row>
    <row r="764" spans="2:12">
      <c r="B764">
        <v>7.38671875</v>
      </c>
      <c r="C764">
        <v>1.23293104115874</v>
      </c>
      <c r="D764">
        <v>47.84075</v>
      </c>
      <c r="E764" s="5">
        <f t="shared" si="93"/>
        <v>47840.75</v>
      </c>
      <c r="F764" s="5">
        <v>0.22664402786176699</v>
      </c>
      <c r="G764">
        <f t="shared" si="94"/>
        <v>956.81500000000005</v>
      </c>
      <c r="H764">
        <f t="shared" si="95"/>
        <v>2.26644027861767E-2</v>
      </c>
      <c r="I764">
        <f t="shared" si="96"/>
        <v>2.4411381131232722E-2</v>
      </c>
      <c r="J764">
        <f t="shared" si="97"/>
        <v>2452.8136079077653</v>
      </c>
      <c r="K764" s="5">
        <f t="shared" si="98"/>
        <v>978.50064055185567</v>
      </c>
      <c r="L764" s="5">
        <f t="shared" si="99"/>
        <v>2.2411381131232724E-2</v>
      </c>
    </row>
    <row r="765" spans="2:12">
      <c r="B765">
        <v>7.396484375</v>
      </c>
      <c r="C765">
        <v>1.2349218595772999</v>
      </c>
      <c r="D765">
        <v>47.861097656250003</v>
      </c>
      <c r="E765" s="5">
        <f t="shared" si="93"/>
        <v>47861.09765625</v>
      </c>
      <c r="F765" s="5">
        <v>0.22730955970473599</v>
      </c>
      <c r="G765">
        <f t="shared" si="94"/>
        <v>957.22195312500003</v>
      </c>
      <c r="H765">
        <f t="shared" si="95"/>
        <v>2.2730955970473598E-2</v>
      </c>
      <c r="I765">
        <f t="shared" si="96"/>
        <v>2.4476457238925546E-2</v>
      </c>
      <c r="J765">
        <f t="shared" si="97"/>
        <v>2459.9358625142063</v>
      </c>
      <c r="K765" s="5">
        <f t="shared" si="98"/>
        <v>978.98052319545513</v>
      </c>
      <c r="L765" s="5">
        <f t="shared" si="99"/>
        <v>2.2476457238925544E-2</v>
      </c>
    </row>
    <row r="766" spans="2:12">
      <c r="B766">
        <v>7.40625</v>
      </c>
      <c r="C766">
        <v>1.23747589532286</v>
      </c>
      <c r="D766">
        <v>47.881054687499997</v>
      </c>
      <c r="E766" s="5">
        <f t="shared" si="93"/>
        <v>47881.0546875</v>
      </c>
      <c r="F766" s="5">
        <v>0.228008546400815</v>
      </c>
      <c r="G766">
        <f t="shared" si="94"/>
        <v>957.62109375</v>
      </c>
      <c r="H766">
        <f t="shared" si="95"/>
        <v>2.2800854640081501E-2</v>
      </c>
      <c r="I766">
        <f t="shared" si="96"/>
        <v>2.4544800023205471E-2</v>
      </c>
      <c r="J766">
        <f t="shared" si="97"/>
        <v>2467.4156385397227</v>
      </c>
      <c r="K766" s="5">
        <f t="shared" si="98"/>
        <v>979.45567310886963</v>
      </c>
      <c r="L766" s="5">
        <f t="shared" si="99"/>
        <v>2.2544800023205473E-2</v>
      </c>
    </row>
    <row r="767" spans="2:12">
      <c r="B767">
        <v>7.416015625</v>
      </c>
      <c r="C767">
        <v>1.23797659762204</v>
      </c>
      <c r="D767">
        <v>47.874761718750001</v>
      </c>
      <c r="E767" s="5">
        <f t="shared" si="93"/>
        <v>47874.76171875</v>
      </c>
      <c r="F767" s="5">
        <v>0.22862465993966899</v>
      </c>
      <c r="G767">
        <f t="shared" si="94"/>
        <v>957.495234375</v>
      </c>
      <c r="H767">
        <f t="shared" si="95"/>
        <v>2.28624659939669E-2</v>
      </c>
      <c r="I767">
        <f t="shared" si="96"/>
        <v>2.4605036087745079E-2</v>
      </c>
      <c r="J767">
        <f t="shared" si="97"/>
        <v>2474.0081746232604</v>
      </c>
      <c r="K767" s="5">
        <f t="shared" si="98"/>
        <v>979.38593661028381</v>
      </c>
      <c r="L767" s="5">
        <f t="shared" si="99"/>
        <v>2.2605036087745081E-2</v>
      </c>
    </row>
    <row r="768" spans="2:12">
      <c r="B768">
        <v>7.42578125</v>
      </c>
      <c r="C768">
        <v>1.2394203804433299</v>
      </c>
      <c r="D768">
        <v>47.880957031249999</v>
      </c>
      <c r="E768" s="5">
        <f t="shared" si="93"/>
        <v>47880.95703125</v>
      </c>
      <c r="F768" s="5">
        <v>0.229280019993894</v>
      </c>
      <c r="G768">
        <f t="shared" si="94"/>
        <v>957.619140625</v>
      </c>
      <c r="H768">
        <f t="shared" si="95"/>
        <v>2.2928001999389401E-2</v>
      </c>
      <c r="I768">
        <f t="shared" si="96"/>
        <v>2.4669105215517656E-2</v>
      </c>
      <c r="J768">
        <f t="shared" si="97"/>
        <v>2481.0202203123299</v>
      </c>
      <c r="K768" s="5">
        <f t="shared" si="98"/>
        <v>979.57543419590354</v>
      </c>
      <c r="L768" s="5">
        <f t="shared" si="99"/>
        <v>2.2669105215517658E-2</v>
      </c>
    </row>
    <row r="769" spans="2:12">
      <c r="B769">
        <v>7.435546875</v>
      </c>
      <c r="C769">
        <v>1.24059314839542</v>
      </c>
      <c r="D769">
        <v>47.856414062500001</v>
      </c>
      <c r="E769" s="5">
        <f t="shared" si="93"/>
        <v>47856.4140625</v>
      </c>
      <c r="F769" s="5">
        <v>0.22984552197158301</v>
      </c>
      <c r="G769">
        <f t="shared" si="94"/>
        <v>957.12828124999999</v>
      </c>
      <c r="H769">
        <f t="shared" si="95"/>
        <v>2.2984552197158302E-2</v>
      </c>
      <c r="I769">
        <f t="shared" si="96"/>
        <v>2.4724386363939532E-2</v>
      </c>
      <c r="J769">
        <f t="shared" si="97"/>
        <v>2487.0704656013618</v>
      </c>
      <c r="K769" s="5">
        <f t="shared" si="98"/>
        <v>979.12744618976706</v>
      </c>
      <c r="L769" s="5">
        <f t="shared" si="99"/>
        <v>2.272438636393953E-2</v>
      </c>
    </row>
    <row r="770" spans="2:12">
      <c r="B770">
        <v>7.4453125</v>
      </c>
      <c r="C770">
        <v>1.2425348395481699</v>
      </c>
      <c r="D770">
        <v>47.852027343750002</v>
      </c>
      <c r="E770" s="5">
        <f t="shared" si="93"/>
        <v>47852.02734375</v>
      </c>
      <c r="F770" s="5">
        <v>0.230520134209655</v>
      </c>
      <c r="G770">
        <f t="shared" si="94"/>
        <v>957.04054687500002</v>
      </c>
      <c r="H770">
        <f t="shared" si="95"/>
        <v>2.3052013420965502E-2</v>
      </c>
      <c r="I770">
        <f t="shared" si="96"/>
        <v>2.4790329685740575E-2</v>
      </c>
      <c r="J770">
        <f t="shared" si="97"/>
        <v>2494.2876324558774</v>
      </c>
      <c r="K770" s="5">
        <f t="shared" si="98"/>
        <v>979.1022584059707</v>
      </c>
      <c r="L770" s="5">
        <f t="shared" si="99"/>
        <v>2.2790329685740577E-2</v>
      </c>
    </row>
    <row r="771" spans="2:12">
      <c r="B771">
        <v>7.455078125</v>
      </c>
      <c r="C771">
        <v>1.24406220857054</v>
      </c>
      <c r="D771">
        <v>47.854554687499999</v>
      </c>
      <c r="E771" s="5">
        <f t="shared" si="93"/>
        <v>47854.5546875</v>
      </c>
      <c r="F771" s="5">
        <v>0.23114781652111599</v>
      </c>
      <c r="G771">
        <f t="shared" si="94"/>
        <v>957.09109375000003</v>
      </c>
      <c r="H771">
        <f t="shared" si="95"/>
        <v>2.3114781652111598E-2</v>
      </c>
      <c r="I771">
        <f t="shared" si="96"/>
        <v>2.4851681703881877E-2</v>
      </c>
      <c r="J771">
        <f t="shared" si="97"/>
        <v>2501.0023040813521</v>
      </c>
      <c r="K771" s="5">
        <f t="shared" si="98"/>
        <v>979.21404540321191</v>
      </c>
      <c r="L771" s="5">
        <f t="shared" si="99"/>
        <v>2.2851681703881879E-2</v>
      </c>
    </row>
    <row r="772" spans="2:12">
      <c r="B772">
        <v>7.46484375</v>
      </c>
      <c r="C772">
        <v>1.2456029653549201</v>
      </c>
      <c r="D772">
        <v>47.887878906250002</v>
      </c>
      <c r="E772" s="5">
        <f t="shared" si="93"/>
        <v>47887.87890625</v>
      </c>
      <c r="F772" s="5">
        <v>0.231840152991936</v>
      </c>
      <c r="G772">
        <f t="shared" si="94"/>
        <v>957.75757812500001</v>
      </c>
      <c r="H772">
        <f t="shared" si="95"/>
        <v>2.3184015299193599E-2</v>
      </c>
      <c r="I772">
        <f t="shared" si="96"/>
        <v>2.4919348896191788E-2</v>
      </c>
      <c r="J772">
        <f t="shared" si="97"/>
        <v>2508.40813994371</v>
      </c>
      <c r="K772" s="5">
        <f t="shared" si="98"/>
        <v>979.96224446916858</v>
      </c>
      <c r="L772" s="5">
        <f t="shared" si="99"/>
        <v>2.2919348896191787E-2</v>
      </c>
    </row>
    <row r="773" spans="2:12">
      <c r="B773">
        <v>7.474609375</v>
      </c>
      <c r="C773">
        <v>1.24783511273563</v>
      </c>
      <c r="D773">
        <v>47.900562499999999</v>
      </c>
      <c r="E773" s="5">
        <f t="shared" si="93"/>
        <v>47900.5625</v>
      </c>
      <c r="F773" s="5">
        <v>0.23252671235240999</v>
      </c>
      <c r="G773">
        <f t="shared" si="94"/>
        <v>958.01125000000002</v>
      </c>
      <c r="H773">
        <f t="shared" si="95"/>
        <v>2.3252671235240999E-2</v>
      </c>
      <c r="I773">
        <f t="shared" si="96"/>
        <v>2.4986446927149644E-2</v>
      </c>
      <c r="J773">
        <f t="shared" si="97"/>
        <v>2515.7516839418931</v>
      </c>
      <c r="K773" s="5">
        <f t="shared" si="98"/>
        <v>980.28757063591229</v>
      </c>
      <c r="L773" s="5">
        <f t="shared" si="99"/>
        <v>2.2986446927149646E-2</v>
      </c>
    </row>
    <row r="774" spans="2:12">
      <c r="B774">
        <v>7.484375</v>
      </c>
      <c r="C774">
        <v>1.2496247654780701</v>
      </c>
      <c r="D774">
        <v>47.894511718750003</v>
      </c>
      <c r="E774" s="5">
        <f t="shared" si="93"/>
        <v>47894.51171875</v>
      </c>
      <c r="F774" s="5">
        <v>0.23308575327973799</v>
      </c>
      <c r="G774">
        <f t="shared" si="94"/>
        <v>957.89023437499998</v>
      </c>
      <c r="H774">
        <f t="shared" si="95"/>
        <v>2.3308575327973799E-2</v>
      </c>
      <c r="I774">
        <f t="shared" si="96"/>
        <v>2.5041079147749543E-2</v>
      </c>
      <c r="J774">
        <f t="shared" si="97"/>
        <v>2521.7309073254487</v>
      </c>
      <c r="K774" s="5">
        <f t="shared" si="98"/>
        <v>980.21729105886016</v>
      </c>
      <c r="L774" s="5">
        <f t="shared" si="99"/>
        <v>2.3041079147749544E-2</v>
      </c>
    </row>
    <row r="775" spans="2:12">
      <c r="B775">
        <v>7.494140625</v>
      </c>
      <c r="C775">
        <v>1.25015969388187</v>
      </c>
      <c r="D775">
        <v>47.878648437499997</v>
      </c>
      <c r="E775" s="5">
        <f t="shared" si="93"/>
        <v>47878.6484375</v>
      </c>
      <c r="F775" s="5">
        <v>0.23370148846879599</v>
      </c>
      <c r="G775">
        <f t="shared" si="94"/>
        <v>957.57296874999997</v>
      </c>
      <c r="H775">
        <f t="shared" si="95"/>
        <v>2.3370148846879598E-2</v>
      </c>
      <c r="I775">
        <f t="shared" si="96"/>
        <v>2.510124835574206E-2</v>
      </c>
      <c r="J775">
        <f t="shared" si="97"/>
        <v>2528.3161262941894</v>
      </c>
      <c r="K775" s="5">
        <f t="shared" si="98"/>
        <v>979.95159156143586</v>
      </c>
      <c r="L775" s="5">
        <f t="shared" si="99"/>
        <v>2.3101248355742059E-2</v>
      </c>
    </row>
    <row r="776" spans="2:12">
      <c r="B776">
        <v>7.50390625</v>
      </c>
      <c r="C776">
        <v>1.2533545959740899</v>
      </c>
      <c r="D776">
        <v>47.9070859375</v>
      </c>
      <c r="E776" s="5">
        <f t="shared" si="93"/>
        <v>47907.0859375</v>
      </c>
      <c r="F776" s="5">
        <v>0.234462379012257</v>
      </c>
      <c r="G776">
        <f t="shared" si="94"/>
        <v>958.14171875</v>
      </c>
      <c r="H776">
        <f t="shared" si="95"/>
        <v>2.34462379012257E-2</v>
      </c>
      <c r="I776">
        <f t="shared" si="96"/>
        <v>2.5175597041705064E-2</v>
      </c>
      <c r="J776">
        <f t="shared" si="97"/>
        <v>2536.453218229411</v>
      </c>
      <c r="K776" s="5">
        <f t="shared" si="98"/>
        <v>980.60653743090177</v>
      </c>
      <c r="L776" s="5">
        <f t="shared" si="99"/>
        <v>2.3175597041705066E-2</v>
      </c>
    </row>
    <row r="777" spans="2:12">
      <c r="B777">
        <v>7.513671875</v>
      </c>
      <c r="C777">
        <v>1.2540012830868399</v>
      </c>
      <c r="D777">
        <v>47.926671874999997</v>
      </c>
      <c r="E777" s="5">
        <f t="shared" ref="E777:E840" si="100" xml:space="preserve"> D777*R$3</f>
        <v>47926.671875</v>
      </c>
      <c r="F777" s="5">
        <v>0.23507783771492499</v>
      </c>
      <c r="G777">
        <f t="shared" ref="G777:G840" si="101" xml:space="preserve"> E777/C$3</f>
        <v>958.53343749999999</v>
      </c>
      <c r="H777">
        <f t="shared" ref="H777:H840" si="102" xml:space="preserve"> F777/C$4</f>
        <v>2.3507783771492499E-2</v>
      </c>
      <c r="I777">
        <f t="shared" ref="I777:I840" si="103">L777+0.002</f>
        <v>2.5235731143041749E-2</v>
      </c>
      <c r="J777">
        <f t="shared" ref="J777:J840" si="104">L777*G$2</f>
        <v>2543.0345949502043</v>
      </c>
      <c r="K777" s="5">
        <f t="shared" ref="K777:K840" si="105" xml:space="preserve"> G777 * (1 + H777)</f>
        <v>981.06643428649545</v>
      </c>
      <c r="L777" s="5">
        <f t="shared" ref="L777:L840" si="106">LN(1 + H777)</f>
        <v>2.3235731143041751E-2</v>
      </c>
    </row>
    <row r="778" spans="2:12">
      <c r="B778">
        <v>7.5234375</v>
      </c>
      <c r="C778">
        <v>1.2560188770294201</v>
      </c>
      <c r="D778">
        <v>47.931511718750002</v>
      </c>
      <c r="E778" s="5">
        <f t="shared" si="100"/>
        <v>47931.51171875</v>
      </c>
      <c r="F778" s="5">
        <v>0.23580863489769399</v>
      </c>
      <c r="G778">
        <f t="shared" si="101"/>
        <v>958.63023437499999</v>
      </c>
      <c r="H778">
        <f t="shared" si="102"/>
        <v>2.3580863489769399E-2</v>
      </c>
      <c r="I778">
        <f t="shared" si="103"/>
        <v>2.5307129827613302E-2</v>
      </c>
      <c r="J778">
        <f t="shared" si="104"/>
        <v>2550.8488239831377</v>
      </c>
      <c r="K778" s="5">
        <f t="shared" si="105"/>
        <v>981.23556306896251</v>
      </c>
      <c r="L778" s="5">
        <f t="shared" si="106"/>
        <v>2.33071298276133E-2</v>
      </c>
    </row>
    <row r="779" spans="2:12">
      <c r="B779">
        <v>7.533203125</v>
      </c>
      <c r="C779">
        <v>1.25768186990172</v>
      </c>
      <c r="D779">
        <v>47.939031249999999</v>
      </c>
      <c r="E779" s="5">
        <f t="shared" si="100"/>
        <v>47939.03125</v>
      </c>
      <c r="F779" s="5">
        <v>0.23642403539270199</v>
      </c>
      <c r="G779">
        <f t="shared" si="101"/>
        <v>958.78062499999999</v>
      </c>
      <c r="H779">
        <f t="shared" si="102"/>
        <v>2.3642403539270197E-2</v>
      </c>
      <c r="I779">
        <f t="shared" si="103"/>
        <v>2.5367250333774412E-2</v>
      </c>
      <c r="J779">
        <f t="shared" si="104"/>
        <v>2557.4287127799407</v>
      </c>
      <c r="K779" s="5">
        <f t="shared" si="105"/>
        <v>981.44850344188364</v>
      </c>
      <c r="L779" s="5">
        <f t="shared" si="106"/>
        <v>2.3367250333774413E-2</v>
      </c>
    </row>
    <row r="780" spans="2:12">
      <c r="B780">
        <v>7.54296875</v>
      </c>
      <c r="C780">
        <v>1.2594818836077999</v>
      </c>
      <c r="D780">
        <v>47.931308593750003</v>
      </c>
      <c r="E780" s="5">
        <f t="shared" si="100"/>
        <v>47931.30859375</v>
      </c>
      <c r="F780" s="5">
        <v>0.237047031987458</v>
      </c>
      <c r="G780">
        <f t="shared" si="101"/>
        <v>958.62617187499995</v>
      </c>
      <c r="H780">
        <f t="shared" si="102"/>
        <v>2.3704703198745798E-2</v>
      </c>
      <c r="I780">
        <f t="shared" si="103"/>
        <v>2.5428109246549764E-2</v>
      </c>
      <c r="J780">
        <f t="shared" si="104"/>
        <v>2564.0894164886386</v>
      </c>
      <c r="K780" s="5">
        <f t="shared" si="105"/>
        <v>981.35012075784675</v>
      </c>
      <c r="L780" s="5">
        <f t="shared" si="106"/>
        <v>2.3428109246549762E-2</v>
      </c>
    </row>
    <row r="781" spans="2:12">
      <c r="B781">
        <v>7.552734375</v>
      </c>
      <c r="C781">
        <v>1.2605279916897401</v>
      </c>
      <c r="D781">
        <v>47.923257812499997</v>
      </c>
      <c r="E781" s="5">
        <f t="shared" si="100"/>
        <v>47923.2578125</v>
      </c>
      <c r="F781" s="5">
        <v>0.23785149096511299</v>
      </c>
      <c r="G781">
        <f t="shared" si="101"/>
        <v>958.46515624999995</v>
      </c>
      <c r="H781">
        <f t="shared" si="102"/>
        <v>2.3785149096511297E-2</v>
      </c>
      <c r="I781">
        <f t="shared" si="103"/>
        <v>2.5506689267561021E-2</v>
      </c>
      <c r="J781">
        <f t="shared" si="104"/>
        <v>2572.6896068882161</v>
      </c>
      <c r="K781" s="5">
        <f t="shared" si="105"/>
        <v>981.2623928952172</v>
      </c>
      <c r="L781" s="5">
        <f t="shared" si="106"/>
        <v>2.3506689267561023E-2</v>
      </c>
    </row>
    <row r="782" spans="2:12">
      <c r="B782">
        <v>7.5625</v>
      </c>
      <c r="C782">
        <v>1.2613802682608399</v>
      </c>
      <c r="D782">
        <v>47.923499999999997</v>
      </c>
      <c r="E782" s="5">
        <f t="shared" si="100"/>
        <v>47923.5</v>
      </c>
      <c r="F782" s="5">
        <v>0.238362001255155</v>
      </c>
      <c r="G782">
        <f t="shared" si="101"/>
        <v>958.47</v>
      </c>
      <c r="H782">
        <f t="shared" si="102"/>
        <v>2.3836200125515499E-2</v>
      </c>
      <c r="I782">
        <f t="shared" si="103"/>
        <v>2.5556553007294085E-2</v>
      </c>
      <c r="J782">
        <f t="shared" si="104"/>
        <v>2578.146943883301</v>
      </c>
      <c r="K782" s="5">
        <f t="shared" si="105"/>
        <v>981.31628273430283</v>
      </c>
      <c r="L782" s="5">
        <f t="shared" si="106"/>
        <v>2.3556553007294083E-2</v>
      </c>
    </row>
    <row r="783" spans="2:12">
      <c r="B783">
        <v>7.572265625</v>
      </c>
      <c r="C783">
        <v>1.26323557924479</v>
      </c>
      <c r="D783">
        <v>47.901371093750001</v>
      </c>
      <c r="E783" s="5">
        <f t="shared" si="100"/>
        <v>47901.37109375</v>
      </c>
      <c r="F783" s="5">
        <v>0.23903173860162499</v>
      </c>
      <c r="G783">
        <f t="shared" si="101"/>
        <v>958.02742187499996</v>
      </c>
      <c r="H783">
        <f t="shared" si="102"/>
        <v>2.39031738601625E-2</v>
      </c>
      <c r="I783">
        <f t="shared" si="103"/>
        <v>2.5621965369357097E-2</v>
      </c>
      <c r="J783">
        <f t="shared" si="104"/>
        <v>2585.3059998492872</v>
      </c>
      <c r="K783" s="5">
        <f t="shared" si="105"/>
        <v>980.92731790288133</v>
      </c>
      <c r="L783" s="5">
        <f t="shared" si="106"/>
        <v>2.3621965369357095E-2</v>
      </c>
    </row>
    <row r="784" spans="2:12">
      <c r="B784">
        <v>7.58203125</v>
      </c>
      <c r="C784">
        <v>1.2664019595831599</v>
      </c>
      <c r="D784">
        <v>47.917890624999998</v>
      </c>
      <c r="E784" s="5">
        <f t="shared" si="100"/>
        <v>47917.890625</v>
      </c>
      <c r="F784" s="5">
        <v>0.239645727560855</v>
      </c>
      <c r="G784">
        <f t="shared" si="101"/>
        <v>958.35781250000002</v>
      </c>
      <c r="H784">
        <f t="shared" si="102"/>
        <v>2.39645727560855E-2</v>
      </c>
      <c r="I784">
        <f t="shared" si="103"/>
        <v>2.5681929100943662E-2</v>
      </c>
      <c r="J784">
        <f t="shared" si="104"/>
        <v>2591.8687304527793</v>
      </c>
      <c r="K784" s="5">
        <f t="shared" si="105"/>
        <v>981.32444802401926</v>
      </c>
      <c r="L784" s="5">
        <f t="shared" si="106"/>
        <v>2.3681929100943664E-2</v>
      </c>
    </row>
    <row r="785" spans="2:12">
      <c r="B785">
        <v>7.591796875</v>
      </c>
      <c r="C785">
        <v>1.2670755386352499</v>
      </c>
      <c r="D785">
        <v>47.931136718749997</v>
      </c>
      <c r="E785" s="5">
        <f t="shared" si="100"/>
        <v>47931.13671875</v>
      </c>
      <c r="F785" s="5">
        <v>0.24024504818953599</v>
      </c>
      <c r="G785">
        <f t="shared" si="101"/>
        <v>958.62273437500005</v>
      </c>
      <c r="H785">
        <f t="shared" si="102"/>
        <v>2.4024504818953598E-2</v>
      </c>
      <c r="I785">
        <f t="shared" si="103"/>
        <v>2.5740456818245848E-2</v>
      </c>
      <c r="J785">
        <f t="shared" si="104"/>
        <v>2598.2742964729168</v>
      </c>
      <c r="K785" s="5">
        <f t="shared" si="105"/>
        <v>981.65317087655069</v>
      </c>
      <c r="L785" s="5">
        <f t="shared" si="106"/>
        <v>2.374045681824585E-2</v>
      </c>
    </row>
    <row r="786" spans="2:12">
      <c r="B786">
        <v>7.6015625</v>
      </c>
      <c r="C786">
        <v>1.2701451778411901</v>
      </c>
      <c r="D786">
        <v>47.925792968750002</v>
      </c>
      <c r="E786" s="5">
        <f t="shared" si="100"/>
        <v>47925.79296875</v>
      </c>
      <c r="F786" s="5">
        <v>0.240981666138396</v>
      </c>
      <c r="G786">
        <f t="shared" si="101"/>
        <v>958.51585937499999</v>
      </c>
      <c r="H786">
        <f t="shared" si="102"/>
        <v>2.4098166613839601E-2</v>
      </c>
      <c r="I786">
        <f t="shared" si="103"/>
        <v>2.581238785630835E-2</v>
      </c>
      <c r="J786">
        <f t="shared" si="104"/>
        <v>2606.1467889336677</v>
      </c>
      <c r="K786" s="5">
        <f t="shared" si="105"/>
        <v>981.61433425622636</v>
      </c>
      <c r="L786" s="5">
        <f t="shared" si="106"/>
        <v>2.3812387856308351E-2</v>
      </c>
    </row>
    <row r="787" spans="2:12">
      <c r="B787">
        <v>7.611328125</v>
      </c>
      <c r="C787">
        <v>1.2714952463284099</v>
      </c>
      <c r="D787">
        <v>47.948648437499997</v>
      </c>
      <c r="E787" s="5">
        <f t="shared" si="100"/>
        <v>47948.6484375</v>
      </c>
      <c r="F787" s="5">
        <v>0.24155342543963301</v>
      </c>
      <c r="G787">
        <f t="shared" si="101"/>
        <v>958.97296874999995</v>
      </c>
      <c r="H787">
        <f t="shared" si="102"/>
        <v>2.4155342543963301E-2</v>
      </c>
      <c r="I787">
        <f t="shared" si="103"/>
        <v>2.5868216814865473E-2</v>
      </c>
      <c r="J787">
        <f t="shared" si="104"/>
        <v>2612.2569893029518</v>
      </c>
      <c r="K787" s="5">
        <f t="shared" si="105"/>
        <v>982.13728930055765</v>
      </c>
      <c r="L787" s="5">
        <f t="shared" si="106"/>
        <v>2.3868216814865475E-2</v>
      </c>
    </row>
    <row r="788" spans="2:12">
      <c r="B788">
        <v>7.62109375</v>
      </c>
      <c r="C788">
        <v>1.2735560303553899</v>
      </c>
      <c r="D788">
        <v>47.950214843749997</v>
      </c>
      <c r="E788" s="5">
        <f t="shared" si="100"/>
        <v>47950.21484375</v>
      </c>
      <c r="F788" s="5">
        <v>0.24224779917858499</v>
      </c>
      <c r="G788">
        <f t="shared" si="101"/>
        <v>959.00429687500002</v>
      </c>
      <c r="H788">
        <f t="shared" si="102"/>
        <v>2.4224779917858499E-2</v>
      </c>
      <c r="I788">
        <f t="shared" si="103"/>
        <v>2.5936014166695213E-2</v>
      </c>
      <c r="J788">
        <f t="shared" si="104"/>
        <v>2619.6770704739579</v>
      </c>
      <c r="K788" s="5">
        <f t="shared" si="105"/>
        <v>982.23596490707757</v>
      </c>
      <c r="L788" s="5">
        <f t="shared" si="106"/>
        <v>2.3936014166695215E-2</v>
      </c>
    </row>
    <row r="789" spans="2:12">
      <c r="B789">
        <v>7.630859375</v>
      </c>
      <c r="C789">
        <v>1.2716040946543199</v>
      </c>
      <c r="D789">
        <v>47.932460937499997</v>
      </c>
      <c r="E789" s="5">
        <f t="shared" si="100"/>
        <v>47932.4609375</v>
      </c>
      <c r="F789" s="5">
        <v>0.242883499595337</v>
      </c>
      <c r="G789">
        <f t="shared" si="101"/>
        <v>958.64921875000005</v>
      </c>
      <c r="H789">
        <f t="shared" si="102"/>
        <v>2.42883499595337E-2</v>
      </c>
      <c r="I789">
        <f t="shared" si="103"/>
        <v>2.5998078735155493E-2</v>
      </c>
      <c r="J789">
        <f t="shared" si="104"/>
        <v>2626.4697271690929</v>
      </c>
      <c r="K789" s="5">
        <f t="shared" si="105"/>
        <v>981.93322646343358</v>
      </c>
      <c r="L789" s="5">
        <f t="shared" si="106"/>
        <v>2.3998078735155495E-2</v>
      </c>
    </row>
    <row r="790" spans="2:12">
      <c r="B790">
        <v>7.640625</v>
      </c>
      <c r="C790">
        <v>1.2758269440382699</v>
      </c>
      <c r="D790">
        <v>47.953066406250002</v>
      </c>
      <c r="E790" s="5">
        <f t="shared" si="100"/>
        <v>47953.06640625</v>
      </c>
      <c r="F790" s="5">
        <v>0.243525137193501</v>
      </c>
      <c r="G790">
        <f t="shared" si="101"/>
        <v>959.06132812500005</v>
      </c>
      <c r="H790">
        <f t="shared" si="102"/>
        <v>2.43525137193501E-2</v>
      </c>
      <c r="I790">
        <f t="shared" si="103"/>
        <v>2.6060719055355099E-2</v>
      </c>
      <c r="J790">
        <f t="shared" si="104"/>
        <v>2633.3253970133387</v>
      </c>
      <c r="K790" s="5">
        <f t="shared" si="105"/>
        <v>982.41688227586224</v>
      </c>
      <c r="L790" s="5">
        <f t="shared" si="106"/>
        <v>2.4060719055355097E-2</v>
      </c>
    </row>
    <row r="791" spans="2:12">
      <c r="B791">
        <v>7.650390625</v>
      </c>
      <c r="C791">
        <v>1.27682543825358</v>
      </c>
      <c r="D791">
        <v>47.945964843749998</v>
      </c>
      <c r="E791" s="5">
        <f t="shared" si="100"/>
        <v>47945.96484375</v>
      </c>
      <c r="F791" s="5">
        <v>0.244195951381698</v>
      </c>
      <c r="G791">
        <f t="shared" si="101"/>
        <v>958.91929687499999</v>
      </c>
      <c r="H791">
        <f t="shared" si="102"/>
        <v>2.4419595138169801E-2</v>
      </c>
      <c r="I791">
        <f t="shared" si="103"/>
        <v>2.6126203565373249E-2</v>
      </c>
      <c r="J791">
        <f t="shared" si="104"/>
        <v>2640.4923492122753</v>
      </c>
      <c r="K791" s="5">
        <f t="shared" si="105"/>
        <v>982.33571787486596</v>
      </c>
      <c r="L791" s="5">
        <f t="shared" si="106"/>
        <v>2.4126203565373251E-2</v>
      </c>
    </row>
    <row r="792" spans="2:12">
      <c r="B792">
        <v>7.66015625</v>
      </c>
      <c r="C792">
        <v>1.2787625892087799</v>
      </c>
      <c r="D792">
        <v>47.964507812500003</v>
      </c>
      <c r="E792" s="5">
        <f t="shared" si="100"/>
        <v>47964.5078125</v>
      </c>
      <c r="F792" s="5">
        <v>0.24490198120474799</v>
      </c>
      <c r="G792">
        <f t="shared" si="101"/>
        <v>959.29015625</v>
      </c>
      <c r="H792">
        <f t="shared" si="102"/>
        <v>2.4490198120474798E-2</v>
      </c>
      <c r="I792">
        <f t="shared" si="103"/>
        <v>2.6195121174694302E-2</v>
      </c>
      <c r="J792">
        <f t="shared" si="104"/>
        <v>2648.0350369644179</v>
      </c>
      <c r="K792" s="5">
        <f t="shared" si="105"/>
        <v>982.78336223158374</v>
      </c>
      <c r="L792" s="5">
        <f t="shared" si="106"/>
        <v>2.4195121174694301E-2</v>
      </c>
    </row>
    <row r="793" spans="2:12">
      <c r="B793">
        <v>7.669921875</v>
      </c>
      <c r="C793">
        <v>1.27973849885166</v>
      </c>
      <c r="D793">
        <v>47.988437500000003</v>
      </c>
      <c r="E793" s="5">
        <f t="shared" si="100"/>
        <v>47988.4375</v>
      </c>
      <c r="F793" s="5">
        <v>0.245539384195581</v>
      </c>
      <c r="G793">
        <f t="shared" si="101"/>
        <v>959.76874999999995</v>
      </c>
      <c r="H793">
        <f t="shared" si="102"/>
        <v>2.4553938419558101E-2</v>
      </c>
      <c r="I793">
        <f t="shared" si="103"/>
        <v>2.6257335841491557E-2</v>
      </c>
      <c r="J793">
        <f t="shared" si="104"/>
        <v>2654.8441211720433</v>
      </c>
      <c r="K793" s="5">
        <f t="shared" si="105"/>
        <v>983.33485278451622</v>
      </c>
      <c r="L793" s="5">
        <f t="shared" si="106"/>
        <v>2.4257335841491555E-2</v>
      </c>
    </row>
    <row r="794" spans="2:12">
      <c r="B794">
        <v>7.6796875</v>
      </c>
      <c r="C794">
        <v>1.28207204397768</v>
      </c>
      <c r="D794">
        <v>47.9859453125</v>
      </c>
      <c r="E794" s="5">
        <f t="shared" si="100"/>
        <v>47985.9453125</v>
      </c>
      <c r="F794" s="5">
        <v>0.246230396442115</v>
      </c>
      <c r="G794">
        <f t="shared" si="101"/>
        <v>959.71890625000003</v>
      </c>
      <c r="H794">
        <f t="shared" si="102"/>
        <v>2.4623039644211499E-2</v>
      </c>
      <c r="I794">
        <f t="shared" si="103"/>
        <v>2.6324778747028106E-2</v>
      </c>
      <c r="J794">
        <f t="shared" si="104"/>
        <v>2662.225409968491</v>
      </c>
      <c r="K794" s="5">
        <f t="shared" si="105"/>
        <v>983.35010292589311</v>
      </c>
      <c r="L794" s="5">
        <f t="shared" si="106"/>
        <v>2.4324778747028104E-2</v>
      </c>
    </row>
    <row r="795" spans="2:12">
      <c r="B795">
        <v>7.689453125</v>
      </c>
      <c r="C795">
        <v>1.2834892841056</v>
      </c>
      <c r="D795">
        <v>47.992808593749999</v>
      </c>
      <c r="E795" s="5">
        <f t="shared" si="100"/>
        <v>47992.80859375</v>
      </c>
      <c r="F795" s="5">
        <v>0.246922834776342</v>
      </c>
      <c r="G795">
        <f t="shared" si="101"/>
        <v>959.85617187499997</v>
      </c>
      <c r="H795">
        <f t="shared" si="102"/>
        <v>2.4692283477634198E-2</v>
      </c>
      <c r="I795">
        <f t="shared" si="103"/>
        <v>2.6392356276623237E-2</v>
      </c>
      <c r="J795">
        <f t="shared" si="104"/>
        <v>2669.6214326950303</v>
      </c>
      <c r="K795" s="5">
        <f t="shared" si="105"/>
        <v>983.55721256869424</v>
      </c>
      <c r="L795" s="5">
        <f t="shared" si="106"/>
        <v>2.4392356276623239E-2</v>
      </c>
    </row>
    <row r="796" spans="2:12">
      <c r="B796">
        <v>7.69921875</v>
      </c>
      <c r="C796">
        <v>1.28536229021847</v>
      </c>
      <c r="D796">
        <v>47.973789062500003</v>
      </c>
      <c r="E796" s="5">
        <f t="shared" si="100"/>
        <v>47973.7890625</v>
      </c>
      <c r="F796" s="5">
        <v>0.247465155553073</v>
      </c>
      <c r="G796">
        <f t="shared" si="101"/>
        <v>959.47578124999995</v>
      </c>
      <c r="H796">
        <f t="shared" si="102"/>
        <v>2.47465155553073E-2</v>
      </c>
      <c r="I796">
        <f t="shared" si="103"/>
        <v>2.6445280108953653E-2</v>
      </c>
      <c r="J796">
        <f t="shared" si="104"/>
        <v>2675.4136815244328</v>
      </c>
      <c r="K796" s="5">
        <f t="shared" si="105"/>
        <v>983.21946359564367</v>
      </c>
      <c r="L796" s="5">
        <f t="shared" si="106"/>
        <v>2.4445280108953655E-2</v>
      </c>
    </row>
    <row r="797" spans="2:12">
      <c r="B797">
        <v>7.708984375</v>
      </c>
      <c r="C797">
        <v>1.28680164925754</v>
      </c>
      <c r="D797">
        <v>47.978191406249998</v>
      </c>
      <c r="E797" s="5">
        <f t="shared" si="100"/>
        <v>47978.19140625</v>
      </c>
      <c r="F797" s="5">
        <v>0.248231692239642</v>
      </c>
      <c r="G797">
        <f t="shared" si="101"/>
        <v>959.56382812499999</v>
      </c>
      <c r="H797">
        <f t="shared" si="102"/>
        <v>2.48231692239642E-2</v>
      </c>
      <c r="I797">
        <f t="shared" si="103"/>
        <v>2.6520079877180067E-2</v>
      </c>
      <c r="J797">
        <f t="shared" si="104"/>
        <v>2683.6001421579726</v>
      </c>
      <c r="K797" s="5">
        <f t="shared" si="105"/>
        <v>983.38324341174177</v>
      </c>
      <c r="L797" s="5">
        <f t="shared" si="106"/>
        <v>2.4520079877180068E-2</v>
      </c>
    </row>
    <row r="798" spans="2:12">
      <c r="B798">
        <v>7.71875</v>
      </c>
      <c r="C798">
        <v>1.28834985662252</v>
      </c>
      <c r="D798">
        <v>47.996105468750002</v>
      </c>
      <c r="E798" s="5">
        <f t="shared" si="100"/>
        <v>47996.10546875</v>
      </c>
      <c r="F798" s="5">
        <v>0.248793687205762</v>
      </c>
      <c r="G798">
        <f t="shared" si="101"/>
        <v>959.92210937499999</v>
      </c>
      <c r="H798">
        <f t="shared" si="102"/>
        <v>2.4879368720576202E-2</v>
      </c>
      <c r="I798">
        <f t="shared" si="103"/>
        <v>2.6574916611375066E-2</v>
      </c>
      <c r="J798">
        <f t="shared" si="104"/>
        <v>2689.6017485319439</v>
      </c>
      <c r="K798" s="5">
        <f t="shared" si="105"/>
        <v>983.80436547717386</v>
      </c>
      <c r="L798" s="5">
        <f t="shared" si="106"/>
        <v>2.4574916611375064E-2</v>
      </c>
    </row>
    <row r="799" spans="2:12">
      <c r="B799">
        <v>7.728515625</v>
      </c>
      <c r="C799">
        <v>1.2886717449873699</v>
      </c>
      <c r="D799">
        <v>47.99909375</v>
      </c>
      <c r="E799" s="5">
        <f t="shared" si="100"/>
        <v>47999.09375</v>
      </c>
      <c r="F799" s="5">
        <v>0.24947628844529399</v>
      </c>
      <c r="G799">
        <f t="shared" si="101"/>
        <v>959.98187499999995</v>
      </c>
      <c r="H799">
        <f t="shared" si="102"/>
        <v>2.4947628844529397E-2</v>
      </c>
      <c r="I799">
        <f t="shared" si="103"/>
        <v>2.6641517474823087E-2</v>
      </c>
      <c r="J799">
        <f t="shared" si="104"/>
        <v>2696.8908800320128</v>
      </c>
      <c r="K799" s="5">
        <f t="shared" si="105"/>
        <v>983.93114651497535</v>
      </c>
      <c r="L799" s="5">
        <f t="shared" si="106"/>
        <v>2.4641517474823089E-2</v>
      </c>
    </row>
    <row r="800" spans="2:12">
      <c r="B800">
        <v>7.73828125</v>
      </c>
      <c r="C800">
        <v>1.29100377671421</v>
      </c>
      <c r="D800">
        <v>48.012789062499998</v>
      </c>
      <c r="E800" s="5">
        <f t="shared" si="100"/>
        <v>48012.7890625</v>
      </c>
      <c r="F800" s="5">
        <v>0.25015618302859399</v>
      </c>
      <c r="G800">
        <f t="shared" si="101"/>
        <v>960.25578125000004</v>
      </c>
      <c r="H800">
        <f t="shared" si="102"/>
        <v>2.5015618302859401E-2</v>
      </c>
      <c r="I800">
        <f t="shared" si="103"/>
        <v>2.6707849842927261E-2</v>
      </c>
      <c r="J800">
        <f t="shared" si="104"/>
        <v>2704.1506260591741</v>
      </c>
      <c r="K800" s="5">
        <f t="shared" si="105"/>
        <v>984.27717334686406</v>
      </c>
      <c r="L800" s="5">
        <f t="shared" si="106"/>
        <v>2.4707849842927263E-2</v>
      </c>
    </row>
    <row r="801" spans="2:12">
      <c r="B801">
        <v>7.748046875</v>
      </c>
      <c r="C801">
        <v>1.29367411136627</v>
      </c>
      <c r="D801">
        <v>48.018796875</v>
      </c>
      <c r="E801" s="5">
        <f t="shared" si="100"/>
        <v>48018.796875</v>
      </c>
      <c r="F801" s="5">
        <v>0.25079079205170302</v>
      </c>
      <c r="G801">
        <f t="shared" si="101"/>
        <v>960.37593749999996</v>
      </c>
      <c r="H801">
        <f t="shared" si="102"/>
        <v>2.5079079205170302E-2</v>
      </c>
      <c r="I801">
        <f t="shared" si="103"/>
        <v>2.6769760058497613E-2</v>
      </c>
      <c r="J801">
        <f t="shared" si="104"/>
        <v>2710.9263896022712</v>
      </c>
      <c r="K801" s="5">
        <f t="shared" si="105"/>
        <v>984.46128170330212</v>
      </c>
      <c r="L801" s="5">
        <f t="shared" si="106"/>
        <v>2.4769760058497615E-2</v>
      </c>
    </row>
    <row r="802" spans="2:12">
      <c r="B802">
        <v>7.7578125</v>
      </c>
      <c r="C802">
        <v>1.2944370973855299</v>
      </c>
      <c r="D802">
        <v>48.01408984375</v>
      </c>
      <c r="E802" s="5">
        <f t="shared" si="100"/>
        <v>48014.08984375</v>
      </c>
      <c r="F802" s="5">
        <v>0.25155890034511702</v>
      </c>
      <c r="G802">
        <f t="shared" si="101"/>
        <v>960.28179687500005</v>
      </c>
      <c r="H802">
        <f t="shared" si="102"/>
        <v>2.5155890034511703E-2</v>
      </c>
      <c r="I802">
        <f t="shared" si="103"/>
        <v>2.684468886473667E-2</v>
      </c>
      <c r="J802">
        <f t="shared" si="104"/>
        <v>2719.1269728011048</v>
      </c>
      <c r="K802" s="5">
        <f t="shared" si="105"/>
        <v>984.43854015933084</v>
      </c>
      <c r="L802" s="5">
        <f t="shared" si="106"/>
        <v>2.4844688864736668E-2</v>
      </c>
    </row>
    <row r="803" spans="2:12">
      <c r="B803">
        <v>7.767578125</v>
      </c>
      <c r="C803">
        <v>1.2952655088156499</v>
      </c>
      <c r="D803">
        <v>48.008796875000002</v>
      </c>
      <c r="E803" s="5">
        <f t="shared" si="100"/>
        <v>48008.796875</v>
      </c>
      <c r="F803" s="5">
        <v>0.25214391644112799</v>
      </c>
      <c r="G803">
        <f t="shared" si="101"/>
        <v>960.17593750000003</v>
      </c>
      <c r="H803">
        <f t="shared" si="102"/>
        <v>2.52143916441128E-2</v>
      </c>
      <c r="I803">
        <f t="shared" si="103"/>
        <v>2.6901753298551094E-2</v>
      </c>
      <c r="J803">
        <f t="shared" si="104"/>
        <v>2725.3723897599243</v>
      </c>
      <c r="K803" s="5">
        <f t="shared" si="105"/>
        <v>984.38618963537817</v>
      </c>
      <c r="L803" s="5">
        <f t="shared" si="106"/>
        <v>2.4901753298551092E-2</v>
      </c>
    </row>
    <row r="804" spans="2:12">
      <c r="B804">
        <v>7.77734375</v>
      </c>
      <c r="C804">
        <v>1.2989640235900899</v>
      </c>
      <c r="D804">
        <v>48.0071171875</v>
      </c>
      <c r="E804" s="5">
        <f t="shared" si="100"/>
        <v>48007.1171875</v>
      </c>
      <c r="F804" s="5">
        <v>0.25274575455114201</v>
      </c>
      <c r="G804">
        <f t="shared" si="101"/>
        <v>960.14234375000001</v>
      </c>
      <c r="H804">
        <f t="shared" si="102"/>
        <v>2.52745754551142E-2</v>
      </c>
      <c r="I804">
        <f t="shared" si="103"/>
        <v>2.69604552101287E-2</v>
      </c>
      <c r="J804">
        <f t="shared" si="104"/>
        <v>2731.7970204725357</v>
      </c>
      <c r="K804" s="5">
        <f t="shared" si="105"/>
        <v>984.40953386475962</v>
      </c>
      <c r="L804" s="5">
        <f t="shared" si="106"/>
        <v>2.4960455210128702E-2</v>
      </c>
    </row>
    <row r="805" spans="2:12">
      <c r="B805">
        <v>7.787109375</v>
      </c>
      <c r="C805">
        <v>1.30028265994042</v>
      </c>
      <c r="D805">
        <v>48.013128906250003</v>
      </c>
      <c r="E805" s="5">
        <f t="shared" si="100"/>
        <v>48013.12890625</v>
      </c>
      <c r="F805" s="5">
        <v>0.25349075440317398</v>
      </c>
      <c r="G805">
        <f t="shared" si="101"/>
        <v>960.262578125</v>
      </c>
      <c r="H805">
        <f t="shared" si="102"/>
        <v>2.5349075440317399E-2</v>
      </c>
      <c r="I805">
        <f t="shared" si="103"/>
        <v>2.7033116017686827E-2</v>
      </c>
      <c r="J805">
        <f t="shared" si="104"/>
        <v>2739.7493825557344</v>
      </c>
      <c r="K805" s="5">
        <f t="shared" si="105"/>
        <v>984.6043466604043</v>
      </c>
      <c r="L805" s="5">
        <f t="shared" si="106"/>
        <v>2.5033116017686825E-2</v>
      </c>
    </row>
    <row r="806" spans="2:12">
      <c r="B806">
        <v>7.796875</v>
      </c>
      <c r="C806">
        <v>1.3002991909161199</v>
      </c>
      <c r="D806">
        <v>48.018785156249997</v>
      </c>
      <c r="E806" s="5">
        <f t="shared" si="100"/>
        <v>48018.78515625</v>
      </c>
      <c r="F806" s="5">
        <v>0.25407454813830599</v>
      </c>
      <c r="G806">
        <f t="shared" si="101"/>
        <v>960.37570312499997</v>
      </c>
      <c r="H806">
        <f t="shared" si="102"/>
        <v>2.54074548138306E-2</v>
      </c>
      <c r="I806">
        <f t="shared" si="103"/>
        <v>2.7090050493006231E-2</v>
      </c>
      <c r="J806">
        <f t="shared" si="104"/>
        <v>2745.9805762070669</v>
      </c>
      <c r="K806" s="5">
        <f t="shared" si="105"/>
        <v>984.77640540644916</v>
      </c>
      <c r="L806" s="5">
        <f t="shared" si="106"/>
        <v>2.5090050493006232E-2</v>
      </c>
    </row>
    <row r="807" spans="2:12">
      <c r="B807">
        <v>7.806640625</v>
      </c>
      <c r="C807">
        <v>1.3032167917117501</v>
      </c>
      <c r="D807">
        <v>48.023886718749999</v>
      </c>
      <c r="E807" s="5">
        <f t="shared" si="100"/>
        <v>48023.88671875</v>
      </c>
      <c r="F807" s="5">
        <v>0.25476582231931399</v>
      </c>
      <c r="G807">
        <f t="shared" si="101"/>
        <v>960.47773437499995</v>
      </c>
      <c r="H807">
        <f t="shared" si="102"/>
        <v>2.5476582231931399E-2</v>
      </c>
      <c r="I807">
        <f t="shared" si="103"/>
        <v>2.7157462805821916E-2</v>
      </c>
      <c r="J807">
        <f t="shared" si="104"/>
        <v>2753.3585167831798</v>
      </c>
      <c r="K807" s="5">
        <f t="shared" si="105"/>
        <v>984.9474243567438</v>
      </c>
      <c r="L807" s="5">
        <f t="shared" si="106"/>
        <v>2.5157462805821918E-2</v>
      </c>
    </row>
    <row r="808" spans="2:12">
      <c r="B808">
        <v>7.81640625</v>
      </c>
      <c r="C808">
        <v>1.3033972354605801</v>
      </c>
      <c r="D808">
        <v>48.005316406250003</v>
      </c>
      <c r="E808" s="5">
        <f t="shared" si="100"/>
        <v>48005.31640625</v>
      </c>
      <c r="F808" s="5">
        <v>0.25538774207234399</v>
      </c>
      <c r="G808">
        <f t="shared" si="101"/>
        <v>960.106328125</v>
      </c>
      <c r="H808">
        <f t="shared" si="102"/>
        <v>2.55387742072344E-2</v>
      </c>
      <c r="I808">
        <f t="shared" si="103"/>
        <v>2.7218107866451818E-2</v>
      </c>
      <c r="J808">
        <f t="shared" si="104"/>
        <v>2759.9958154438191</v>
      </c>
      <c r="K808" s="5">
        <f t="shared" si="105"/>
        <v>984.62626685392127</v>
      </c>
      <c r="L808" s="5">
        <f t="shared" si="106"/>
        <v>2.5218107866451817E-2</v>
      </c>
    </row>
    <row r="809" spans="2:12">
      <c r="B809">
        <v>7.826171875</v>
      </c>
      <c r="C809">
        <v>1.3056456809863399</v>
      </c>
      <c r="D809">
        <v>48.009105468750001</v>
      </c>
      <c r="E809" s="5">
        <f t="shared" si="100"/>
        <v>48009.10546875</v>
      </c>
      <c r="F809" s="5">
        <v>0.25597709463909302</v>
      </c>
      <c r="G809">
        <f t="shared" si="101"/>
        <v>960.18210937499998</v>
      </c>
      <c r="H809">
        <f t="shared" si="102"/>
        <v>2.5597709463909303E-2</v>
      </c>
      <c r="I809">
        <f t="shared" si="103"/>
        <v>2.7275573819751639E-2</v>
      </c>
      <c r="J809">
        <f t="shared" si="104"/>
        <v>2766.2851767027182</v>
      </c>
      <c r="K809" s="5">
        <f t="shared" si="105"/>
        <v>984.76057204322478</v>
      </c>
      <c r="L809" s="5">
        <f t="shared" si="106"/>
        <v>2.5275573819751641E-2</v>
      </c>
    </row>
    <row r="810" spans="2:12">
      <c r="B810">
        <v>7.8359375</v>
      </c>
      <c r="C810">
        <v>1.3073801528662401</v>
      </c>
      <c r="D810">
        <v>48.026503906249999</v>
      </c>
      <c r="E810" s="5">
        <f t="shared" si="100"/>
        <v>48026.50390625</v>
      </c>
      <c r="F810" s="5">
        <v>0.25669654132798297</v>
      </c>
      <c r="G810">
        <f t="shared" si="101"/>
        <v>960.53007812500005</v>
      </c>
      <c r="H810">
        <f t="shared" si="102"/>
        <v>2.5669654132798297E-2</v>
      </c>
      <c r="I810">
        <f t="shared" si="103"/>
        <v>2.7345720374213851E-2</v>
      </c>
      <c r="J810">
        <f t="shared" si="104"/>
        <v>2773.962366355835</v>
      </c>
      <c r="K810" s="5">
        <f t="shared" si="105"/>
        <v>985.18655301461854</v>
      </c>
      <c r="L810" s="5">
        <f t="shared" si="106"/>
        <v>2.5345720374213853E-2</v>
      </c>
    </row>
    <row r="811" spans="2:12">
      <c r="B811">
        <v>7.845703125</v>
      </c>
      <c r="C811">
        <v>1.30903720855713</v>
      </c>
      <c r="D811">
        <v>48.043847656250001</v>
      </c>
      <c r="E811" s="5">
        <f t="shared" si="100"/>
        <v>48043.84765625</v>
      </c>
      <c r="F811" s="5">
        <v>0.25733179063536199</v>
      </c>
      <c r="G811">
        <f t="shared" si="101"/>
        <v>960.876953125</v>
      </c>
      <c r="H811">
        <f t="shared" si="102"/>
        <v>2.5733179063536199E-2</v>
      </c>
      <c r="I811">
        <f t="shared" si="103"/>
        <v>2.7407653535005329E-2</v>
      </c>
      <c r="J811">
        <f t="shared" si="104"/>
        <v>2780.7406411386578</v>
      </c>
      <c r="K811" s="5">
        <f t="shared" si="105"/>
        <v>985.60337181779073</v>
      </c>
      <c r="L811" s="5">
        <f t="shared" si="106"/>
        <v>2.5407653535005327E-2</v>
      </c>
    </row>
    <row r="812" spans="2:12">
      <c r="B812">
        <v>7.85546875</v>
      </c>
      <c r="C812">
        <v>1.31097133271396</v>
      </c>
      <c r="D812">
        <v>48.043082031250002</v>
      </c>
      <c r="E812" s="5">
        <f t="shared" si="100"/>
        <v>48043.08203125</v>
      </c>
      <c r="F812" s="5">
        <v>0.25797021226026101</v>
      </c>
      <c r="G812">
        <f t="shared" si="101"/>
        <v>960.86164062499995</v>
      </c>
      <c r="H812">
        <f t="shared" si="102"/>
        <v>2.57970212260261E-2</v>
      </c>
      <c r="I812">
        <f t="shared" si="103"/>
        <v>2.7469892114287749E-2</v>
      </c>
      <c r="J812">
        <f t="shared" si="104"/>
        <v>2787.5523424482226</v>
      </c>
      <c r="K812" s="5">
        <f t="shared" si="105"/>
        <v>985.64900876347735</v>
      </c>
      <c r="L812" s="5">
        <f t="shared" si="106"/>
        <v>2.5469892114287747E-2</v>
      </c>
    </row>
    <row r="813" spans="2:12">
      <c r="B813">
        <v>7.865234375</v>
      </c>
      <c r="C813">
        <v>1.3122333912178901</v>
      </c>
      <c r="D813">
        <v>48.044902343750003</v>
      </c>
      <c r="E813" s="5">
        <f t="shared" si="100"/>
        <v>48044.90234375</v>
      </c>
      <c r="F813" s="5">
        <v>0.25869978708215102</v>
      </c>
      <c r="G813">
        <f t="shared" si="101"/>
        <v>960.89804687499998</v>
      </c>
      <c r="H813">
        <f t="shared" si="102"/>
        <v>2.5869978708215103E-2</v>
      </c>
      <c r="I813">
        <f t="shared" si="103"/>
        <v>2.7541012312859964E-2</v>
      </c>
      <c r="J813">
        <f t="shared" si="104"/>
        <v>2795.3360925809584</v>
      </c>
      <c r="K813" s="5">
        <f t="shared" si="105"/>
        <v>985.75645888842166</v>
      </c>
      <c r="L813" s="5">
        <f t="shared" si="106"/>
        <v>2.5541012312859962E-2</v>
      </c>
    </row>
    <row r="814" spans="2:12">
      <c r="B814">
        <v>7.875</v>
      </c>
      <c r="C814">
        <v>1.31369533482939</v>
      </c>
      <c r="D814">
        <v>48.058667968750001</v>
      </c>
      <c r="E814" s="5">
        <f t="shared" si="100"/>
        <v>48058.66796875</v>
      </c>
      <c r="F814" s="5">
        <v>0.25934056611731598</v>
      </c>
      <c r="G814">
        <f t="shared" si="101"/>
        <v>961.17335937500002</v>
      </c>
      <c r="H814">
        <f t="shared" si="102"/>
        <v>2.59340566117316E-2</v>
      </c>
      <c r="I814">
        <f t="shared" si="103"/>
        <v>2.7603472374770725E-2</v>
      </c>
      <c r="J814">
        <f t="shared" si="104"/>
        <v>2802.1720340567822</v>
      </c>
      <c r="K814" s="5">
        <f t="shared" si="105"/>
        <v>986.10048369071956</v>
      </c>
      <c r="L814" s="5">
        <f t="shared" si="106"/>
        <v>2.5603472374770727E-2</v>
      </c>
    </row>
    <row r="815" spans="2:12">
      <c r="B815">
        <v>7.884765625</v>
      </c>
      <c r="C815">
        <v>1.3159110676497201</v>
      </c>
      <c r="D815">
        <v>48.060046874999998</v>
      </c>
      <c r="E815" s="5">
        <f t="shared" si="100"/>
        <v>48060.046875</v>
      </c>
      <c r="F815" s="5">
        <v>0.26003786479122898</v>
      </c>
      <c r="G815">
        <f t="shared" si="101"/>
        <v>961.20093750000001</v>
      </c>
      <c r="H815">
        <f t="shared" si="102"/>
        <v>2.6003786479122899E-2</v>
      </c>
      <c r="I815">
        <f t="shared" si="103"/>
        <v>2.7671437267228774E-2</v>
      </c>
      <c r="J815">
        <f t="shared" si="104"/>
        <v>2809.6104517118529</v>
      </c>
      <c r="K815" s="5">
        <f t="shared" si="105"/>
        <v>986.1958014422828</v>
      </c>
      <c r="L815" s="5">
        <f t="shared" si="106"/>
        <v>2.5671437267228772E-2</v>
      </c>
    </row>
    <row r="816" spans="2:12">
      <c r="B816">
        <v>7.89453125</v>
      </c>
      <c r="C816">
        <v>1.3181567192077599</v>
      </c>
      <c r="D816">
        <v>48.065078124999999</v>
      </c>
      <c r="E816" s="5">
        <f t="shared" si="100"/>
        <v>48065.078125</v>
      </c>
      <c r="F816" s="5">
        <v>0.26066633290611202</v>
      </c>
      <c r="G816">
        <f t="shared" si="101"/>
        <v>961.30156250000005</v>
      </c>
      <c r="H816">
        <f t="shared" si="102"/>
        <v>2.6066633290611201E-2</v>
      </c>
      <c r="I816">
        <f t="shared" si="103"/>
        <v>2.7732689367451505E-2</v>
      </c>
      <c r="J816">
        <f t="shared" si="104"/>
        <v>2816.3141878207298</v>
      </c>
      <c r="K816" s="5">
        <f t="shared" si="105"/>
        <v>986.35945781137912</v>
      </c>
      <c r="L816" s="5">
        <f t="shared" si="106"/>
        <v>2.5732689367451503E-2</v>
      </c>
    </row>
    <row r="817" spans="2:12">
      <c r="B817">
        <v>7.904296875</v>
      </c>
      <c r="C817">
        <v>1.3202116824686501</v>
      </c>
      <c r="D817">
        <v>48.081191406249999</v>
      </c>
      <c r="E817" s="5">
        <f t="shared" si="100"/>
        <v>48081.19140625</v>
      </c>
      <c r="F817" s="5">
        <v>0.26131709455512497</v>
      </c>
      <c r="G817">
        <f t="shared" si="101"/>
        <v>961.62382812500005</v>
      </c>
      <c r="H817">
        <f t="shared" si="102"/>
        <v>2.6131709455512499E-2</v>
      </c>
      <c r="I817">
        <f t="shared" si="103"/>
        <v>2.7796110298623278E-2</v>
      </c>
      <c r="J817">
        <f t="shared" si="104"/>
        <v>2823.255291632825</v>
      </c>
      <c r="K817" s="5">
        <f t="shared" si="105"/>
        <v>986.7527026070602</v>
      </c>
      <c r="L817" s="5">
        <f t="shared" si="106"/>
        <v>2.5796110298623279E-2</v>
      </c>
    </row>
    <row r="818" spans="2:12">
      <c r="B818">
        <v>7.9140625</v>
      </c>
      <c r="C818">
        <v>1.3206407893449099</v>
      </c>
      <c r="D818">
        <v>48.08628515625</v>
      </c>
      <c r="E818" s="5">
        <f t="shared" si="100"/>
        <v>48086.28515625</v>
      </c>
      <c r="F818" s="5">
        <v>0.26210054056718901</v>
      </c>
      <c r="G818">
        <f t="shared" si="101"/>
        <v>961.725703125</v>
      </c>
      <c r="H818">
        <f t="shared" si="102"/>
        <v>2.62100540567189E-2</v>
      </c>
      <c r="I818">
        <f t="shared" si="103"/>
        <v>2.7872456843470145E-2</v>
      </c>
      <c r="J818">
        <f t="shared" si="104"/>
        <v>2831.61103923359</v>
      </c>
      <c r="K818" s="5">
        <f t="shared" si="105"/>
        <v>986.93258579164228</v>
      </c>
      <c r="L818" s="5">
        <f t="shared" si="106"/>
        <v>2.5872456843470143E-2</v>
      </c>
    </row>
    <row r="819" spans="2:12">
      <c r="B819">
        <v>7.923828125</v>
      </c>
      <c r="C819">
        <v>1.3219832908362199</v>
      </c>
      <c r="D819">
        <v>48.106300781249999</v>
      </c>
      <c r="E819" s="5">
        <f t="shared" si="100"/>
        <v>48106.30078125</v>
      </c>
      <c r="F819" s="5">
        <v>0.26272775721736302</v>
      </c>
      <c r="G819">
        <f t="shared" si="101"/>
        <v>962.12601562500004</v>
      </c>
      <c r="H819">
        <f t="shared" si="102"/>
        <v>2.6272775721736301E-2</v>
      </c>
      <c r="I819">
        <f t="shared" si="103"/>
        <v>2.7933574689745722E-2</v>
      </c>
      <c r="J819">
        <f t="shared" si="104"/>
        <v>2838.3000819192202</v>
      </c>
      <c r="K819" s="5">
        <f t="shared" si="105"/>
        <v>987.40373664956337</v>
      </c>
      <c r="L819" s="5">
        <f t="shared" si="106"/>
        <v>2.593357468974572E-2</v>
      </c>
    </row>
    <row r="820" spans="2:12">
      <c r="B820">
        <v>7.93359375</v>
      </c>
      <c r="C820">
        <v>1.3247833121568</v>
      </c>
      <c r="D820">
        <v>48.092828124999997</v>
      </c>
      <c r="E820" s="5">
        <f t="shared" si="100"/>
        <v>48092.828125</v>
      </c>
      <c r="F820" s="5">
        <v>0.26343236095271999</v>
      </c>
      <c r="G820">
        <f t="shared" si="101"/>
        <v>961.8565625</v>
      </c>
      <c r="H820">
        <f t="shared" si="102"/>
        <v>2.6343236095271998E-2</v>
      </c>
      <c r="I820">
        <f t="shared" si="103"/>
        <v>2.8002228907736598E-2</v>
      </c>
      <c r="J820">
        <f t="shared" si="104"/>
        <v>2845.8139428072323</v>
      </c>
      <c r="K820" s="5">
        <f t="shared" si="105"/>
        <v>987.19497701572425</v>
      </c>
      <c r="L820" s="5">
        <f t="shared" si="106"/>
        <v>2.60022289077366E-2</v>
      </c>
    </row>
    <row r="821" spans="2:12">
      <c r="B821">
        <v>7.943359375</v>
      </c>
      <c r="C821">
        <v>1.3259171973913899</v>
      </c>
      <c r="D821">
        <v>48.090593749999996</v>
      </c>
      <c r="E821" s="5">
        <f t="shared" si="100"/>
        <v>48090.59375</v>
      </c>
      <c r="F821" s="5">
        <v>0.26408868143335001</v>
      </c>
      <c r="G821">
        <f t="shared" si="101"/>
        <v>961.81187499999999</v>
      </c>
      <c r="H821">
        <f t="shared" si="102"/>
        <v>2.6408868143335002E-2</v>
      </c>
      <c r="I821">
        <f t="shared" si="103"/>
        <v>2.8066174328082116E-2</v>
      </c>
      <c r="J821">
        <f t="shared" si="104"/>
        <v>2852.8124493369473</v>
      </c>
      <c r="K821" s="5">
        <f t="shared" si="105"/>
        <v>987.21223798556878</v>
      </c>
      <c r="L821" s="5">
        <f t="shared" si="106"/>
        <v>2.6066174328082118E-2</v>
      </c>
    </row>
    <row r="822" spans="2:12">
      <c r="B822">
        <v>7.953125</v>
      </c>
      <c r="C822">
        <v>1.3275623787194499</v>
      </c>
      <c r="D822">
        <v>48.08123046875</v>
      </c>
      <c r="E822" s="5">
        <f t="shared" si="100"/>
        <v>48081.23046875</v>
      </c>
      <c r="F822" s="5">
        <v>0.26470533339306701</v>
      </c>
      <c r="G822">
        <f t="shared" si="101"/>
        <v>961.62460937499998</v>
      </c>
      <c r="H822">
        <f t="shared" si="102"/>
        <v>2.6470533339306702E-2</v>
      </c>
      <c r="I822">
        <f t="shared" si="103"/>
        <v>2.8126251111887088E-2</v>
      </c>
      <c r="J822">
        <f t="shared" si="104"/>
        <v>2859.3875529404827</v>
      </c>
      <c r="K822" s="5">
        <f t="shared" si="105"/>
        <v>987.07932565735871</v>
      </c>
      <c r="L822" s="5">
        <f t="shared" si="106"/>
        <v>2.612625111188709E-2</v>
      </c>
    </row>
    <row r="823" spans="2:12">
      <c r="B823">
        <v>7.962890625</v>
      </c>
      <c r="C823">
        <v>1.32913293782622</v>
      </c>
      <c r="D823">
        <v>48.088332031249998</v>
      </c>
      <c r="E823" s="5">
        <f t="shared" si="100"/>
        <v>48088.33203125</v>
      </c>
      <c r="F823" s="5">
        <v>0.26538540259935001</v>
      </c>
      <c r="G823">
        <f t="shared" si="101"/>
        <v>961.76664062500004</v>
      </c>
      <c r="H823">
        <f t="shared" si="102"/>
        <v>2.6538540259935E-2</v>
      </c>
      <c r="I823">
        <f t="shared" si="103"/>
        <v>2.8192502081283828E-2</v>
      </c>
      <c r="J823">
        <f t="shared" si="104"/>
        <v>2866.6383902861085</v>
      </c>
      <c r="K823" s="5">
        <f t="shared" si="105"/>
        <v>987.290523337889</v>
      </c>
      <c r="L823" s="5">
        <f t="shared" si="106"/>
        <v>2.6192502081283826E-2</v>
      </c>
    </row>
    <row r="824" spans="2:12">
      <c r="B824">
        <v>7.97265625</v>
      </c>
      <c r="C824">
        <v>1.3305277097970201</v>
      </c>
      <c r="D824">
        <v>48.083234375000004</v>
      </c>
      <c r="E824" s="5">
        <f t="shared" si="100"/>
        <v>48083.234375</v>
      </c>
      <c r="F824" s="5">
        <v>0.26606721803546002</v>
      </c>
      <c r="G824">
        <f t="shared" si="101"/>
        <v>961.66468750000001</v>
      </c>
      <c r="H824">
        <f t="shared" si="102"/>
        <v>2.6606721803546E-2</v>
      </c>
      <c r="I824">
        <f t="shared" si="103"/>
        <v>2.8258918759047319E-2</v>
      </c>
      <c r="J824">
        <f t="shared" si="104"/>
        <v>2873.9073635839336</v>
      </c>
      <c r="K824" s="5">
        <f t="shared" si="105"/>
        <v>987.25143230860647</v>
      </c>
      <c r="L824" s="5">
        <f t="shared" si="106"/>
        <v>2.6258918759047317E-2</v>
      </c>
    </row>
    <row r="825" spans="2:12">
      <c r="B825">
        <v>7.982421875</v>
      </c>
      <c r="C825">
        <v>1.3319135177880499</v>
      </c>
      <c r="D825">
        <v>48.086734374999999</v>
      </c>
      <c r="E825" s="5">
        <f t="shared" si="100"/>
        <v>48086.734375</v>
      </c>
      <c r="F825" s="5">
        <v>0.266619899775833</v>
      </c>
      <c r="G825">
        <f t="shared" si="101"/>
        <v>961.73468749999995</v>
      </c>
      <c r="H825">
        <f t="shared" si="102"/>
        <v>2.66619899775833E-2</v>
      </c>
      <c r="I825">
        <f t="shared" si="103"/>
        <v>2.8312753090358724E-2</v>
      </c>
      <c r="J825">
        <f t="shared" si="104"/>
        <v>2879.7992619743109</v>
      </c>
      <c r="K825" s="5">
        <f t="shared" si="105"/>
        <v>987.37644809921915</v>
      </c>
      <c r="L825" s="5">
        <f t="shared" si="106"/>
        <v>2.6312753090358725E-2</v>
      </c>
    </row>
    <row r="826" spans="2:12">
      <c r="B826">
        <v>7.9921875</v>
      </c>
      <c r="C826">
        <v>1.3335301773622601</v>
      </c>
      <c r="D826">
        <v>48.079808593750002</v>
      </c>
      <c r="E826" s="5">
        <f t="shared" si="100"/>
        <v>48079.80859375</v>
      </c>
      <c r="F826" s="5">
        <v>0.26736553991213402</v>
      </c>
      <c r="G826">
        <f t="shared" si="101"/>
        <v>961.59617187499998</v>
      </c>
      <c r="H826">
        <f t="shared" si="102"/>
        <v>2.6736553991213403E-2</v>
      </c>
      <c r="I826">
        <f t="shared" si="103"/>
        <v>2.8385378069938974E-2</v>
      </c>
      <c r="J826">
        <f t="shared" si="104"/>
        <v>2887.7477028644712</v>
      </c>
      <c r="K826" s="5">
        <f t="shared" si="105"/>
        <v>987.30593984208008</v>
      </c>
      <c r="L826" s="5">
        <f t="shared" si="106"/>
        <v>2.6385378069938976E-2</v>
      </c>
    </row>
    <row r="827" spans="2:12">
      <c r="B827">
        <v>8.001953125</v>
      </c>
      <c r="C827">
        <v>1.3366431230679201</v>
      </c>
      <c r="D827">
        <v>48.110121093750003</v>
      </c>
      <c r="E827" s="5">
        <f t="shared" si="100"/>
        <v>48110.12109375</v>
      </c>
      <c r="F827" s="5">
        <v>0.26804258232004902</v>
      </c>
      <c r="G827">
        <f t="shared" si="101"/>
        <v>962.20242187500003</v>
      </c>
      <c r="H827">
        <f t="shared" si="102"/>
        <v>2.6804258232004902E-2</v>
      </c>
      <c r="I827">
        <f t="shared" si="103"/>
        <v>2.8451317096242261E-2</v>
      </c>
      <c r="J827">
        <f t="shared" si="104"/>
        <v>2894.9643995982346</v>
      </c>
      <c r="K827" s="5">
        <f t="shared" si="105"/>
        <v>987.99354406239809</v>
      </c>
      <c r="L827" s="5">
        <f t="shared" si="106"/>
        <v>2.6451317096242263E-2</v>
      </c>
    </row>
    <row r="828" spans="2:12">
      <c r="B828">
        <v>8.01171875</v>
      </c>
      <c r="C828">
        <v>1.33699912112206</v>
      </c>
      <c r="D828">
        <v>48.095234374999997</v>
      </c>
      <c r="E828" s="5">
        <f t="shared" si="100"/>
        <v>48095.234375</v>
      </c>
      <c r="F828" s="5">
        <v>0.26867425185628202</v>
      </c>
      <c r="G828">
        <f t="shared" si="101"/>
        <v>961.90468750000002</v>
      </c>
      <c r="H828">
        <f t="shared" si="102"/>
        <v>2.6867425185628201E-2</v>
      </c>
      <c r="I828">
        <f t="shared" si="103"/>
        <v>2.8512833213110655E-2</v>
      </c>
      <c r="J828">
        <f t="shared" si="104"/>
        <v>2901.6970310088959</v>
      </c>
      <c r="K828" s="5">
        <f t="shared" si="105"/>
        <v>987.74858972711138</v>
      </c>
      <c r="L828" s="5">
        <f t="shared" si="106"/>
        <v>2.6512833213110657E-2</v>
      </c>
    </row>
    <row r="829" spans="2:12">
      <c r="B829">
        <v>8.021484375</v>
      </c>
      <c r="C829">
        <v>1.33901694789529</v>
      </c>
      <c r="D829">
        <v>48.100394531249997</v>
      </c>
      <c r="E829" s="5">
        <f t="shared" si="100"/>
        <v>48100.39453125</v>
      </c>
      <c r="F829" s="5">
        <v>0.269443757133558</v>
      </c>
      <c r="G829">
        <f t="shared" si="101"/>
        <v>962.00789062499996</v>
      </c>
      <c r="H829">
        <f t="shared" si="102"/>
        <v>2.6944375713355801E-2</v>
      </c>
      <c r="I829">
        <f t="shared" si="103"/>
        <v>2.8587767564670942E-2</v>
      </c>
      <c r="J829">
        <f t="shared" si="104"/>
        <v>2909.8982211154112</v>
      </c>
      <c r="K829" s="5">
        <f t="shared" si="105"/>
        <v>987.92859266921289</v>
      </c>
      <c r="L829" s="5">
        <f t="shared" si="106"/>
        <v>2.658776756467094E-2</v>
      </c>
    </row>
    <row r="830" spans="2:12">
      <c r="B830">
        <v>8.03125</v>
      </c>
      <c r="C830">
        <v>1.34049949701875</v>
      </c>
      <c r="D830">
        <v>48.118003906250003</v>
      </c>
      <c r="E830" s="5">
        <f t="shared" si="100"/>
        <v>48118.00390625</v>
      </c>
      <c r="F830" s="5">
        <v>0.27002871502190801</v>
      </c>
      <c r="G830">
        <f t="shared" si="101"/>
        <v>962.36007812499997</v>
      </c>
      <c r="H830">
        <f t="shared" si="102"/>
        <v>2.7002871502190801E-2</v>
      </c>
      <c r="I830">
        <f t="shared" si="103"/>
        <v>2.8644726952435258E-2</v>
      </c>
      <c r="J830">
        <f t="shared" si="104"/>
        <v>2916.1321413092769</v>
      </c>
      <c r="K830" s="5">
        <f t="shared" si="105"/>
        <v>988.34656365344767</v>
      </c>
      <c r="L830" s="5">
        <f t="shared" si="106"/>
        <v>2.664472695243526E-2</v>
      </c>
    </row>
    <row r="831" spans="2:12">
      <c r="B831">
        <v>8.041015625</v>
      </c>
      <c r="C831">
        <v>1.34214758872986</v>
      </c>
      <c r="D831">
        <v>48.100777343750003</v>
      </c>
      <c r="E831" s="5">
        <f t="shared" si="100"/>
        <v>48100.77734375</v>
      </c>
      <c r="F831" s="5">
        <v>0.270708260359243</v>
      </c>
      <c r="G831">
        <f t="shared" si="101"/>
        <v>962.01554687500004</v>
      </c>
      <c r="H831">
        <f t="shared" si="102"/>
        <v>2.7070826035924301E-2</v>
      </c>
      <c r="I831">
        <f t="shared" si="103"/>
        <v>2.8710892576229247E-2</v>
      </c>
      <c r="J831">
        <f t="shared" si="104"/>
        <v>2923.3736380054102</v>
      </c>
      <c r="K831" s="5">
        <f t="shared" si="105"/>
        <v>988.0581023883077</v>
      </c>
      <c r="L831" s="5">
        <f t="shared" si="106"/>
        <v>2.6710892576229248E-2</v>
      </c>
    </row>
    <row r="832" spans="2:12">
      <c r="B832">
        <v>8.05078125</v>
      </c>
      <c r="C832">
        <v>1.3447835808619899</v>
      </c>
      <c r="D832">
        <v>48.092328125000002</v>
      </c>
      <c r="E832" s="5">
        <f t="shared" si="100"/>
        <v>48092.328125</v>
      </c>
      <c r="F832" s="5">
        <v>0.27134895208291698</v>
      </c>
      <c r="G832">
        <f t="shared" si="101"/>
        <v>961.8465625</v>
      </c>
      <c r="H832">
        <f t="shared" si="102"/>
        <v>2.7134895208291699E-2</v>
      </c>
      <c r="I832">
        <f t="shared" si="103"/>
        <v>2.8773271111860454E-2</v>
      </c>
      <c r="J832">
        <f t="shared" si="104"/>
        <v>2930.2006568375677</v>
      </c>
      <c r="K832" s="5">
        <f t="shared" si="105"/>
        <v>987.94616817989311</v>
      </c>
      <c r="L832" s="5">
        <f t="shared" si="106"/>
        <v>2.6773271111860456E-2</v>
      </c>
    </row>
    <row r="833" spans="2:12">
      <c r="B833">
        <v>8.060546875</v>
      </c>
      <c r="C833">
        <v>1.34519475977868</v>
      </c>
      <c r="D833">
        <v>48.082390625000002</v>
      </c>
      <c r="E833" s="5">
        <f t="shared" si="100"/>
        <v>48082.390625</v>
      </c>
      <c r="F833" s="5">
        <v>0.27188166859559698</v>
      </c>
      <c r="G833">
        <f t="shared" si="101"/>
        <v>961.64781249999999</v>
      </c>
      <c r="H833">
        <f t="shared" si="102"/>
        <v>2.7188166859559697E-2</v>
      </c>
      <c r="I833">
        <f t="shared" si="103"/>
        <v>2.882513408537575E-2</v>
      </c>
      <c r="J833">
        <f t="shared" si="104"/>
        <v>2935.8767999739493</v>
      </c>
      <c r="K833" s="5">
        <f t="shared" si="105"/>
        <v>987.79325368638058</v>
      </c>
      <c r="L833" s="5">
        <f t="shared" si="106"/>
        <v>2.6825134085375752E-2</v>
      </c>
    </row>
    <row r="834" spans="2:12">
      <c r="B834">
        <v>8.0703125</v>
      </c>
      <c r="C834">
        <v>1.34623947087675</v>
      </c>
      <c r="D834">
        <v>48.086152343750001</v>
      </c>
      <c r="E834" s="5">
        <f t="shared" si="100"/>
        <v>48086.15234375</v>
      </c>
      <c r="F834" s="5">
        <v>0.27264319942332799</v>
      </c>
      <c r="G834">
        <f t="shared" si="101"/>
        <v>961.72304687500002</v>
      </c>
      <c r="H834">
        <f t="shared" si="102"/>
        <v>2.7264319942332797E-2</v>
      </c>
      <c r="I834">
        <f t="shared" si="103"/>
        <v>2.8899268759501523E-2</v>
      </c>
      <c r="J834">
        <f t="shared" si="104"/>
        <v>2943.9904693836438</v>
      </c>
      <c r="K834" s="5">
        <f t="shared" si="105"/>
        <v>987.94377172091515</v>
      </c>
      <c r="L834" s="5">
        <f t="shared" si="106"/>
        <v>2.6899268759501521E-2</v>
      </c>
    </row>
    <row r="835" spans="2:12">
      <c r="B835">
        <v>8.080078125</v>
      </c>
      <c r="C835">
        <v>1.3483717339113399</v>
      </c>
      <c r="D835">
        <v>48.117441406250002</v>
      </c>
      <c r="E835" s="5">
        <f t="shared" si="100"/>
        <v>48117.44140625</v>
      </c>
      <c r="F835" s="5">
        <v>0.27326639974489803</v>
      </c>
      <c r="G835">
        <f t="shared" si="101"/>
        <v>962.34882812499995</v>
      </c>
      <c r="H835">
        <f t="shared" si="102"/>
        <v>2.7326639974489801E-2</v>
      </c>
      <c r="I835">
        <f t="shared" si="103"/>
        <v>2.8959932933920587E-2</v>
      </c>
      <c r="J835">
        <f t="shared" si="104"/>
        <v>2950.6298599529387</v>
      </c>
      <c r="K835" s="5">
        <f t="shared" si="105"/>
        <v>988.646588081044</v>
      </c>
      <c r="L835" s="5">
        <f t="shared" si="106"/>
        <v>2.6959932933920589E-2</v>
      </c>
    </row>
    <row r="836" spans="2:12">
      <c r="B836">
        <v>8.08984375</v>
      </c>
      <c r="C836">
        <v>1.3495922321453699</v>
      </c>
      <c r="D836">
        <v>48.121742187499997</v>
      </c>
      <c r="E836" s="5">
        <f t="shared" si="100"/>
        <v>48121.7421875</v>
      </c>
      <c r="F836" s="5">
        <v>0.27392516494728603</v>
      </c>
      <c r="G836">
        <f t="shared" si="101"/>
        <v>962.43484375000003</v>
      </c>
      <c r="H836">
        <f t="shared" si="102"/>
        <v>2.7392516494728604E-2</v>
      </c>
      <c r="I836">
        <f t="shared" si="103"/>
        <v>2.9024055098795513E-2</v>
      </c>
      <c r="J836">
        <f t="shared" si="104"/>
        <v>2957.6477102876747</v>
      </c>
      <c r="K836" s="5">
        <f t="shared" si="105"/>
        <v>988.79835608252347</v>
      </c>
      <c r="L836" s="5">
        <f t="shared" si="106"/>
        <v>2.7024055098795512E-2</v>
      </c>
    </row>
    <row r="837" spans="2:12">
      <c r="B837">
        <v>8.099609375</v>
      </c>
      <c r="C837">
        <v>1.3519718777388301</v>
      </c>
      <c r="D837">
        <v>48.151523437500003</v>
      </c>
      <c r="E837" s="5">
        <f t="shared" si="100"/>
        <v>48151.5234375</v>
      </c>
      <c r="F837" s="5">
        <v>0.27462837169878201</v>
      </c>
      <c r="G837">
        <f t="shared" si="101"/>
        <v>963.03046874999995</v>
      </c>
      <c r="H837">
        <f t="shared" si="102"/>
        <v>2.7462837169878202E-2</v>
      </c>
      <c r="I837">
        <f t="shared" si="103"/>
        <v>2.9092498529669227E-2</v>
      </c>
      <c r="J837">
        <f t="shared" si="104"/>
        <v>2965.1385015796482</v>
      </c>
      <c r="K837" s="5">
        <f t="shared" si="105"/>
        <v>989.47801770291267</v>
      </c>
      <c r="L837" s="5">
        <f t="shared" si="106"/>
        <v>2.7092498529669225E-2</v>
      </c>
    </row>
    <row r="838" spans="2:12">
      <c r="B838">
        <v>8.109375</v>
      </c>
      <c r="C838">
        <v>1.3535380130633701</v>
      </c>
      <c r="D838">
        <v>48.158277343750001</v>
      </c>
      <c r="E838" s="5">
        <f t="shared" si="100"/>
        <v>48158.27734375</v>
      </c>
      <c r="F838" s="5">
        <v>0.27528943610377599</v>
      </c>
      <c r="G838">
        <f t="shared" si="101"/>
        <v>963.16554687500002</v>
      </c>
      <c r="H838">
        <f t="shared" si="102"/>
        <v>2.7528943610377599E-2</v>
      </c>
      <c r="I838">
        <f t="shared" si="103"/>
        <v>2.9156835955385964E-2</v>
      </c>
      <c r="J838">
        <f t="shared" si="104"/>
        <v>2972.1799111372165</v>
      </c>
      <c r="K838" s="5">
        <f t="shared" si="105"/>
        <v>989.68047690238041</v>
      </c>
      <c r="L838" s="5">
        <f t="shared" si="106"/>
        <v>2.7156835955385962E-2</v>
      </c>
    </row>
    <row r="839" spans="2:12">
      <c r="B839">
        <v>8.119140625</v>
      </c>
      <c r="C839">
        <v>1.3542205560952401</v>
      </c>
      <c r="D839">
        <v>48.141144531249999</v>
      </c>
      <c r="E839" s="5">
        <f t="shared" si="100"/>
        <v>48141.14453125</v>
      </c>
      <c r="F839" s="5">
        <v>0.27602864429354701</v>
      </c>
      <c r="G839">
        <f t="shared" si="101"/>
        <v>962.82289062500001</v>
      </c>
      <c r="H839">
        <f t="shared" si="102"/>
        <v>2.7602864429354702E-2</v>
      </c>
      <c r="I839">
        <f t="shared" si="103"/>
        <v>2.9228773744212698E-2</v>
      </c>
      <c r="J839">
        <f t="shared" si="104"/>
        <v>2980.0531424353585</v>
      </c>
      <c r="K839" s="5">
        <f t="shared" si="105"/>
        <v>989.39956034440127</v>
      </c>
      <c r="L839" s="5">
        <f t="shared" si="106"/>
        <v>2.7228773744212696E-2</v>
      </c>
    </row>
    <row r="840" spans="2:12">
      <c r="B840">
        <v>8.12890625</v>
      </c>
      <c r="C840">
        <v>1.35684607084841</v>
      </c>
      <c r="D840">
        <v>48.150906249999998</v>
      </c>
      <c r="E840" s="5">
        <f t="shared" si="100"/>
        <v>48150.90625</v>
      </c>
      <c r="F840" s="5">
        <v>0.27668420807458499</v>
      </c>
      <c r="G840">
        <f t="shared" si="101"/>
        <v>963.01812500000005</v>
      </c>
      <c r="H840">
        <f t="shared" si="102"/>
        <v>2.7668420807458498E-2</v>
      </c>
      <c r="I840">
        <f t="shared" si="103"/>
        <v>2.9292567150559515E-2</v>
      </c>
      <c r="J840">
        <f t="shared" si="104"/>
        <v>2987.0350117929861</v>
      </c>
      <c r="K840" s="5">
        <f t="shared" si="105"/>
        <v>989.66331572770969</v>
      </c>
      <c r="L840" s="5">
        <f t="shared" si="106"/>
        <v>2.7292567150559513E-2</v>
      </c>
    </row>
    <row r="841" spans="2:12">
      <c r="B841">
        <v>8.138671875</v>
      </c>
      <c r="C841">
        <v>1.3587877620011599</v>
      </c>
      <c r="D841">
        <v>48.144757812500004</v>
      </c>
      <c r="E841" s="5">
        <f t="shared" ref="E841:E904" si="107" xml:space="preserve"> D841*R$3</f>
        <v>48144.7578125</v>
      </c>
      <c r="F841" s="5">
        <v>0.27733264141716102</v>
      </c>
      <c r="G841">
        <f t="shared" ref="G841:G904" si="108" xml:space="preserve"> E841/C$3</f>
        <v>962.89515625000001</v>
      </c>
      <c r="H841">
        <f t="shared" ref="H841:H904" si="109" xml:space="preserve"> F841/C$4</f>
        <v>2.7733264141716101E-2</v>
      </c>
      <c r="I841">
        <f t="shared" ref="I841:I904" si="110">L841+0.002</f>
        <v>2.9355662685368045E-2</v>
      </c>
      <c r="J841">
        <f t="shared" ref="J841:J904" si="111">L841*G$2</f>
        <v>2993.9405026001059</v>
      </c>
      <c r="K841" s="5">
        <f t="shared" ref="K841:K904" si="112" xml:space="preserve"> G841 * (1 + H841)</f>
        <v>989.59938195906022</v>
      </c>
      <c r="L841" s="5">
        <f t="shared" ref="L841:L904" si="113">LN(1 + H841)</f>
        <v>2.7355662685368046E-2</v>
      </c>
    </row>
    <row r="842" spans="2:12">
      <c r="B842">
        <v>8.1484375</v>
      </c>
      <c r="C842">
        <v>1.3593614567071199</v>
      </c>
      <c r="D842">
        <v>48.105925781250001</v>
      </c>
      <c r="E842" s="5">
        <f t="shared" si="107"/>
        <v>48105.92578125</v>
      </c>
      <c r="F842" s="5">
        <v>0.27795493951998701</v>
      </c>
      <c r="G842">
        <f t="shared" si="108"/>
        <v>962.11851562499999</v>
      </c>
      <c r="H842">
        <f t="shared" si="109"/>
        <v>2.77954939519987E-2</v>
      </c>
      <c r="I842">
        <f t="shared" si="110"/>
        <v>2.9416211398254274E-2</v>
      </c>
      <c r="J842">
        <f t="shared" si="111"/>
        <v>3000.5672564819388</v>
      </c>
      <c r="K842" s="5">
        <f t="shared" si="112"/>
        <v>988.86107500716059</v>
      </c>
      <c r="L842" s="5">
        <f t="shared" si="113"/>
        <v>2.7416211398254273E-2</v>
      </c>
    </row>
    <row r="843" spans="2:12">
      <c r="B843">
        <v>8.158203125</v>
      </c>
      <c r="C843">
        <v>1.3608143199235201</v>
      </c>
      <c r="D843">
        <v>48.141292968750001</v>
      </c>
      <c r="E843" s="5">
        <f t="shared" si="107"/>
        <v>48141.29296875</v>
      </c>
      <c r="F843" s="5">
        <v>0.278579740552232</v>
      </c>
      <c r="G843">
        <f t="shared" si="108"/>
        <v>962.82585937500005</v>
      </c>
      <c r="H843">
        <f t="shared" si="109"/>
        <v>2.7857974055223202E-2</v>
      </c>
      <c r="I843">
        <f t="shared" si="110"/>
        <v>2.9476999954512563E-2</v>
      </c>
      <c r="J843">
        <f t="shared" si="111"/>
        <v>3007.2202600216278</v>
      </c>
      <c r="K843" s="5">
        <f t="shared" si="112"/>
        <v>989.64823718516675</v>
      </c>
      <c r="L843" s="5">
        <f t="shared" si="113"/>
        <v>2.7476999954512565E-2</v>
      </c>
    </row>
    <row r="844" spans="2:12">
      <c r="B844">
        <v>8.16796875</v>
      </c>
      <c r="C844">
        <v>1.3627514708787201</v>
      </c>
      <c r="D844">
        <v>48.161535156249997</v>
      </c>
      <c r="E844" s="5">
        <f t="shared" si="107"/>
        <v>48161.53515625</v>
      </c>
      <c r="F844" s="5">
        <v>0.279309140751138</v>
      </c>
      <c r="G844">
        <f t="shared" si="108"/>
        <v>963.23070312499999</v>
      </c>
      <c r="H844">
        <f t="shared" si="109"/>
        <v>2.7930914075113798E-2</v>
      </c>
      <c r="I844">
        <f t="shared" si="110"/>
        <v>2.9547960567581751E-2</v>
      </c>
      <c r="J844">
        <f t="shared" si="111"/>
        <v>3014.9865443189847</v>
      </c>
      <c r="K844" s="5">
        <f t="shared" si="112"/>
        <v>990.13461712849585</v>
      </c>
      <c r="L844" s="5">
        <f t="shared" si="113"/>
        <v>2.7547960567581749E-2</v>
      </c>
    </row>
    <row r="845" spans="2:12">
      <c r="B845">
        <v>8.177734375</v>
      </c>
      <c r="C845">
        <v>1.36343541089445</v>
      </c>
      <c r="D845">
        <v>48.161699218750002</v>
      </c>
      <c r="E845" s="5">
        <f t="shared" si="107"/>
        <v>48161.69921875</v>
      </c>
      <c r="F845" s="5">
        <v>0.27998207951895898</v>
      </c>
      <c r="G845">
        <f t="shared" si="108"/>
        <v>963.23398437499998</v>
      </c>
      <c r="H845">
        <f t="shared" si="109"/>
        <v>2.79982079518959E-2</v>
      </c>
      <c r="I845">
        <f t="shared" si="110"/>
        <v>2.9613423793998568E-2</v>
      </c>
      <c r="J845">
        <f t="shared" si="111"/>
        <v>3022.1511671341732</v>
      </c>
      <c r="K845" s="5">
        <f t="shared" si="112"/>
        <v>990.20280977586447</v>
      </c>
      <c r="L845" s="5">
        <f t="shared" si="113"/>
        <v>2.7613423793998566E-2</v>
      </c>
    </row>
    <row r="846" spans="2:12">
      <c r="B846">
        <v>8.1875</v>
      </c>
      <c r="C846">
        <v>1.3654961949214299</v>
      </c>
      <c r="D846">
        <v>48.174062499999998</v>
      </c>
      <c r="E846" s="5">
        <f t="shared" si="107"/>
        <v>48174.0625</v>
      </c>
      <c r="F846" s="5">
        <v>0.28064384241588403</v>
      </c>
      <c r="G846">
        <f t="shared" si="108"/>
        <v>963.48125000000005</v>
      </c>
      <c r="H846">
        <f t="shared" si="109"/>
        <v>2.8064384241588403E-2</v>
      </c>
      <c r="I846">
        <f t="shared" si="110"/>
        <v>2.9677795656962887E-2</v>
      </c>
      <c r="J846">
        <f t="shared" si="111"/>
        <v>3029.1963456763033</v>
      </c>
      <c r="K846" s="5">
        <f t="shared" si="112"/>
        <v>990.52075800956595</v>
      </c>
      <c r="L846" s="5">
        <f t="shared" si="113"/>
        <v>2.7677795656962888E-2</v>
      </c>
    </row>
    <row r="847" spans="2:12">
      <c r="B847">
        <v>8.197265625</v>
      </c>
      <c r="C847">
        <v>1.3682260178029499</v>
      </c>
      <c r="D847">
        <v>48.176558593750002</v>
      </c>
      <c r="E847" s="5">
        <f t="shared" si="107"/>
        <v>48176.55859375</v>
      </c>
      <c r="F847" s="5">
        <v>0.28139993082732001</v>
      </c>
      <c r="G847">
        <f t="shared" si="108"/>
        <v>963.53117187500004</v>
      </c>
      <c r="H847">
        <f t="shared" si="109"/>
        <v>2.8139993082732E-2</v>
      </c>
      <c r="I847">
        <f t="shared" si="110"/>
        <v>2.9751337802881292E-2</v>
      </c>
      <c r="J847">
        <f t="shared" si="111"/>
        <v>3037.2451658363434</v>
      </c>
      <c r="K847" s="5">
        <f t="shared" si="112"/>
        <v>990.64493238655916</v>
      </c>
      <c r="L847" s="5">
        <f t="shared" si="113"/>
        <v>2.7751337802881294E-2</v>
      </c>
    </row>
    <row r="848" spans="2:12">
      <c r="B848">
        <v>8.20703125</v>
      </c>
      <c r="C848">
        <v>1.3687222963198999</v>
      </c>
      <c r="D848">
        <v>48.187207031249997</v>
      </c>
      <c r="E848" s="5">
        <f t="shared" si="107"/>
        <v>48187.20703125</v>
      </c>
      <c r="F848" s="5">
        <v>0.28197781648486903</v>
      </c>
      <c r="G848">
        <f t="shared" si="108"/>
        <v>963.744140625</v>
      </c>
      <c r="H848">
        <f t="shared" si="109"/>
        <v>2.8197781648486901E-2</v>
      </c>
      <c r="I848">
        <f t="shared" si="110"/>
        <v>2.9807543127201283E-2</v>
      </c>
      <c r="J848">
        <f t="shared" si="111"/>
        <v>3043.3965575565444</v>
      </c>
      <c r="K848" s="5">
        <f t="shared" si="112"/>
        <v>990.91958746735236</v>
      </c>
      <c r="L848" s="5">
        <f t="shared" si="113"/>
        <v>2.7807543127201281E-2</v>
      </c>
    </row>
    <row r="849" spans="2:12">
      <c r="B849">
        <v>8.216796875</v>
      </c>
      <c r="C849">
        <v>1.37073535006493</v>
      </c>
      <c r="D849">
        <v>48.211238281249997</v>
      </c>
      <c r="E849" s="5">
        <f t="shared" si="107"/>
        <v>48211.23828125</v>
      </c>
      <c r="F849" s="5">
        <v>0.28276574448682401</v>
      </c>
      <c r="G849">
        <f t="shared" si="108"/>
        <v>964.22476562500003</v>
      </c>
      <c r="H849">
        <f t="shared" si="109"/>
        <v>2.8276574448682402E-2</v>
      </c>
      <c r="I849">
        <f t="shared" si="110"/>
        <v>2.9884172140347456E-2</v>
      </c>
      <c r="J849">
        <f t="shared" si="111"/>
        <v>3051.7832199003274</v>
      </c>
      <c r="K849" s="5">
        <f t="shared" si="112"/>
        <v>991.48973899545865</v>
      </c>
      <c r="L849" s="5">
        <f t="shared" si="113"/>
        <v>2.7884172140347455E-2</v>
      </c>
    </row>
    <row r="850" spans="2:12">
      <c r="B850">
        <v>8.2265625</v>
      </c>
      <c r="C850">
        <v>1.3733103405684199</v>
      </c>
      <c r="D850">
        <v>48.211246093749999</v>
      </c>
      <c r="E850" s="5">
        <f t="shared" si="107"/>
        <v>48211.24609375</v>
      </c>
      <c r="F850" s="5">
        <v>0.28350850334390998</v>
      </c>
      <c r="G850">
        <f t="shared" si="108"/>
        <v>964.22492187499995</v>
      </c>
      <c r="H850">
        <f t="shared" si="109"/>
        <v>2.8350850334390998E-2</v>
      </c>
      <c r="I850">
        <f t="shared" si="110"/>
        <v>2.99564029049924E-2</v>
      </c>
      <c r="J850">
        <f t="shared" si="111"/>
        <v>3059.6885159368935</v>
      </c>
      <c r="K850" s="5">
        <f t="shared" si="112"/>
        <v>991.56151832376793</v>
      </c>
      <c r="L850" s="5">
        <f t="shared" si="113"/>
        <v>2.7956402904992402E-2</v>
      </c>
    </row>
    <row r="851" spans="2:12">
      <c r="B851">
        <v>8.236328125</v>
      </c>
      <c r="C851">
        <v>1.3747423654422199</v>
      </c>
      <c r="D851">
        <v>48.223042968750001</v>
      </c>
      <c r="E851" s="5">
        <f t="shared" si="107"/>
        <v>48223.04296875</v>
      </c>
      <c r="F851" s="5">
        <v>0.28412134270183698</v>
      </c>
      <c r="G851">
        <f t="shared" si="108"/>
        <v>964.46085937500004</v>
      </c>
      <c r="H851">
        <f t="shared" si="109"/>
        <v>2.8412134270183697E-2</v>
      </c>
      <c r="I851">
        <f t="shared" si="110"/>
        <v>3.0015995513639683E-2</v>
      </c>
      <c r="J851">
        <f t="shared" si="111"/>
        <v>3066.2106289902954</v>
      </c>
      <c r="K851" s="5">
        <f t="shared" si="112"/>
        <v>991.86325080989934</v>
      </c>
      <c r="L851" s="5">
        <f t="shared" si="113"/>
        <v>2.8015995513639685E-2</v>
      </c>
    </row>
    <row r="852" spans="2:12">
      <c r="B852">
        <v>8.24609375</v>
      </c>
      <c r="C852">
        <v>1.37626391369849</v>
      </c>
      <c r="D852">
        <v>48.216199218749999</v>
      </c>
      <c r="E852" s="5">
        <f t="shared" si="107"/>
        <v>48216.19921875</v>
      </c>
      <c r="F852" s="5">
        <v>0.28486820519901801</v>
      </c>
      <c r="G852">
        <f t="shared" si="108"/>
        <v>964.32398437500001</v>
      </c>
      <c r="H852">
        <f t="shared" si="109"/>
        <v>2.8486820519901802E-2</v>
      </c>
      <c r="I852">
        <f t="shared" si="110"/>
        <v>3.0088615755462421E-2</v>
      </c>
      <c r="J852">
        <f t="shared" si="111"/>
        <v>3074.1585513565847</v>
      </c>
      <c r="K852" s="5">
        <f t="shared" si="112"/>
        <v>991.79450864092723</v>
      </c>
      <c r="L852" s="5">
        <f t="shared" si="113"/>
        <v>2.8088615755462419E-2</v>
      </c>
    </row>
    <row r="853" spans="2:12">
      <c r="B853">
        <v>8.255859375</v>
      </c>
      <c r="C853">
        <v>1.3780520530417599</v>
      </c>
      <c r="D853">
        <v>48.210679687499997</v>
      </c>
      <c r="E853" s="5">
        <f t="shared" si="107"/>
        <v>48210.6796875</v>
      </c>
      <c r="F853" s="5">
        <v>0.28555357130244402</v>
      </c>
      <c r="G853">
        <f t="shared" si="108"/>
        <v>964.21359374999997</v>
      </c>
      <c r="H853">
        <f t="shared" si="109"/>
        <v>2.8555357130244402E-2</v>
      </c>
      <c r="I853">
        <f t="shared" si="110"/>
        <v>3.0155251832362132E-2</v>
      </c>
      <c r="J853">
        <f t="shared" si="111"/>
        <v>3081.4515367928739</v>
      </c>
      <c r="K853" s="5">
        <f t="shared" si="112"/>
        <v>991.74705726936759</v>
      </c>
      <c r="L853" s="5">
        <f t="shared" si="113"/>
        <v>2.8155251832362133E-2</v>
      </c>
    </row>
    <row r="854" spans="2:12">
      <c r="B854">
        <v>8.265625</v>
      </c>
      <c r="C854">
        <v>1.3797462452203</v>
      </c>
      <c r="D854">
        <v>48.224917968749999</v>
      </c>
      <c r="E854" s="5">
        <f t="shared" si="107"/>
        <v>48224.91796875</v>
      </c>
      <c r="F854" s="5">
        <v>0.28626483981497602</v>
      </c>
      <c r="G854">
        <f t="shared" si="108"/>
        <v>964.49835937499995</v>
      </c>
      <c r="H854">
        <f t="shared" si="109"/>
        <v>2.8626483981497603E-2</v>
      </c>
      <c r="I854">
        <f t="shared" si="110"/>
        <v>3.0224401627348768E-2</v>
      </c>
      <c r="J854">
        <f t="shared" si="111"/>
        <v>3089.0196361051862</v>
      </c>
      <c r="K854" s="5">
        <f t="shared" si="112"/>
        <v>992.10855620982909</v>
      </c>
      <c r="L854" s="5">
        <f t="shared" si="113"/>
        <v>2.822440162734877E-2</v>
      </c>
    </row>
    <row r="855" spans="2:12">
      <c r="B855">
        <v>8.275390625</v>
      </c>
      <c r="C855">
        <v>1.38131086714566</v>
      </c>
      <c r="D855">
        <v>48.237691406250001</v>
      </c>
      <c r="E855" s="5">
        <f t="shared" si="107"/>
        <v>48237.69140625</v>
      </c>
      <c r="F855" s="5">
        <v>0.28702931012958299</v>
      </c>
      <c r="G855">
        <f t="shared" si="108"/>
        <v>964.75382812500004</v>
      </c>
      <c r="H855">
        <f t="shared" si="109"/>
        <v>2.8702931012958299E-2</v>
      </c>
      <c r="I855">
        <f t="shared" si="110"/>
        <v>3.0298718390564923E-2</v>
      </c>
      <c r="J855">
        <f t="shared" si="111"/>
        <v>3097.1532342553783</v>
      </c>
      <c r="K855" s="5">
        <f t="shared" si="112"/>
        <v>992.44509069815933</v>
      </c>
      <c r="L855" s="5">
        <f t="shared" si="113"/>
        <v>2.8298718390564925E-2</v>
      </c>
    </row>
    <row r="856" spans="2:12">
      <c r="B856">
        <v>8.28515625</v>
      </c>
      <c r="C856">
        <v>1.3834625715389799</v>
      </c>
      <c r="D856">
        <v>48.243082031249997</v>
      </c>
      <c r="E856" s="5">
        <f t="shared" si="107"/>
        <v>48243.08203125</v>
      </c>
      <c r="F856" s="5">
        <v>0.28772445512004202</v>
      </c>
      <c r="G856">
        <f t="shared" si="108"/>
        <v>964.86164062499995</v>
      </c>
      <c r="H856">
        <f t="shared" si="109"/>
        <v>2.8772445512004204E-2</v>
      </c>
      <c r="I856">
        <f t="shared" si="110"/>
        <v>3.0366291008799381E-2</v>
      </c>
      <c r="J856">
        <f t="shared" si="111"/>
        <v>3104.5487194580483</v>
      </c>
      <c r="K856" s="5">
        <f t="shared" si="112"/>
        <v>992.62306960650574</v>
      </c>
      <c r="L856" s="5">
        <f t="shared" si="113"/>
        <v>2.836629100879938E-2</v>
      </c>
    </row>
    <row r="857" spans="2:12">
      <c r="B857">
        <v>8.294921875</v>
      </c>
      <c r="C857">
        <v>1.38516281731427</v>
      </c>
      <c r="D857">
        <v>48.253953125000002</v>
      </c>
      <c r="E857" s="5">
        <f t="shared" si="107"/>
        <v>48253.953125</v>
      </c>
      <c r="F857" s="5">
        <v>0.28841875609941803</v>
      </c>
      <c r="G857">
        <f t="shared" si="108"/>
        <v>965.07906249999996</v>
      </c>
      <c r="H857">
        <f t="shared" si="109"/>
        <v>2.8841875609941801E-2</v>
      </c>
      <c r="I857">
        <f t="shared" si="110"/>
        <v>3.0433777026223754E-2</v>
      </c>
      <c r="J857">
        <f t="shared" si="111"/>
        <v>3111.9347266350587</v>
      </c>
      <c r="K857" s="5">
        <f t="shared" si="112"/>
        <v>992.91375277438419</v>
      </c>
      <c r="L857" s="5">
        <f t="shared" si="113"/>
        <v>2.8433777026223753E-2</v>
      </c>
    </row>
    <row r="858" spans="2:12">
      <c r="B858">
        <v>8.3046875</v>
      </c>
      <c r="C858">
        <v>1.38625199906528</v>
      </c>
      <c r="D858">
        <v>48.215070312500004</v>
      </c>
      <c r="E858" s="5">
        <f t="shared" si="107"/>
        <v>48215.0703125</v>
      </c>
      <c r="F858" s="5">
        <v>0.289035757305101</v>
      </c>
      <c r="G858">
        <f t="shared" si="108"/>
        <v>964.30140625000001</v>
      </c>
      <c r="H858">
        <f t="shared" si="109"/>
        <v>2.8903575730510101E-2</v>
      </c>
      <c r="I858">
        <f t="shared" si="110"/>
        <v>3.0493745688087708E-2</v>
      </c>
      <c r="J858">
        <f t="shared" si="111"/>
        <v>3118.4979968327593</v>
      </c>
      <c r="K858" s="5">
        <f t="shared" si="112"/>
        <v>992.17316497258423</v>
      </c>
      <c r="L858" s="5">
        <f t="shared" si="113"/>
        <v>2.8493745688087709E-2</v>
      </c>
    </row>
    <row r="859" spans="2:12">
      <c r="B859">
        <v>8.314453125</v>
      </c>
      <c r="C859">
        <v>1.3880743645131599</v>
      </c>
      <c r="D859">
        <v>48.206898437500001</v>
      </c>
      <c r="E859" s="5">
        <f t="shared" si="107"/>
        <v>48206.8984375</v>
      </c>
      <c r="F859" s="5">
        <v>0.28969952836632701</v>
      </c>
      <c r="G859">
        <f t="shared" si="108"/>
        <v>964.13796875000003</v>
      </c>
      <c r="H859">
        <f t="shared" si="109"/>
        <v>2.8969952836632701E-2</v>
      </c>
      <c r="I859">
        <f t="shared" si="110"/>
        <v>3.0558256072447346E-2</v>
      </c>
      <c r="J859">
        <f t="shared" si="111"/>
        <v>3125.5583358489994</v>
      </c>
      <c r="K859" s="5">
        <f t="shared" si="112"/>
        <v>992.06900023269441</v>
      </c>
      <c r="L859" s="5">
        <f t="shared" si="113"/>
        <v>2.8558256072447344E-2</v>
      </c>
    </row>
    <row r="860" spans="2:12">
      <c r="B860">
        <v>8.32421875</v>
      </c>
      <c r="C860">
        <v>1.3893663417547899</v>
      </c>
      <c r="D860">
        <v>48.214640625000001</v>
      </c>
      <c r="E860" s="5">
        <f t="shared" si="107"/>
        <v>48214.640625</v>
      </c>
      <c r="F860" s="5">
        <v>0.290440366370603</v>
      </c>
      <c r="G860">
        <f t="shared" si="108"/>
        <v>964.29281249999997</v>
      </c>
      <c r="H860">
        <f t="shared" si="109"/>
        <v>2.9044036637060299E-2</v>
      </c>
      <c r="I860">
        <f t="shared" si="110"/>
        <v>3.0630251501864769E-2</v>
      </c>
      <c r="J860">
        <f t="shared" si="111"/>
        <v>3133.4378756215897</v>
      </c>
      <c r="K860" s="5">
        <f t="shared" si="112"/>
        <v>992.29976827510393</v>
      </c>
      <c r="L860" s="5">
        <f t="shared" si="113"/>
        <v>2.8630251501864771E-2</v>
      </c>
    </row>
    <row r="861" spans="2:12">
      <c r="B861">
        <v>8.333984375</v>
      </c>
      <c r="C861">
        <v>1.3911813730374001</v>
      </c>
      <c r="D861">
        <v>48.233144531249998</v>
      </c>
      <c r="E861" s="5">
        <f t="shared" si="107"/>
        <v>48233.14453125</v>
      </c>
      <c r="F861" s="5">
        <v>0.29111938783899</v>
      </c>
      <c r="G861">
        <f t="shared" si="108"/>
        <v>964.66289062500005</v>
      </c>
      <c r="H861">
        <f t="shared" si="109"/>
        <v>2.9111938783898998E-2</v>
      </c>
      <c r="I861">
        <f t="shared" si="110"/>
        <v>3.0696234981906274E-2</v>
      </c>
      <c r="J861">
        <f t="shared" si="111"/>
        <v>3140.659437594732</v>
      </c>
      <c r="K861" s="5">
        <f t="shared" si="112"/>
        <v>992.74609764397405</v>
      </c>
      <c r="L861" s="5">
        <f t="shared" si="113"/>
        <v>2.8696234981906273E-2</v>
      </c>
    </row>
    <row r="862" spans="2:12">
      <c r="B862">
        <v>8.34375</v>
      </c>
      <c r="C862">
        <v>1.3921096688136501</v>
      </c>
      <c r="D862">
        <v>48.223367187500003</v>
      </c>
      <c r="E862" s="5">
        <f t="shared" si="107"/>
        <v>48223.3671875</v>
      </c>
      <c r="F862" s="5">
        <v>0.29178443946875599</v>
      </c>
      <c r="G862">
        <f t="shared" si="108"/>
        <v>964.46734375000005</v>
      </c>
      <c r="H862">
        <f t="shared" si="109"/>
        <v>2.9178443946875597E-2</v>
      </c>
      <c r="I862">
        <f t="shared" si="110"/>
        <v>3.0760856731643638E-2</v>
      </c>
      <c r="J862">
        <f t="shared" si="111"/>
        <v>3147.7319649947376</v>
      </c>
      <c r="K862" s="5">
        <f t="shared" si="112"/>
        <v>992.60900007820146</v>
      </c>
      <c r="L862" s="5">
        <f t="shared" si="113"/>
        <v>2.8760856731643636E-2</v>
      </c>
    </row>
    <row r="863" spans="2:12">
      <c r="B863">
        <v>8.353515625</v>
      </c>
      <c r="C863">
        <v>1.3926759129390101</v>
      </c>
      <c r="D863">
        <v>48.217253906250001</v>
      </c>
      <c r="E863" s="5">
        <f t="shared" si="107"/>
        <v>48217.25390625</v>
      </c>
      <c r="F863" s="5">
        <v>0.29245621408335898</v>
      </c>
      <c r="G863">
        <f t="shared" si="108"/>
        <v>964.34507812499999</v>
      </c>
      <c r="H863">
        <f t="shared" si="109"/>
        <v>2.9245621408335899E-2</v>
      </c>
      <c r="I863">
        <f t="shared" si="110"/>
        <v>3.0826127501272428E-2</v>
      </c>
      <c r="J863">
        <f t="shared" si="111"/>
        <v>3154.8755243767609</v>
      </c>
      <c r="K863" s="5">
        <f t="shared" si="112"/>
        <v>992.54794918683581</v>
      </c>
      <c r="L863" s="5">
        <f t="shared" si="113"/>
        <v>2.882612750127243E-2</v>
      </c>
    </row>
    <row r="864" spans="2:12">
      <c r="B864">
        <v>8.36328125</v>
      </c>
      <c r="C864">
        <v>1.3959169154986699</v>
      </c>
      <c r="D864">
        <v>48.226191406250003</v>
      </c>
      <c r="E864" s="5">
        <f t="shared" si="107"/>
        <v>48226.19140625</v>
      </c>
      <c r="F864" s="5">
        <v>0.29313773848116398</v>
      </c>
      <c r="G864">
        <f t="shared" si="108"/>
        <v>964.52382812500002</v>
      </c>
      <c r="H864">
        <f t="shared" si="109"/>
        <v>2.9313773848116398E-2</v>
      </c>
      <c r="I864">
        <f t="shared" si="110"/>
        <v>3.0892341223317542E-2</v>
      </c>
      <c r="J864">
        <f t="shared" si="111"/>
        <v>3162.1222851859884</v>
      </c>
      <c r="K864" s="5">
        <f t="shared" si="112"/>
        <v>992.79766149377576</v>
      </c>
      <c r="L864" s="5">
        <f t="shared" si="113"/>
        <v>2.8892341223317543E-2</v>
      </c>
    </row>
    <row r="865" spans="2:12">
      <c r="B865">
        <v>8.373046875</v>
      </c>
      <c r="C865">
        <v>1.3974771136418001</v>
      </c>
      <c r="D865">
        <v>48.230625000000003</v>
      </c>
      <c r="E865" s="5">
        <f t="shared" si="107"/>
        <v>48230.625</v>
      </c>
      <c r="F865" s="5">
        <v>0.29378963517956402</v>
      </c>
      <c r="G865">
        <f t="shared" si="108"/>
        <v>964.61249999999995</v>
      </c>
      <c r="H865">
        <f t="shared" si="109"/>
        <v>2.9378963517956401E-2</v>
      </c>
      <c r="I865">
        <f t="shared" si="110"/>
        <v>3.0955672354455871E-2</v>
      </c>
      <c r="J865">
        <f t="shared" si="111"/>
        <v>3169.0535608334226</v>
      </c>
      <c r="K865" s="5">
        <f t="shared" si="112"/>
        <v>992.95181544646471</v>
      </c>
      <c r="L865" s="5">
        <f t="shared" si="113"/>
        <v>2.8955672354455869E-2</v>
      </c>
    </row>
    <row r="866" spans="2:12">
      <c r="B866">
        <v>8.3828125</v>
      </c>
      <c r="C866">
        <v>1.3987720012664799</v>
      </c>
      <c r="D866">
        <v>48.210015624999997</v>
      </c>
      <c r="E866" s="5">
        <f t="shared" si="107"/>
        <v>48210.015625</v>
      </c>
      <c r="F866" s="5">
        <v>0.29450777219608398</v>
      </c>
      <c r="G866">
        <f t="shared" si="108"/>
        <v>964.2003125</v>
      </c>
      <c r="H866">
        <f t="shared" si="109"/>
        <v>2.9450777219608398E-2</v>
      </c>
      <c r="I866">
        <f t="shared" si="110"/>
        <v>3.1025434025622897E-2</v>
      </c>
      <c r="J866">
        <f t="shared" si="111"/>
        <v>3176.6886269342976</v>
      </c>
      <c r="K866" s="5">
        <f t="shared" si="112"/>
        <v>992.59676109851432</v>
      </c>
      <c r="L866" s="5">
        <f t="shared" si="113"/>
        <v>2.9025434025622895E-2</v>
      </c>
    </row>
    <row r="867" spans="2:12">
      <c r="B867">
        <v>8.392578125</v>
      </c>
      <c r="C867">
        <v>1.4011873863637401</v>
      </c>
      <c r="D867">
        <v>48.209499999999998</v>
      </c>
      <c r="E867" s="5">
        <f t="shared" si="107"/>
        <v>48209.5</v>
      </c>
      <c r="F867" s="5">
        <v>0.295085395919159</v>
      </c>
      <c r="G867">
        <f t="shared" si="108"/>
        <v>964.19</v>
      </c>
      <c r="H867">
        <f t="shared" si="109"/>
        <v>2.9508539591915899E-2</v>
      </c>
      <c r="I867">
        <f t="shared" si="110"/>
        <v>3.1081542343889317E-2</v>
      </c>
      <c r="J867">
        <f t="shared" si="111"/>
        <v>3182.8294018269662</v>
      </c>
      <c r="K867" s="5">
        <f t="shared" si="112"/>
        <v>992.64183878912945</v>
      </c>
      <c r="L867" s="5">
        <f t="shared" si="113"/>
        <v>2.9081542343889315E-2</v>
      </c>
    </row>
    <row r="868" spans="2:12">
      <c r="B868">
        <v>8.40234375</v>
      </c>
      <c r="C868">
        <v>1.40191614627838</v>
      </c>
      <c r="D868">
        <v>48.2195859375</v>
      </c>
      <c r="E868" s="5">
        <f t="shared" si="107"/>
        <v>48219.5859375</v>
      </c>
      <c r="F868" s="5">
        <v>0.295757577987388</v>
      </c>
      <c r="G868">
        <f t="shared" si="108"/>
        <v>964.39171875</v>
      </c>
      <c r="H868">
        <f t="shared" si="109"/>
        <v>2.9575757798738798E-2</v>
      </c>
      <c r="I868">
        <f t="shared" si="110"/>
        <v>3.1146831761065613E-2</v>
      </c>
      <c r="J868">
        <f t="shared" si="111"/>
        <v>3189.9750020898259</v>
      </c>
      <c r="K868" s="5">
        <f t="shared" si="112"/>
        <v>992.9143346468594</v>
      </c>
      <c r="L868" s="5">
        <f t="shared" si="113"/>
        <v>2.9146831761065611E-2</v>
      </c>
    </row>
    <row r="869" spans="2:12">
      <c r="B869">
        <v>8.412109375</v>
      </c>
      <c r="C869">
        <v>1.4048292068764601</v>
      </c>
      <c r="D869">
        <v>48.241636718750001</v>
      </c>
      <c r="E869" s="5">
        <f t="shared" si="107"/>
        <v>48241.63671875</v>
      </c>
      <c r="F869" s="5">
        <v>0.29647364863194497</v>
      </c>
      <c r="G869">
        <f t="shared" si="108"/>
        <v>964.83273437499997</v>
      </c>
      <c r="H869">
        <f t="shared" si="109"/>
        <v>2.9647364863194497E-2</v>
      </c>
      <c r="I869">
        <f t="shared" si="110"/>
        <v>3.1216379411047358E-2</v>
      </c>
      <c r="J869">
        <f t="shared" si="111"/>
        <v>3197.5866446420782</v>
      </c>
      <c r="K869" s="5">
        <f t="shared" si="112"/>
        <v>993.43748248296924</v>
      </c>
      <c r="L869" s="5">
        <f t="shared" si="113"/>
        <v>2.921637941104736E-2</v>
      </c>
    </row>
    <row r="870" spans="2:12">
      <c r="B870">
        <v>8.421875</v>
      </c>
      <c r="C870">
        <v>1.4043360715732001</v>
      </c>
      <c r="D870">
        <v>48.238484374999999</v>
      </c>
      <c r="E870" s="5">
        <f t="shared" si="107"/>
        <v>48238.484375</v>
      </c>
      <c r="F870" s="5">
        <v>0.29711078968830401</v>
      </c>
      <c r="G870">
        <f t="shared" si="108"/>
        <v>964.76968750000003</v>
      </c>
      <c r="H870">
        <f t="shared" si="109"/>
        <v>2.97110789688304E-2</v>
      </c>
      <c r="I870">
        <f t="shared" si="110"/>
        <v>3.1278257036913844E-2</v>
      </c>
      <c r="J870">
        <f t="shared" si="111"/>
        <v>3204.3588414050359</v>
      </c>
      <c r="K870" s="5">
        <f t="shared" si="112"/>
        <v>993.43403587204637</v>
      </c>
      <c r="L870" s="5">
        <f t="shared" si="113"/>
        <v>2.9278257036913845E-2</v>
      </c>
    </row>
    <row r="871" spans="2:12">
      <c r="B871">
        <v>8.431640625</v>
      </c>
      <c r="C871">
        <v>1.4075518120080199</v>
      </c>
      <c r="D871">
        <v>48.227632812499998</v>
      </c>
      <c r="E871" s="5">
        <f t="shared" si="107"/>
        <v>48227.6328125</v>
      </c>
      <c r="F871" s="5">
        <v>0.29781105695292398</v>
      </c>
      <c r="G871">
        <f t="shared" si="108"/>
        <v>964.55265625000004</v>
      </c>
      <c r="H871">
        <f t="shared" si="109"/>
        <v>2.9781105695292399E-2</v>
      </c>
      <c r="I871">
        <f t="shared" si="110"/>
        <v>3.1346260913801931E-2</v>
      </c>
      <c r="J871">
        <f t="shared" si="111"/>
        <v>3211.8015257110519</v>
      </c>
      <c r="K871" s="5">
        <f t="shared" si="112"/>
        <v>993.27810085445628</v>
      </c>
      <c r="L871" s="5">
        <f t="shared" si="113"/>
        <v>2.9346260913801929E-2</v>
      </c>
    </row>
    <row r="872" spans="2:12">
      <c r="B872">
        <v>8.44140625</v>
      </c>
      <c r="C872">
        <v>1.40976603142917</v>
      </c>
      <c r="D872">
        <v>48.24801171875</v>
      </c>
      <c r="E872" s="5">
        <f t="shared" si="107"/>
        <v>48248.01171875</v>
      </c>
      <c r="F872" s="5">
        <v>0.29851950239390102</v>
      </c>
      <c r="G872">
        <f t="shared" si="108"/>
        <v>964.96023437500003</v>
      </c>
      <c r="H872">
        <f t="shared" si="109"/>
        <v>2.98519502393901E-2</v>
      </c>
      <c r="I872">
        <f t="shared" si="110"/>
        <v>3.1415054278640955E-2</v>
      </c>
      <c r="J872">
        <f t="shared" si="111"/>
        <v>3219.3306155258597</v>
      </c>
      <c r="K872" s="5">
        <f t="shared" si="112"/>
        <v>993.76617927455277</v>
      </c>
      <c r="L872" s="5">
        <f t="shared" si="113"/>
        <v>2.9415054278640957E-2</v>
      </c>
    </row>
    <row r="873" spans="2:12">
      <c r="B873">
        <v>8.451171875</v>
      </c>
      <c r="C873">
        <v>1.40980025753379</v>
      </c>
      <c r="D873">
        <v>48.264097656250001</v>
      </c>
      <c r="E873" s="5">
        <f t="shared" si="107"/>
        <v>48264.09765625</v>
      </c>
      <c r="F873" s="5">
        <v>0.29919238295406098</v>
      </c>
      <c r="G873">
        <f t="shared" si="108"/>
        <v>965.28195312499997</v>
      </c>
      <c r="H873">
        <f t="shared" si="109"/>
        <v>2.9919238295406096E-2</v>
      </c>
      <c r="I873">
        <f t="shared" si="110"/>
        <v>3.148038974542916E-2</v>
      </c>
      <c r="J873">
        <f t="shared" si="111"/>
        <v>3226.4812556884945</v>
      </c>
      <c r="K873" s="5">
        <f t="shared" si="112"/>
        <v>994.16245390280187</v>
      </c>
      <c r="L873" s="5">
        <f t="shared" si="113"/>
        <v>2.9480389745429159E-2</v>
      </c>
    </row>
    <row r="874" spans="2:12">
      <c r="B874">
        <v>8.4609375</v>
      </c>
      <c r="C874">
        <v>1.4137102989479899</v>
      </c>
      <c r="D874">
        <v>48.258902343750002</v>
      </c>
      <c r="E874" s="5">
        <f t="shared" si="107"/>
        <v>48258.90234375</v>
      </c>
      <c r="F874" s="5">
        <v>0.29991296469233902</v>
      </c>
      <c r="G874">
        <f t="shared" si="108"/>
        <v>965.17804687499995</v>
      </c>
      <c r="H874">
        <f t="shared" si="109"/>
        <v>2.9991296469233902E-2</v>
      </c>
      <c r="I874">
        <f t="shared" si="110"/>
        <v>3.1550352175972726E-2</v>
      </c>
      <c r="J874">
        <f t="shared" si="111"/>
        <v>3234.1382938993352</v>
      </c>
      <c r="K874" s="5">
        <f t="shared" si="112"/>
        <v>994.12498782442424</v>
      </c>
      <c r="L874" s="5">
        <f t="shared" si="113"/>
        <v>2.9550352175972728E-2</v>
      </c>
    </row>
    <row r="875" spans="2:12">
      <c r="B875">
        <v>8.470703125</v>
      </c>
      <c r="C875">
        <v>1.4153331285342601</v>
      </c>
      <c r="D875">
        <v>48.275785156250002</v>
      </c>
      <c r="E875" s="5">
        <f t="shared" si="107"/>
        <v>48275.78515625</v>
      </c>
      <c r="F875" s="5">
        <v>0.30057277763262402</v>
      </c>
      <c r="G875">
        <f t="shared" si="108"/>
        <v>965.51570312499996</v>
      </c>
      <c r="H875">
        <f t="shared" si="109"/>
        <v>3.0057277763262401E-2</v>
      </c>
      <c r="I875">
        <f t="shared" si="110"/>
        <v>3.1614410174290175E-2</v>
      </c>
      <c r="J875">
        <f t="shared" si="111"/>
        <v>3241.1491215251885</v>
      </c>
      <c r="K875" s="5">
        <f t="shared" si="112"/>
        <v>994.53647679861967</v>
      </c>
      <c r="L875" s="5">
        <f t="shared" si="113"/>
        <v>2.9614410174290177E-2</v>
      </c>
    </row>
    <row r="876" spans="2:12">
      <c r="B876">
        <v>8.48046875</v>
      </c>
      <c r="C876">
        <v>1.4168426860123899</v>
      </c>
      <c r="D876">
        <v>48.289484375000001</v>
      </c>
      <c r="E876" s="5">
        <f t="shared" si="107"/>
        <v>48289.484375</v>
      </c>
      <c r="F876" s="5">
        <v>0.30130875529721401</v>
      </c>
      <c r="G876">
        <f t="shared" si="108"/>
        <v>965.78968750000001</v>
      </c>
      <c r="H876">
        <f t="shared" si="109"/>
        <v>3.01308755297214E-2</v>
      </c>
      <c r="I876">
        <f t="shared" si="110"/>
        <v>3.1685857790734975E-2</v>
      </c>
      <c r="J876">
        <f t="shared" si="111"/>
        <v>3248.9687059069893</v>
      </c>
      <c r="K876" s="5">
        <f t="shared" si="112"/>
        <v>994.88977636195102</v>
      </c>
      <c r="L876" s="5">
        <f t="shared" si="113"/>
        <v>2.9685857790734974E-2</v>
      </c>
    </row>
    <row r="877" spans="2:12">
      <c r="B877">
        <v>8.490234375</v>
      </c>
      <c r="C877">
        <v>1.41704082489014</v>
      </c>
      <c r="D877">
        <v>48.288632812499998</v>
      </c>
      <c r="E877" s="5">
        <f t="shared" si="107"/>
        <v>48288.6328125</v>
      </c>
      <c r="F877" s="5">
        <v>0.30206664814613798</v>
      </c>
      <c r="G877">
        <f t="shared" si="108"/>
        <v>965.77265624999995</v>
      </c>
      <c r="H877">
        <f t="shared" si="109"/>
        <v>3.0206664814613798E-2</v>
      </c>
      <c r="I877">
        <f t="shared" si="110"/>
        <v>3.1759427566019363E-2</v>
      </c>
      <c r="J877">
        <f t="shared" si="111"/>
        <v>3257.0205499629892</v>
      </c>
      <c r="K877" s="5">
        <f t="shared" si="112"/>
        <v>994.9454271644629</v>
      </c>
      <c r="L877" s="5">
        <f t="shared" si="113"/>
        <v>2.9759427566019365E-2</v>
      </c>
    </row>
    <row r="878" spans="2:12">
      <c r="B878">
        <v>8.5</v>
      </c>
      <c r="C878">
        <v>1.4187514316290599</v>
      </c>
      <c r="D878">
        <v>48.286789062499999</v>
      </c>
      <c r="E878" s="5">
        <f t="shared" si="107"/>
        <v>48286.7890625</v>
      </c>
      <c r="F878" s="5">
        <v>0.30270384741015699</v>
      </c>
      <c r="G878">
        <f t="shared" si="108"/>
        <v>965.73578124999995</v>
      </c>
      <c r="H878">
        <f t="shared" si="109"/>
        <v>3.0270384741015698E-2</v>
      </c>
      <c r="I878">
        <f t="shared" si="110"/>
        <v>3.1821277249262404E-2</v>
      </c>
      <c r="J878">
        <f t="shared" si="111"/>
        <v>3263.7896885455239</v>
      </c>
      <c r="K878" s="5">
        <f t="shared" si="112"/>
        <v>994.96897490660285</v>
      </c>
      <c r="L878" s="5">
        <f t="shared" si="113"/>
        <v>2.9821277249262406E-2</v>
      </c>
    </row>
    <row r="879" spans="2:12">
      <c r="B879">
        <v>8.509765625</v>
      </c>
      <c r="C879">
        <v>1.42070348374546</v>
      </c>
      <c r="D879">
        <v>48.299875</v>
      </c>
      <c r="E879" s="5">
        <f t="shared" si="107"/>
        <v>48299.875</v>
      </c>
      <c r="F879" s="5">
        <v>0.30355152557603998</v>
      </c>
      <c r="G879">
        <f t="shared" si="108"/>
        <v>965.99749999999995</v>
      </c>
      <c r="H879">
        <f t="shared" si="109"/>
        <v>3.0355152557603998E-2</v>
      </c>
      <c r="I879">
        <f t="shared" si="110"/>
        <v>3.1903551117174599E-2</v>
      </c>
      <c r="J879">
        <f t="shared" si="111"/>
        <v>3272.7941520191739</v>
      </c>
      <c r="K879" s="5">
        <f t="shared" si="112"/>
        <v>995.32050148276403</v>
      </c>
      <c r="L879" s="5">
        <f t="shared" si="113"/>
        <v>2.99035511171746E-2</v>
      </c>
    </row>
    <row r="880" spans="2:12">
      <c r="B880">
        <v>8.51953125</v>
      </c>
      <c r="C880">
        <v>1.42171245533973</v>
      </c>
      <c r="D880">
        <v>48.292320312500003</v>
      </c>
      <c r="E880" s="5">
        <f t="shared" si="107"/>
        <v>48292.3203125</v>
      </c>
      <c r="F880" s="5">
        <v>0.30415330547839398</v>
      </c>
      <c r="G880">
        <f t="shared" si="108"/>
        <v>965.84640624999997</v>
      </c>
      <c r="H880">
        <f t="shared" si="109"/>
        <v>3.0415330547839396E-2</v>
      </c>
      <c r="I880">
        <f t="shared" si="110"/>
        <v>3.1961954506339811E-2</v>
      </c>
      <c r="J880">
        <f t="shared" si="111"/>
        <v>3279.1861109463603</v>
      </c>
      <c r="K880" s="5">
        <f t="shared" si="112"/>
        <v>995.2229439545365</v>
      </c>
      <c r="L880" s="5">
        <f t="shared" si="113"/>
        <v>2.9961954506339809E-2</v>
      </c>
    </row>
    <row r="881" spans="2:12">
      <c r="B881">
        <v>8.529296875</v>
      </c>
      <c r="C881">
        <v>1.4235272537916901</v>
      </c>
      <c r="D881">
        <v>48.317222656250003</v>
      </c>
      <c r="E881" s="5">
        <f t="shared" si="107"/>
        <v>48317.22265625</v>
      </c>
      <c r="F881" s="5">
        <v>0.30486329342238599</v>
      </c>
      <c r="G881">
        <f t="shared" si="108"/>
        <v>966.34445312499997</v>
      </c>
      <c r="H881">
        <f t="shared" si="109"/>
        <v>3.0486329342238598E-2</v>
      </c>
      <c r="I881">
        <f t="shared" si="110"/>
        <v>3.2030855216945361E-2</v>
      </c>
      <c r="J881">
        <f t="shared" si="111"/>
        <v>3286.7269492185851</v>
      </c>
      <c r="K881" s="5">
        <f t="shared" si="112"/>
        <v>995.80474838101418</v>
      </c>
      <c r="L881" s="5">
        <f t="shared" si="113"/>
        <v>3.003085521694536E-2</v>
      </c>
    </row>
    <row r="882" spans="2:12">
      <c r="B882">
        <v>8.5390625</v>
      </c>
      <c r="C882">
        <v>1.425537513569</v>
      </c>
      <c r="D882">
        <v>48.297667968749998</v>
      </c>
      <c r="E882" s="5">
        <f t="shared" si="107"/>
        <v>48297.66796875</v>
      </c>
      <c r="F882" s="5">
        <v>0.30567368958145402</v>
      </c>
      <c r="G882">
        <f t="shared" si="108"/>
        <v>965.95335937499999</v>
      </c>
      <c r="H882">
        <f t="shared" si="109"/>
        <v>3.0567368958145401E-2</v>
      </c>
      <c r="I882">
        <f t="shared" si="110"/>
        <v>3.2109494231557512E-2</v>
      </c>
      <c r="J882">
        <f t="shared" si="111"/>
        <v>3295.3335961728117</v>
      </c>
      <c r="K882" s="5">
        <f t="shared" si="112"/>
        <v>995.48001210737561</v>
      </c>
      <c r="L882" s="5">
        <f t="shared" si="113"/>
        <v>3.010949423155751E-2</v>
      </c>
    </row>
    <row r="883" spans="2:12">
      <c r="B883">
        <v>8.548828125</v>
      </c>
      <c r="C883">
        <v>1.4269917737692599</v>
      </c>
      <c r="D883">
        <v>48.29872265625</v>
      </c>
      <c r="E883" s="5">
        <f t="shared" si="107"/>
        <v>48298.72265625</v>
      </c>
      <c r="F883" s="5">
        <v>0.30623629572801297</v>
      </c>
      <c r="G883">
        <f t="shared" si="108"/>
        <v>965.97445312499997</v>
      </c>
      <c r="H883">
        <f t="shared" si="109"/>
        <v>3.0623629572801299E-2</v>
      </c>
      <c r="I883">
        <f t="shared" si="110"/>
        <v>3.2164084625858652E-2</v>
      </c>
      <c r="J883">
        <f t="shared" si="111"/>
        <v>3301.3082418771005</v>
      </c>
      <c r="K883" s="5">
        <f t="shared" si="112"/>
        <v>995.55609695428927</v>
      </c>
      <c r="L883" s="5">
        <f t="shared" si="113"/>
        <v>3.0164084625858654E-2</v>
      </c>
    </row>
    <row r="884" spans="2:12">
      <c r="B884">
        <v>8.55859375</v>
      </c>
      <c r="C884">
        <v>1.42868619877845</v>
      </c>
      <c r="D884">
        <v>48.296988281250002</v>
      </c>
      <c r="E884" s="5">
        <f t="shared" si="107"/>
        <v>48296.98828125</v>
      </c>
      <c r="F884" s="5">
        <v>0.30701374635100398</v>
      </c>
      <c r="G884">
        <f t="shared" si="108"/>
        <v>965.93976562499995</v>
      </c>
      <c r="H884">
        <f t="shared" si="109"/>
        <v>3.0701374635100399E-2</v>
      </c>
      <c r="I884">
        <f t="shared" si="110"/>
        <v>3.2239516750513647E-2</v>
      </c>
      <c r="J884">
        <f t="shared" si="111"/>
        <v>3309.5639107599663</v>
      </c>
      <c r="K884" s="5">
        <f t="shared" si="112"/>
        <v>995.59544424439412</v>
      </c>
      <c r="L884" s="5">
        <f t="shared" si="113"/>
        <v>3.0239516750513649E-2</v>
      </c>
    </row>
    <row r="885" spans="2:12">
      <c r="B885">
        <v>8.568359375</v>
      </c>
      <c r="C885">
        <v>1.4296934241429</v>
      </c>
      <c r="D885">
        <v>48.288566406249998</v>
      </c>
      <c r="E885" s="5">
        <f t="shared" si="107"/>
        <v>48288.56640625</v>
      </c>
      <c r="F885" s="5">
        <v>0.307673995848745</v>
      </c>
      <c r="G885">
        <f t="shared" si="108"/>
        <v>965.77132812499997</v>
      </c>
      <c r="H885">
        <f t="shared" si="109"/>
        <v>3.07673995848745E-2</v>
      </c>
      <c r="I885">
        <f t="shared" si="110"/>
        <v>3.2303572971614264E-2</v>
      </c>
      <c r="J885">
        <f t="shared" si="111"/>
        <v>3316.5745438783229</v>
      </c>
      <c r="K885" s="5">
        <f t="shared" si="112"/>
        <v>995.4856004850368</v>
      </c>
      <c r="L885" s="5">
        <f t="shared" si="113"/>
        <v>3.0303572971614262E-2</v>
      </c>
    </row>
    <row r="886" spans="2:12">
      <c r="B886">
        <v>8.578125</v>
      </c>
      <c r="C886">
        <v>1.4333159197121901</v>
      </c>
      <c r="D886">
        <v>48.284339843749997</v>
      </c>
      <c r="E886" s="5">
        <f t="shared" si="107"/>
        <v>48284.33984375</v>
      </c>
      <c r="F886" s="5">
        <v>0.30836428049951797</v>
      </c>
      <c r="G886">
        <f t="shared" si="108"/>
        <v>965.68679687500003</v>
      </c>
      <c r="H886">
        <f t="shared" si="109"/>
        <v>3.0836428049951799E-2</v>
      </c>
      <c r="I886">
        <f t="shared" si="110"/>
        <v>3.2370538762206795E-2</v>
      </c>
      <c r="J886">
        <f t="shared" si="111"/>
        <v>3323.9036148297223</v>
      </c>
      <c r="K886" s="5">
        <f t="shared" si="112"/>
        <v>995.46512830562438</v>
      </c>
      <c r="L886" s="5">
        <f t="shared" si="113"/>
        <v>3.0370538762206793E-2</v>
      </c>
    </row>
    <row r="887" spans="2:12">
      <c r="B887">
        <v>8.587890625</v>
      </c>
      <c r="C887">
        <v>1.4328465331345801</v>
      </c>
      <c r="D887">
        <v>48.2973984375</v>
      </c>
      <c r="E887" s="5">
        <f t="shared" si="107"/>
        <v>48297.3984375</v>
      </c>
      <c r="F887" s="5">
        <v>0.30909155611880101</v>
      </c>
      <c r="G887">
        <f t="shared" si="108"/>
        <v>965.94796874999997</v>
      </c>
      <c r="H887">
        <f t="shared" si="109"/>
        <v>3.0909155611880103E-2</v>
      </c>
      <c r="I887">
        <f t="shared" si="110"/>
        <v>3.2441088264080181E-2</v>
      </c>
      <c r="J887">
        <f t="shared" si="111"/>
        <v>3331.624905062255</v>
      </c>
      <c r="K887" s="5">
        <f t="shared" si="112"/>
        <v>995.80460482907324</v>
      </c>
      <c r="L887" s="5">
        <f t="shared" si="113"/>
        <v>3.0441088264080179E-2</v>
      </c>
    </row>
    <row r="888" spans="2:12">
      <c r="B888">
        <v>8.59765625</v>
      </c>
      <c r="C888">
        <v>1.43649277742952</v>
      </c>
      <c r="D888">
        <v>48.300203125000003</v>
      </c>
      <c r="E888" s="5">
        <f t="shared" si="107"/>
        <v>48300.203125</v>
      </c>
      <c r="F888" s="5">
        <v>0.30979243456386002</v>
      </c>
      <c r="G888">
        <f t="shared" si="108"/>
        <v>966.00406250000003</v>
      </c>
      <c r="H888">
        <f t="shared" si="109"/>
        <v>3.0979243456386002E-2</v>
      </c>
      <c r="I888">
        <f t="shared" si="110"/>
        <v>3.2509072394127737E-2</v>
      </c>
      <c r="J888">
        <f t="shared" si="111"/>
        <v>3339.06542817531</v>
      </c>
      <c r="K888" s="5">
        <f t="shared" si="112"/>
        <v>995.93013753204548</v>
      </c>
      <c r="L888" s="5">
        <f t="shared" si="113"/>
        <v>3.0509072394127736E-2</v>
      </c>
    </row>
    <row r="889" spans="2:12">
      <c r="B889">
        <v>8.607421875</v>
      </c>
      <c r="C889">
        <v>1.43717532046139</v>
      </c>
      <c r="D889">
        <v>48.299781250000002</v>
      </c>
      <c r="E889" s="5">
        <f t="shared" si="107"/>
        <v>48299.78125</v>
      </c>
      <c r="F889" s="5">
        <v>0.310464442009106</v>
      </c>
      <c r="G889">
        <f t="shared" si="108"/>
        <v>965.99562500000002</v>
      </c>
      <c r="H889">
        <f t="shared" si="109"/>
        <v>3.10464442009106E-2</v>
      </c>
      <c r="I889">
        <f t="shared" si="110"/>
        <v>3.2574251741747537E-2</v>
      </c>
      <c r="J889">
        <f t="shared" si="111"/>
        <v>3346.1989818755592</v>
      </c>
      <c r="K889" s="5">
        <f t="shared" si="112"/>
        <v>995.98635426988631</v>
      </c>
      <c r="L889" s="5">
        <f t="shared" si="113"/>
        <v>3.0574251741747539E-2</v>
      </c>
    </row>
    <row r="890" spans="2:12">
      <c r="B890">
        <v>8.6171875</v>
      </c>
      <c r="C890">
        <v>1.4380143256858</v>
      </c>
      <c r="D890">
        <v>48.286625000000001</v>
      </c>
      <c r="E890" s="5">
        <f t="shared" si="107"/>
        <v>48286.625</v>
      </c>
      <c r="F890" s="5">
        <v>0.31117102480493503</v>
      </c>
      <c r="G890">
        <f t="shared" si="108"/>
        <v>965.73249999999996</v>
      </c>
      <c r="H890">
        <f t="shared" si="109"/>
        <v>3.1117102480493503E-2</v>
      </c>
      <c r="I890">
        <f t="shared" si="110"/>
        <v>3.264278004031456E-2</v>
      </c>
      <c r="J890">
        <f t="shared" si="111"/>
        <v>3353.6990615122272</v>
      </c>
      <c r="K890" s="5">
        <f t="shared" si="112"/>
        <v>995.78329717124313</v>
      </c>
      <c r="L890" s="5">
        <f t="shared" si="113"/>
        <v>3.0642780040314562E-2</v>
      </c>
    </row>
    <row r="891" spans="2:12">
      <c r="B891">
        <v>8.626953125</v>
      </c>
      <c r="C891">
        <v>1.4401763910427701</v>
      </c>
      <c r="D891">
        <v>48.282339843750002</v>
      </c>
      <c r="E891" s="5">
        <f t="shared" si="107"/>
        <v>48282.33984375</v>
      </c>
      <c r="F891" s="5">
        <v>0.311767886159942</v>
      </c>
      <c r="G891">
        <f t="shared" si="108"/>
        <v>965.64679687499995</v>
      </c>
      <c r="H891">
        <f t="shared" si="109"/>
        <v>3.1176788615994201E-2</v>
      </c>
      <c r="I891">
        <f t="shared" si="110"/>
        <v>3.270066328942374E-2</v>
      </c>
      <c r="J891">
        <f t="shared" si="111"/>
        <v>3360.0340937109809</v>
      </c>
      <c r="K891" s="5">
        <f t="shared" si="112"/>
        <v>995.75256293888367</v>
      </c>
      <c r="L891" s="5">
        <f t="shared" si="113"/>
        <v>3.0700663289423738E-2</v>
      </c>
    </row>
    <row r="892" spans="2:12">
      <c r="B892">
        <v>8.63671875</v>
      </c>
      <c r="C892">
        <v>1.4411390293389601</v>
      </c>
      <c r="D892">
        <v>48.282730468750003</v>
      </c>
      <c r="E892" s="5">
        <f t="shared" si="107"/>
        <v>48282.73046875</v>
      </c>
      <c r="F892" s="5">
        <v>0.31251049949787602</v>
      </c>
      <c r="G892">
        <f t="shared" si="108"/>
        <v>965.65460937499995</v>
      </c>
      <c r="H892">
        <f t="shared" si="109"/>
        <v>3.1251049949787599E-2</v>
      </c>
      <c r="I892">
        <f t="shared" si="110"/>
        <v>3.2772676799362722E-2</v>
      </c>
      <c r="J892">
        <f t="shared" si="111"/>
        <v>3367.915612306253</v>
      </c>
      <c r="K892" s="5">
        <f t="shared" si="112"/>
        <v>995.83232980682067</v>
      </c>
      <c r="L892" s="5">
        <f t="shared" si="113"/>
        <v>3.0772676799362721E-2</v>
      </c>
    </row>
    <row r="893" spans="2:12">
      <c r="B893">
        <v>8.646484375</v>
      </c>
      <c r="C893">
        <v>1.4419601066037999</v>
      </c>
      <c r="D893">
        <v>48.297265625000001</v>
      </c>
      <c r="E893" s="5">
        <f t="shared" si="107"/>
        <v>48297.265625</v>
      </c>
      <c r="F893" s="5">
        <v>0.31318992841988802</v>
      </c>
      <c r="G893">
        <f t="shared" si="108"/>
        <v>965.9453125</v>
      </c>
      <c r="H893">
        <f t="shared" si="109"/>
        <v>3.1318992841988802E-2</v>
      </c>
      <c r="I893">
        <f t="shared" si="110"/>
        <v>3.2838558578711999E-2</v>
      </c>
      <c r="J893">
        <f t="shared" si="111"/>
        <v>3375.1260436471343</v>
      </c>
      <c r="K893" s="5">
        <f t="shared" si="112"/>
        <v>996.19774682794014</v>
      </c>
      <c r="L893" s="5">
        <f t="shared" si="113"/>
        <v>3.0838558578711997E-2</v>
      </c>
    </row>
    <row r="894" spans="2:12">
      <c r="B894">
        <v>8.65625</v>
      </c>
      <c r="C894">
        <v>1.44608470145613</v>
      </c>
      <c r="D894">
        <v>48.32306640625</v>
      </c>
      <c r="E894" s="5">
        <f t="shared" si="107"/>
        <v>48323.06640625</v>
      </c>
      <c r="F894" s="5">
        <v>0.31387922354042502</v>
      </c>
      <c r="G894">
        <f t="shared" si="108"/>
        <v>966.46132812500002</v>
      </c>
      <c r="H894">
        <f t="shared" si="109"/>
        <v>3.1387922354042502E-2</v>
      </c>
      <c r="I894">
        <f t="shared" si="110"/>
        <v>3.2905392612739399E-2</v>
      </c>
      <c r="J894">
        <f t="shared" si="111"/>
        <v>3382.4406945012638</v>
      </c>
      <c r="K894" s="5">
        <f t="shared" si="112"/>
        <v>996.79654125037234</v>
      </c>
      <c r="L894" s="5">
        <f t="shared" si="113"/>
        <v>3.0905392612739401E-2</v>
      </c>
    </row>
    <row r="895" spans="2:12">
      <c r="B895">
        <v>8.666015625</v>
      </c>
      <c r="C895">
        <v>1.44589843694121</v>
      </c>
      <c r="D895">
        <v>48.316316406250003</v>
      </c>
      <c r="E895" s="5">
        <f t="shared" si="107"/>
        <v>48316.31640625</v>
      </c>
      <c r="F895" s="5">
        <v>0.31463257619179802</v>
      </c>
      <c r="G895">
        <f t="shared" si="108"/>
        <v>966.32632812500003</v>
      </c>
      <c r="H895">
        <f t="shared" si="109"/>
        <v>3.1463257619179799E-2</v>
      </c>
      <c r="I895">
        <f t="shared" si="110"/>
        <v>3.2978432554643229E-2</v>
      </c>
      <c r="J895">
        <f t="shared" si="111"/>
        <v>3390.4345509429286</v>
      </c>
      <c r="K895" s="5">
        <f t="shared" si="112"/>
        <v>996.73010233099296</v>
      </c>
      <c r="L895" s="5">
        <f t="shared" si="113"/>
        <v>3.0978432554643231E-2</v>
      </c>
    </row>
    <row r="896" spans="2:12">
      <c r="B896">
        <v>8.67578125</v>
      </c>
      <c r="C896">
        <v>1.44827668555081</v>
      </c>
      <c r="D896">
        <v>48.306839843749998</v>
      </c>
      <c r="E896" s="5">
        <f t="shared" si="107"/>
        <v>48306.83984375</v>
      </c>
      <c r="F896" s="5">
        <v>0.31520245829597099</v>
      </c>
      <c r="G896">
        <f t="shared" si="108"/>
        <v>966.13679687499996</v>
      </c>
      <c r="H896">
        <f t="shared" si="109"/>
        <v>3.1520245829597102E-2</v>
      </c>
      <c r="I896">
        <f t="shared" si="110"/>
        <v>3.3033680897964018E-2</v>
      </c>
      <c r="J896">
        <f t="shared" si="111"/>
        <v>3396.481205877672</v>
      </c>
      <c r="K896" s="5">
        <f t="shared" si="112"/>
        <v>996.58966621751949</v>
      </c>
      <c r="L896" s="5">
        <f t="shared" si="113"/>
        <v>3.1033680897964017E-2</v>
      </c>
    </row>
    <row r="897" spans="2:12">
      <c r="B897">
        <v>8.685546875</v>
      </c>
      <c r="C897">
        <v>1.44916179124266</v>
      </c>
      <c r="D897">
        <v>48.316878906249997</v>
      </c>
      <c r="E897" s="5">
        <f t="shared" si="107"/>
        <v>48316.87890625</v>
      </c>
      <c r="F897" s="5">
        <v>0.31595141626894502</v>
      </c>
      <c r="G897">
        <f t="shared" si="108"/>
        <v>966.33757812500005</v>
      </c>
      <c r="H897">
        <f t="shared" si="109"/>
        <v>3.1595141626894502E-2</v>
      </c>
      <c r="I897">
        <f t="shared" si="110"/>
        <v>3.3106285462677763E-2</v>
      </c>
      <c r="J897">
        <f t="shared" si="111"/>
        <v>3404.4274124627682</v>
      </c>
      <c r="K897" s="5">
        <f t="shared" si="112"/>
        <v>996.86915076524963</v>
      </c>
      <c r="L897" s="5">
        <f t="shared" si="113"/>
        <v>3.1106285462677765E-2</v>
      </c>
    </row>
    <row r="898" spans="2:12">
      <c r="B898">
        <v>8.6953125</v>
      </c>
      <c r="C898">
        <v>1.4507010346278499</v>
      </c>
      <c r="D898">
        <v>48.315046875</v>
      </c>
      <c r="E898" s="5">
        <f t="shared" si="107"/>
        <v>48315.046875</v>
      </c>
      <c r="F898" s="5">
        <v>0.316728284815326</v>
      </c>
      <c r="G898">
        <f t="shared" si="108"/>
        <v>966.30093750000003</v>
      </c>
      <c r="H898">
        <f t="shared" si="109"/>
        <v>3.1672828481532599E-2</v>
      </c>
      <c r="I898">
        <f t="shared" si="110"/>
        <v>3.318159013061267E-2</v>
      </c>
      <c r="J898">
        <f t="shared" si="111"/>
        <v>3412.6691318449039</v>
      </c>
      <c r="K898" s="5">
        <f t="shared" si="112"/>
        <v>996.90642135498172</v>
      </c>
      <c r="L898" s="5">
        <f t="shared" si="113"/>
        <v>3.1181590130612672E-2</v>
      </c>
    </row>
    <row r="899" spans="2:12">
      <c r="B899">
        <v>8.705078125</v>
      </c>
      <c r="C899">
        <v>1.45268579944968</v>
      </c>
      <c r="D899">
        <v>48.329265624999998</v>
      </c>
      <c r="E899" s="5">
        <f t="shared" si="107"/>
        <v>48329.265625</v>
      </c>
      <c r="F899" s="5">
        <v>0.31734106596559303</v>
      </c>
      <c r="G899">
        <f t="shared" si="108"/>
        <v>966.58531249999999</v>
      </c>
      <c r="H899">
        <f t="shared" si="109"/>
        <v>3.17341065965593E-2</v>
      </c>
      <c r="I899">
        <f t="shared" si="110"/>
        <v>3.3240985215511276E-2</v>
      </c>
      <c r="J899">
        <f t="shared" si="111"/>
        <v>3419.1696269116319</v>
      </c>
      <c r="K899" s="5">
        <f t="shared" si="112"/>
        <v>997.25903384154356</v>
      </c>
      <c r="L899" s="5">
        <f t="shared" si="113"/>
        <v>3.1240985215511278E-2</v>
      </c>
    </row>
    <row r="900" spans="2:12">
      <c r="B900">
        <v>8.71484375</v>
      </c>
      <c r="C900">
        <v>1.4549046754837001</v>
      </c>
      <c r="D900">
        <v>48.339277343749998</v>
      </c>
      <c r="E900" s="5">
        <f t="shared" si="107"/>
        <v>48339.27734375</v>
      </c>
      <c r="F900" s="5">
        <v>0.31818481511436397</v>
      </c>
      <c r="G900">
        <f t="shared" si="108"/>
        <v>966.78554687500002</v>
      </c>
      <c r="H900">
        <f t="shared" si="109"/>
        <v>3.1818481511436396E-2</v>
      </c>
      <c r="I900">
        <f t="shared" si="110"/>
        <v>3.3322761580611329E-2</v>
      </c>
      <c r="J900">
        <f t="shared" si="111"/>
        <v>3428.1196411900069</v>
      </c>
      <c r="K900" s="5">
        <f t="shared" si="112"/>
        <v>997.54719492376614</v>
      </c>
      <c r="L900" s="5">
        <f t="shared" si="113"/>
        <v>3.1322761580611327E-2</v>
      </c>
    </row>
    <row r="901" spans="2:12">
      <c r="B901">
        <v>8.724609375</v>
      </c>
      <c r="C901">
        <v>1.4568851329386201</v>
      </c>
      <c r="D901">
        <v>48.355593749999997</v>
      </c>
      <c r="E901" s="5">
        <f t="shared" si="107"/>
        <v>48355.59375</v>
      </c>
      <c r="F901" s="5">
        <v>0.31888147350400697</v>
      </c>
      <c r="G901">
        <f t="shared" si="108"/>
        <v>967.11187500000005</v>
      </c>
      <c r="H901">
        <f t="shared" si="109"/>
        <v>3.18881473504007E-2</v>
      </c>
      <c r="I901">
        <f t="shared" si="110"/>
        <v>3.3390276834975918E-2</v>
      </c>
      <c r="J901">
        <f t="shared" si="111"/>
        <v>3435.5088482039391</v>
      </c>
      <c r="K901" s="5">
        <f t="shared" si="112"/>
        <v>997.95128097432234</v>
      </c>
      <c r="L901" s="5">
        <f t="shared" si="113"/>
        <v>3.1390276834975916E-2</v>
      </c>
    </row>
    <row r="902" spans="2:12">
      <c r="B902">
        <v>8.734375</v>
      </c>
      <c r="C902">
        <v>1.4585793251171699</v>
      </c>
      <c r="D902">
        <v>48.366054687499997</v>
      </c>
      <c r="E902" s="5">
        <f t="shared" si="107"/>
        <v>48366.0546875</v>
      </c>
      <c r="F902" s="5">
        <v>0.319523067446426</v>
      </c>
      <c r="G902">
        <f t="shared" si="108"/>
        <v>967.32109375000005</v>
      </c>
      <c r="H902">
        <f t="shared" si="109"/>
        <v>3.1952306744642597E-2</v>
      </c>
      <c r="I902">
        <f t="shared" si="110"/>
        <v>3.3452451596726746E-2</v>
      </c>
      <c r="J902">
        <f t="shared" si="111"/>
        <v>3442.3135650037584</v>
      </c>
      <c r="K902" s="5">
        <f t="shared" si="112"/>
        <v>998.22923405806318</v>
      </c>
      <c r="L902" s="5">
        <f t="shared" si="113"/>
        <v>3.1452451596726744E-2</v>
      </c>
    </row>
    <row r="903" spans="2:12">
      <c r="B903">
        <v>8.744140625</v>
      </c>
      <c r="C903">
        <v>1.45998736843467</v>
      </c>
      <c r="D903">
        <v>48.352414062500003</v>
      </c>
      <c r="E903" s="5">
        <f t="shared" si="107"/>
        <v>48352.4140625</v>
      </c>
      <c r="F903" s="5">
        <v>0.320334977004677</v>
      </c>
      <c r="G903">
        <f t="shared" si="108"/>
        <v>967.04828124999995</v>
      </c>
      <c r="H903">
        <f t="shared" si="109"/>
        <v>3.2033497700467699E-2</v>
      </c>
      <c r="I903">
        <f t="shared" si="110"/>
        <v>3.353112554466977E-2</v>
      </c>
      <c r="J903">
        <f t="shared" si="111"/>
        <v>3450.9240352363827</v>
      </c>
      <c r="K903" s="5">
        <f t="shared" si="112"/>
        <v>998.02622014366307</v>
      </c>
      <c r="L903" s="5">
        <f t="shared" si="113"/>
        <v>3.1531125544669768E-2</v>
      </c>
    </row>
    <row r="904" spans="2:12">
      <c r="B904">
        <v>8.75390625</v>
      </c>
      <c r="C904">
        <v>1.46153708919883</v>
      </c>
      <c r="D904">
        <v>48.357382812499999</v>
      </c>
      <c r="E904" s="5">
        <f t="shared" si="107"/>
        <v>48357.3828125</v>
      </c>
      <c r="F904" s="5">
        <v>0.320970983011648</v>
      </c>
      <c r="G904">
        <f t="shared" si="108"/>
        <v>967.14765624999995</v>
      </c>
      <c r="H904">
        <f t="shared" si="109"/>
        <v>3.2097098301164799E-2</v>
      </c>
      <c r="I904">
        <f t="shared" si="110"/>
        <v>3.3592750134548363E-2</v>
      </c>
      <c r="J904">
        <f t="shared" si="111"/>
        <v>3457.6685384756456</v>
      </c>
      <c r="K904" s="5">
        <f t="shared" si="112"/>
        <v>998.19028964439735</v>
      </c>
      <c r="L904" s="5">
        <f t="shared" si="113"/>
        <v>3.1592750134548361E-2</v>
      </c>
    </row>
    <row r="905" spans="2:12">
      <c r="B905">
        <v>8.763671875</v>
      </c>
      <c r="C905">
        <v>1.4633074169978499</v>
      </c>
      <c r="D905">
        <v>48.354726562499998</v>
      </c>
      <c r="E905" s="5">
        <f t="shared" ref="E905:E968" si="114" xml:space="preserve"> D905*R$3</f>
        <v>48354.7265625</v>
      </c>
      <c r="F905" s="5">
        <v>0.32170474878512301</v>
      </c>
      <c r="G905">
        <f t="shared" ref="G905:G968" si="115" xml:space="preserve"> E905/C$3</f>
        <v>967.09453125000005</v>
      </c>
      <c r="H905">
        <f t="shared" ref="H905:H968" si="116" xml:space="preserve"> F905/C$4</f>
        <v>3.2170474878512302E-2</v>
      </c>
      <c r="I905">
        <f t="shared" ref="I905:I968" si="117">L905+0.002</f>
        <v>3.3663842252965349E-2</v>
      </c>
      <c r="J905">
        <f t="shared" ref="J905:J968" si="118">L905*G$2</f>
        <v>3465.4492153757924</v>
      </c>
      <c r="K905" s="5">
        <f t="shared" ref="K905:K968" si="119" xml:space="preserve"> G905 * (1 + H905)</f>
        <v>998.20642157272482</v>
      </c>
      <c r="L905" s="5">
        <f t="shared" ref="L905:L968" si="120">LN(1 + H905)</f>
        <v>3.1663842252965348E-2</v>
      </c>
    </row>
    <row r="906" spans="2:12">
      <c r="B906">
        <v>8.7734375</v>
      </c>
      <c r="C906">
        <v>1.4643818140029901</v>
      </c>
      <c r="D906">
        <v>48.345917968750001</v>
      </c>
      <c r="E906" s="5">
        <f t="shared" si="114"/>
        <v>48345.91796875</v>
      </c>
      <c r="F906" s="5">
        <v>0.32235946855507802</v>
      </c>
      <c r="G906">
        <f t="shared" si="115"/>
        <v>966.91835937500002</v>
      </c>
      <c r="H906">
        <f t="shared" si="116"/>
        <v>3.2235946855507805E-2</v>
      </c>
      <c r="I906">
        <f t="shared" si="117"/>
        <v>3.3727271601303094E-2</v>
      </c>
      <c r="J906">
        <f t="shared" si="118"/>
        <v>3472.3912404046168</v>
      </c>
      <c r="K906" s="5">
        <f t="shared" si="119"/>
        <v>998.08788822142731</v>
      </c>
      <c r="L906" s="5">
        <f t="shared" si="120"/>
        <v>3.1727271601303092E-2</v>
      </c>
    </row>
    <row r="907" spans="2:12">
      <c r="B907">
        <v>8.783203125</v>
      </c>
      <c r="C907">
        <v>1.46723096258938</v>
      </c>
      <c r="D907">
        <v>48.37039453125</v>
      </c>
      <c r="E907" s="5">
        <f t="shared" si="114"/>
        <v>48370.39453125</v>
      </c>
      <c r="F907" s="5">
        <v>0.323096726788208</v>
      </c>
      <c r="G907">
        <f t="shared" si="115"/>
        <v>967.40789062500005</v>
      </c>
      <c r="H907">
        <f t="shared" si="116"/>
        <v>3.2309672678820803E-2</v>
      </c>
      <c r="I907">
        <f t="shared" si="117"/>
        <v>3.3798692472459202E-2</v>
      </c>
      <c r="J907">
        <f t="shared" si="118"/>
        <v>3480.2078976482971</v>
      </c>
      <c r="K907" s="5">
        <f t="shared" si="119"/>
        <v>998.66452291800226</v>
      </c>
      <c r="L907" s="5">
        <f t="shared" si="120"/>
        <v>3.17986924724592E-2</v>
      </c>
    </row>
    <row r="908" spans="2:12">
      <c r="B908">
        <v>8.79296875</v>
      </c>
      <c r="C908">
        <v>1.4688521623611499</v>
      </c>
      <c r="D908">
        <v>48.384164062499998</v>
      </c>
      <c r="E908" s="5">
        <f t="shared" si="114"/>
        <v>48384.1640625</v>
      </c>
      <c r="F908" s="5">
        <v>0.323857850162312</v>
      </c>
      <c r="G908">
        <f t="shared" si="115"/>
        <v>967.68328125000005</v>
      </c>
      <c r="H908">
        <f t="shared" si="116"/>
        <v>3.2385785016231197E-2</v>
      </c>
      <c r="I908">
        <f t="shared" si="117"/>
        <v>3.387241989522391E-2</v>
      </c>
      <c r="J908">
        <f t="shared" si="118"/>
        <v>3488.2769954327805</v>
      </c>
      <c r="K908" s="5">
        <f t="shared" si="119"/>
        <v>999.02246396036378</v>
      </c>
      <c r="L908" s="5">
        <f t="shared" si="120"/>
        <v>3.1872419895223908E-2</v>
      </c>
    </row>
    <row r="909" spans="2:12">
      <c r="B909">
        <v>8.802734375</v>
      </c>
      <c r="C909">
        <v>1.4702036278322299</v>
      </c>
      <c r="D909">
        <v>48.366437500000004</v>
      </c>
      <c r="E909" s="5">
        <f t="shared" si="114"/>
        <v>48366.4375</v>
      </c>
      <c r="F909" s="5">
        <v>0.324544380418956</v>
      </c>
      <c r="G909">
        <f t="shared" si="115"/>
        <v>967.32875000000001</v>
      </c>
      <c r="H909">
        <f t="shared" si="116"/>
        <v>3.24544380418956E-2</v>
      </c>
      <c r="I909">
        <f t="shared" si="117"/>
        <v>3.3938917074931123E-2</v>
      </c>
      <c r="J909">
        <f t="shared" si="118"/>
        <v>3495.5547792658367</v>
      </c>
      <c r="K909" s="5">
        <f t="shared" si="119"/>
        <v>998.72286098301936</v>
      </c>
      <c r="L909" s="5">
        <f t="shared" si="120"/>
        <v>3.1938917074931121E-2</v>
      </c>
    </row>
    <row r="910" spans="2:12">
      <c r="B910">
        <v>8.8125</v>
      </c>
      <c r="C910">
        <v>1.47187849506736</v>
      </c>
      <c r="D910">
        <v>48.380031250000002</v>
      </c>
      <c r="E910" s="5">
        <f t="shared" si="114"/>
        <v>48380.03125</v>
      </c>
      <c r="F910" s="5">
        <v>0.32532753539271703</v>
      </c>
      <c r="G910">
        <f t="shared" si="115"/>
        <v>967.60062500000004</v>
      </c>
      <c r="H910">
        <f t="shared" si="116"/>
        <v>3.2532753539271701E-2</v>
      </c>
      <c r="I910">
        <f t="shared" si="117"/>
        <v>3.4014767906096428E-2</v>
      </c>
      <c r="J910">
        <f t="shared" si="118"/>
        <v>3503.8562734827233</v>
      </c>
      <c r="K910" s="5">
        <f t="shared" si="119"/>
        <v>999.07933765757025</v>
      </c>
      <c r="L910" s="5">
        <f t="shared" si="120"/>
        <v>3.2014767906096427E-2</v>
      </c>
    </row>
    <row r="911" spans="2:12">
      <c r="B911">
        <v>8.822265625</v>
      </c>
      <c r="C911">
        <v>1.47256988566369</v>
      </c>
      <c r="D911">
        <v>48.365464843749997</v>
      </c>
      <c r="E911" s="5">
        <f t="shared" si="114"/>
        <v>48365.46484375</v>
      </c>
      <c r="F911" s="5">
        <v>0.32600158010609398</v>
      </c>
      <c r="G911">
        <f t="shared" si="115"/>
        <v>967.30929687499997</v>
      </c>
      <c r="H911">
        <f t="shared" si="116"/>
        <v>3.2600158010609399E-2</v>
      </c>
      <c r="I911">
        <f t="shared" si="117"/>
        <v>3.4080046485489311E-2</v>
      </c>
      <c r="J911">
        <f t="shared" si="118"/>
        <v>3511.0006876043776</v>
      </c>
      <c r="K911" s="5">
        <f t="shared" si="119"/>
        <v>998.8437327982565</v>
      </c>
      <c r="L911" s="5">
        <f t="shared" si="120"/>
        <v>3.2080046485489309E-2</v>
      </c>
    </row>
    <row r="912" spans="2:12">
      <c r="B912">
        <v>8.83203125</v>
      </c>
      <c r="C912">
        <v>1.47593615110964</v>
      </c>
      <c r="D912">
        <v>48.367386718749998</v>
      </c>
      <c r="E912" s="5">
        <f t="shared" si="114"/>
        <v>48367.38671875</v>
      </c>
      <c r="F912" s="5">
        <v>0.32671180088072999</v>
      </c>
      <c r="G912">
        <f t="shared" si="115"/>
        <v>967.34773437499996</v>
      </c>
      <c r="H912">
        <f t="shared" si="116"/>
        <v>3.2671180088073001E-2</v>
      </c>
      <c r="I912">
        <f t="shared" si="117"/>
        <v>3.4148823963955605E-2</v>
      </c>
      <c r="J912">
        <f t="shared" si="118"/>
        <v>3518.5280387351208</v>
      </c>
      <c r="K912" s="5">
        <f t="shared" si="119"/>
        <v>998.952126412555</v>
      </c>
      <c r="L912" s="5">
        <f t="shared" si="120"/>
        <v>3.2148823963955603E-2</v>
      </c>
    </row>
    <row r="913" spans="2:12">
      <c r="B913">
        <v>8.841796875</v>
      </c>
      <c r="C913">
        <v>1.47561880294234</v>
      </c>
      <c r="D913">
        <v>48.3683046875</v>
      </c>
      <c r="E913" s="5">
        <f t="shared" si="114"/>
        <v>48368.3046875</v>
      </c>
      <c r="F913" s="5">
        <v>0.32742996700108101</v>
      </c>
      <c r="G913">
        <f t="shared" si="115"/>
        <v>967.36609375</v>
      </c>
      <c r="H913">
        <f t="shared" si="116"/>
        <v>3.27429967001081E-2</v>
      </c>
      <c r="I913">
        <f t="shared" si="117"/>
        <v>3.4218366056646819E-2</v>
      </c>
      <c r="J913">
        <f t="shared" si="118"/>
        <v>3526.1390730697108</v>
      </c>
      <c r="K913" s="5">
        <f t="shared" si="119"/>
        <v>999.04055856545267</v>
      </c>
      <c r="L913" s="5">
        <f t="shared" si="120"/>
        <v>3.2218366056646817E-2</v>
      </c>
    </row>
    <row r="914" spans="2:12">
      <c r="B914">
        <v>8.8515625</v>
      </c>
      <c r="C914">
        <v>1.47678854409605</v>
      </c>
      <c r="D914">
        <v>48.361656250000003</v>
      </c>
      <c r="E914" s="5">
        <f t="shared" si="114"/>
        <v>48361.65625</v>
      </c>
      <c r="F914" s="5">
        <v>0.32810235279612199</v>
      </c>
      <c r="G914">
        <f t="shared" si="115"/>
        <v>967.23312499999997</v>
      </c>
      <c r="H914">
        <f t="shared" si="116"/>
        <v>3.2810235279612202E-2</v>
      </c>
      <c r="I914">
        <f t="shared" si="117"/>
        <v>3.4283470725446373E-2</v>
      </c>
      <c r="J914">
        <f t="shared" si="118"/>
        <v>3533.2644535464783</v>
      </c>
      <c r="K914" s="5">
        <f t="shared" si="119"/>
        <v>998.96827140148457</v>
      </c>
      <c r="L914" s="5">
        <f t="shared" si="120"/>
        <v>3.2283470725446371E-2</v>
      </c>
    </row>
    <row r="915" spans="2:12">
      <c r="B915">
        <v>8.861328125</v>
      </c>
      <c r="C915">
        <v>1.4787018299102801</v>
      </c>
      <c r="D915">
        <v>48.368777343749997</v>
      </c>
      <c r="E915" s="5">
        <f t="shared" si="114"/>
        <v>48368.77734375</v>
      </c>
      <c r="F915" s="5">
        <v>0.328747730236501</v>
      </c>
      <c r="G915">
        <f t="shared" si="115"/>
        <v>967.37554687500005</v>
      </c>
      <c r="H915">
        <f t="shared" si="116"/>
        <v>3.2874773023650099E-2</v>
      </c>
      <c r="I915">
        <f t="shared" si="117"/>
        <v>3.4345956287184377E-2</v>
      </c>
      <c r="J915">
        <f t="shared" si="118"/>
        <v>3540.1031858508941</v>
      </c>
      <c r="K915" s="5">
        <f t="shared" si="119"/>
        <v>999.17779840714502</v>
      </c>
      <c r="L915" s="5">
        <f t="shared" si="120"/>
        <v>3.2345956287184376E-2</v>
      </c>
    </row>
    <row r="916" spans="2:12">
      <c r="B916">
        <v>8.87109375</v>
      </c>
      <c r="C916">
        <v>1.48030661512166</v>
      </c>
      <c r="D916">
        <v>48.370066406249997</v>
      </c>
      <c r="E916" s="5">
        <f t="shared" si="114"/>
        <v>48370.06640625</v>
      </c>
      <c r="F916" s="5">
        <v>0.32947483123280102</v>
      </c>
      <c r="G916">
        <f t="shared" si="115"/>
        <v>967.40132812499996</v>
      </c>
      <c r="H916">
        <f t="shared" si="116"/>
        <v>3.2947483123280101E-2</v>
      </c>
      <c r="I916">
        <f t="shared" si="117"/>
        <v>3.441634966148726E-2</v>
      </c>
      <c r="J916">
        <f t="shared" si="118"/>
        <v>3547.807388701473</v>
      </c>
      <c r="K916" s="5">
        <f t="shared" si="119"/>
        <v>999.27476705683716</v>
      </c>
      <c r="L916" s="5">
        <f t="shared" si="120"/>
        <v>3.2416349661487258E-2</v>
      </c>
    </row>
    <row r="917" spans="2:12">
      <c r="B917">
        <v>8.880859375</v>
      </c>
      <c r="C917">
        <v>1.48199195973575</v>
      </c>
      <c r="D917">
        <v>48.357660156249999</v>
      </c>
      <c r="E917" s="5">
        <f t="shared" si="114"/>
        <v>48357.66015625</v>
      </c>
      <c r="F917" s="5">
        <v>0.33013158827088801</v>
      </c>
      <c r="G917">
        <f t="shared" si="115"/>
        <v>967.153203125</v>
      </c>
      <c r="H917">
        <f t="shared" si="116"/>
        <v>3.3013158827088801E-2</v>
      </c>
      <c r="I917">
        <f t="shared" si="117"/>
        <v>3.4479928514343609E-2</v>
      </c>
      <c r="J917">
        <f t="shared" si="118"/>
        <v>3554.7657762523363</v>
      </c>
      <c r="K917" s="5">
        <f t="shared" si="119"/>
        <v>999.08198542989328</v>
      </c>
      <c r="L917" s="5">
        <f t="shared" si="120"/>
        <v>3.2479928514343608E-2</v>
      </c>
    </row>
    <row r="918" spans="2:12">
      <c r="B918">
        <v>8.890625</v>
      </c>
      <c r="C918">
        <v>1.4837488997727599</v>
      </c>
      <c r="D918">
        <v>48.355359374999999</v>
      </c>
      <c r="E918" s="5">
        <f t="shared" si="114"/>
        <v>48355.359375</v>
      </c>
      <c r="F918" s="5">
        <v>0.33086884650401799</v>
      </c>
      <c r="G918">
        <f t="shared" si="115"/>
        <v>967.10718750000001</v>
      </c>
      <c r="H918">
        <f t="shared" si="116"/>
        <v>3.3086884650401799E-2</v>
      </c>
      <c r="I918">
        <f t="shared" si="117"/>
        <v>3.4551295652229343E-2</v>
      </c>
      <c r="J918">
        <f t="shared" si="118"/>
        <v>3562.5765526582404</v>
      </c>
      <c r="K918" s="5">
        <f t="shared" si="119"/>
        <v>999.10575145738699</v>
      </c>
      <c r="L918" s="5">
        <f t="shared" si="120"/>
        <v>3.2551295652229341E-2</v>
      </c>
    </row>
    <row r="919" spans="2:12">
      <c r="B919">
        <v>8.900390625</v>
      </c>
      <c r="C919">
        <v>1.48817303124815</v>
      </c>
      <c r="D919">
        <v>48.375511718749998</v>
      </c>
      <c r="E919" s="5">
        <f t="shared" si="114"/>
        <v>48375.51171875</v>
      </c>
      <c r="F919" s="5">
        <v>0.331536983139813</v>
      </c>
      <c r="G919">
        <f t="shared" si="115"/>
        <v>967.51023437499998</v>
      </c>
      <c r="H919">
        <f t="shared" si="116"/>
        <v>3.3153698313981302E-2</v>
      </c>
      <c r="I919">
        <f t="shared" si="117"/>
        <v>3.4615967369698908E-2</v>
      </c>
      <c r="J919">
        <f t="shared" si="118"/>
        <v>3569.6545487766966</v>
      </c>
      <c r="K919" s="5">
        <f t="shared" si="119"/>
        <v>999.58677680115807</v>
      </c>
      <c r="L919" s="5">
        <f t="shared" si="120"/>
        <v>3.2615967369698906E-2</v>
      </c>
    </row>
    <row r="920" spans="2:12">
      <c r="B920">
        <v>8.91015625</v>
      </c>
      <c r="C920">
        <v>1.4867827994749001</v>
      </c>
      <c r="D920">
        <v>48.375339843749998</v>
      </c>
      <c r="E920" s="5">
        <f t="shared" si="114"/>
        <v>48375.33984375</v>
      </c>
      <c r="F920" s="5">
        <v>0.33225753577426098</v>
      </c>
      <c r="G920">
        <f t="shared" si="115"/>
        <v>967.50679687499996</v>
      </c>
      <c r="H920">
        <f t="shared" si="116"/>
        <v>3.3225753577426097E-2</v>
      </c>
      <c r="I920">
        <f t="shared" si="117"/>
        <v>3.468570796202626E-2</v>
      </c>
      <c r="J920">
        <f t="shared" si="118"/>
        <v>3577.2873079039637</v>
      </c>
      <c r="K920" s="5">
        <f t="shared" si="119"/>
        <v>999.65293929245354</v>
      </c>
      <c r="L920" s="5">
        <f t="shared" si="120"/>
        <v>3.2685707962026259E-2</v>
      </c>
    </row>
    <row r="921" spans="2:12">
      <c r="B921">
        <v>8.919921875</v>
      </c>
      <c r="C921">
        <v>1.48912076838315</v>
      </c>
      <c r="D921">
        <v>48.394769531249999</v>
      </c>
      <c r="E921" s="5">
        <f t="shared" si="114"/>
        <v>48394.76953125</v>
      </c>
      <c r="F921" s="5">
        <v>0.33295332104899</v>
      </c>
      <c r="G921">
        <f t="shared" si="115"/>
        <v>967.895390625</v>
      </c>
      <c r="H921">
        <f t="shared" si="116"/>
        <v>3.3295332104899003E-2</v>
      </c>
      <c r="I921">
        <f t="shared" si="117"/>
        <v>3.4753046764404105E-2</v>
      </c>
      <c r="J921">
        <f t="shared" si="118"/>
        <v>3584.6572031302071</v>
      </c>
      <c r="K921" s="5">
        <f t="shared" si="119"/>
        <v>1000.1217890986603</v>
      </c>
      <c r="L921" s="5">
        <f t="shared" si="120"/>
        <v>3.2753046764404103E-2</v>
      </c>
    </row>
    <row r="922" spans="2:12">
      <c r="B922">
        <v>8.9296875</v>
      </c>
      <c r="C922">
        <v>1.4905839925631901</v>
      </c>
      <c r="D922">
        <v>48.384457031250001</v>
      </c>
      <c r="E922" s="5">
        <f t="shared" si="114"/>
        <v>48384.45703125</v>
      </c>
      <c r="F922" s="5">
        <v>0.33367960713803801</v>
      </c>
      <c r="G922">
        <f t="shared" si="115"/>
        <v>967.68914062500005</v>
      </c>
      <c r="H922">
        <f t="shared" si="116"/>
        <v>3.3367960713803803E-2</v>
      </c>
      <c r="I922">
        <f t="shared" si="117"/>
        <v>3.4823332629728219E-2</v>
      </c>
      <c r="J922">
        <f t="shared" si="118"/>
        <v>3592.3496396606047</v>
      </c>
      <c r="K922" s="5">
        <f t="shared" si="119"/>
        <v>999.97895385254958</v>
      </c>
      <c r="L922" s="5">
        <f t="shared" si="120"/>
        <v>3.2823332629728218E-2</v>
      </c>
    </row>
    <row r="923" spans="2:12">
      <c r="B923">
        <v>8.939453125</v>
      </c>
      <c r="C923">
        <v>1.4929265016689901</v>
      </c>
      <c r="D923">
        <v>48.392414062500002</v>
      </c>
      <c r="E923" s="5">
        <f t="shared" si="114"/>
        <v>48392.4140625</v>
      </c>
      <c r="F923" s="5">
        <v>0.33439093385823099</v>
      </c>
      <c r="G923">
        <f t="shared" si="115"/>
        <v>967.84828125000001</v>
      </c>
      <c r="H923">
        <f t="shared" si="116"/>
        <v>3.3439093385823099E-2</v>
      </c>
      <c r="I923">
        <f t="shared" si="117"/>
        <v>3.4892166023640141E-2</v>
      </c>
      <c r="J923">
        <f t="shared" si="118"/>
        <v>3599.8831104572951</v>
      </c>
      <c r="K923" s="5">
        <f t="shared" si="119"/>
        <v>1000.2122503100271</v>
      </c>
      <c r="L923" s="5">
        <f t="shared" si="120"/>
        <v>3.2892166023640139E-2</v>
      </c>
    </row>
    <row r="924" spans="2:12">
      <c r="B924">
        <v>8.94921875</v>
      </c>
      <c r="C924">
        <v>1.4936580555513499</v>
      </c>
      <c r="D924">
        <v>48.37921875</v>
      </c>
      <c r="E924" s="5">
        <f t="shared" si="114"/>
        <v>48379.21875</v>
      </c>
      <c r="F924" s="5">
        <v>0.33505816827528201</v>
      </c>
      <c r="G924">
        <f t="shared" si="115"/>
        <v>967.58437500000002</v>
      </c>
      <c r="H924">
        <f t="shared" si="116"/>
        <v>3.35058168275282E-2</v>
      </c>
      <c r="I924">
        <f t="shared" si="117"/>
        <v>3.495672840399057E-2</v>
      </c>
      <c r="J924">
        <f t="shared" si="118"/>
        <v>3606.9491401747478</v>
      </c>
      <c r="K924" s="5">
        <f t="shared" si="119"/>
        <v>1000.0040798339284</v>
      </c>
      <c r="L924" s="5">
        <f t="shared" si="120"/>
        <v>3.2956728403990568E-2</v>
      </c>
    </row>
    <row r="925" spans="2:12">
      <c r="B925">
        <v>8.958984375</v>
      </c>
      <c r="C925">
        <v>1.495475997217</v>
      </c>
      <c r="D925">
        <v>48.376523437499998</v>
      </c>
      <c r="E925" s="5">
        <f t="shared" si="114"/>
        <v>48376.5234375</v>
      </c>
      <c r="F925" s="5">
        <v>0.33581288880668603</v>
      </c>
      <c r="G925">
        <f t="shared" si="115"/>
        <v>967.53046874999995</v>
      </c>
      <c r="H925">
        <f t="shared" si="116"/>
        <v>3.3581288880668601E-2</v>
      </c>
      <c r="I925">
        <f t="shared" si="117"/>
        <v>3.5029751019211304E-2</v>
      </c>
      <c r="J925">
        <f t="shared" si="118"/>
        <v>3614.9411002975808</v>
      </c>
      <c r="K925" s="5">
        <f t="shared" si="119"/>
        <v>1000.0213889219424</v>
      </c>
      <c r="L925" s="5">
        <f t="shared" si="120"/>
        <v>3.3029751019211302E-2</v>
      </c>
    </row>
    <row r="926" spans="2:12">
      <c r="B926">
        <v>8.96875</v>
      </c>
      <c r="C926">
        <v>1.49673817213625</v>
      </c>
      <c r="D926">
        <v>48.3825703125</v>
      </c>
      <c r="E926" s="5">
        <f t="shared" si="114"/>
        <v>48382.5703125</v>
      </c>
      <c r="F926" s="5">
        <v>0.336461467668414</v>
      </c>
      <c r="G926">
        <f t="shared" si="115"/>
        <v>967.65140625000004</v>
      </c>
      <c r="H926">
        <f t="shared" si="116"/>
        <v>3.3646146766841398E-2</v>
      </c>
      <c r="I926">
        <f t="shared" si="117"/>
        <v>3.5092499689314743E-2</v>
      </c>
      <c r="J926">
        <f t="shared" si="118"/>
        <v>3621.8086284970518</v>
      </c>
      <c r="K926" s="5">
        <f t="shared" si="119"/>
        <v>1000.209147483828</v>
      </c>
      <c r="L926" s="5">
        <f t="shared" si="120"/>
        <v>3.3092499689314742E-2</v>
      </c>
    </row>
    <row r="927" spans="2:12">
      <c r="B927">
        <v>8.978515625</v>
      </c>
      <c r="C927">
        <v>1.4986083842814</v>
      </c>
      <c r="D927">
        <v>48.397484374999998</v>
      </c>
      <c r="E927" s="5">
        <f t="shared" si="114"/>
        <v>48397.484375</v>
      </c>
      <c r="F927" s="5">
        <v>0.33722145599313103</v>
      </c>
      <c r="G927">
        <f t="shared" si="115"/>
        <v>967.94968749999998</v>
      </c>
      <c r="H927">
        <f t="shared" si="116"/>
        <v>3.3722145599313101E-2</v>
      </c>
      <c r="I927">
        <f t="shared" si="117"/>
        <v>3.516602198603036E-2</v>
      </c>
      <c r="J927">
        <f t="shared" si="118"/>
        <v>3629.8552762610925</v>
      </c>
      <c r="K927" s="5">
        <f t="shared" si="119"/>
        <v>1000.5910277946846</v>
      </c>
      <c r="L927" s="5">
        <f t="shared" si="120"/>
        <v>3.3166021986030358E-2</v>
      </c>
    </row>
    <row r="928" spans="2:12">
      <c r="B928">
        <v>8.98828125</v>
      </c>
      <c r="C928">
        <v>1.5002638101577801</v>
      </c>
      <c r="D928">
        <v>48.399140625000001</v>
      </c>
      <c r="E928" s="5">
        <f t="shared" si="114"/>
        <v>48399.140625</v>
      </c>
      <c r="F928" s="5">
        <v>0.33790420275181499</v>
      </c>
      <c r="G928">
        <f t="shared" si="115"/>
        <v>967.98281250000002</v>
      </c>
      <c r="H928">
        <f t="shared" si="116"/>
        <v>3.3790420275181497E-2</v>
      </c>
      <c r="I928">
        <f t="shared" si="117"/>
        <v>3.523206722030868E-2</v>
      </c>
      <c r="J928">
        <f t="shared" si="118"/>
        <v>3637.0835969266832</v>
      </c>
      <c r="K928" s="5">
        <f t="shared" si="119"/>
        <v>1000.6913585535273</v>
      </c>
      <c r="L928" s="5">
        <f t="shared" si="120"/>
        <v>3.3232067220308678E-2</v>
      </c>
    </row>
    <row r="929" spans="2:12">
      <c r="B929">
        <v>8.998046875</v>
      </c>
      <c r="C929">
        <v>1.5006989706307701</v>
      </c>
      <c r="D929">
        <v>48.395957031249999</v>
      </c>
      <c r="E929" s="5">
        <f t="shared" si="114"/>
        <v>48395.95703125</v>
      </c>
      <c r="F929" s="5">
        <v>0.33854460343718501</v>
      </c>
      <c r="G929">
        <f t="shared" si="115"/>
        <v>967.91914062499995</v>
      </c>
      <c r="H929">
        <f t="shared" si="116"/>
        <v>3.3854460343718501E-2</v>
      </c>
      <c r="I929">
        <f t="shared" si="117"/>
        <v>3.5294012159846171E-2</v>
      </c>
      <c r="J929">
        <f t="shared" si="118"/>
        <v>3643.863160834364</v>
      </c>
      <c r="K929" s="5">
        <f t="shared" si="119"/>
        <v>1000.6875207872151</v>
      </c>
      <c r="L929" s="5">
        <f t="shared" si="120"/>
        <v>3.3294012159846169E-2</v>
      </c>
    </row>
    <row r="930" spans="2:12">
      <c r="B930">
        <v>9.0078125</v>
      </c>
      <c r="C930">
        <v>1.5034363605082</v>
      </c>
      <c r="D930">
        <v>48.399332031249997</v>
      </c>
      <c r="E930" s="5">
        <f t="shared" si="114"/>
        <v>48399.33203125</v>
      </c>
      <c r="F930" s="5">
        <v>0.339325430104509</v>
      </c>
      <c r="G930">
        <f t="shared" si="115"/>
        <v>967.98664062499995</v>
      </c>
      <c r="H930">
        <f t="shared" si="116"/>
        <v>3.39325430104509E-2</v>
      </c>
      <c r="I930">
        <f t="shared" si="117"/>
        <v>3.5369535090054E-2</v>
      </c>
      <c r="J930">
        <f t="shared" si="118"/>
        <v>3652.1287679309598</v>
      </c>
      <c r="K930" s="5">
        <f t="shared" si="119"/>
        <v>1000.8328889415496</v>
      </c>
      <c r="L930" s="5">
        <f t="shared" si="120"/>
        <v>3.3369535090053998E-2</v>
      </c>
    </row>
    <row r="931" spans="2:12">
      <c r="B931">
        <v>9.017578125</v>
      </c>
      <c r="C931">
        <v>1.50407699402422</v>
      </c>
      <c r="D931">
        <v>48.414499999999997</v>
      </c>
      <c r="E931" s="5">
        <f t="shared" si="114"/>
        <v>48414.5</v>
      </c>
      <c r="F931" s="5">
        <v>0.34000317100435501</v>
      </c>
      <c r="G931">
        <f t="shared" si="115"/>
        <v>968.29</v>
      </c>
      <c r="H931">
        <f t="shared" si="116"/>
        <v>3.4000317100435502E-2</v>
      </c>
      <c r="I931">
        <f t="shared" si="117"/>
        <v>3.5435082759725664E-2</v>
      </c>
      <c r="J931">
        <f t="shared" si="118"/>
        <v>3659.3026326381751</v>
      </c>
      <c r="K931" s="5">
        <f t="shared" si="119"/>
        <v>1001.2121670451806</v>
      </c>
      <c r="L931" s="5">
        <f t="shared" si="120"/>
        <v>3.3435082759725662E-2</v>
      </c>
    </row>
    <row r="932" spans="2:12">
      <c r="B932">
        <v>9.02734375</v>
      </c>
      <c r="C932">
        <v>1.50635838508606</v>
      </c>
      <c r="D932">
        <v>48.423988281249997</v>
      </c>
      <c r="E932" s="5">
        <f t="shared" si="114"/>
        <v>48423.98828125</v>
      </c>
      <c r="F932" s="5">
        <v>0.34076254814863199</v>
      </c>
      <c r="G932">
        <f t="shared" si="115"/>
        <v>968.47976562500003</v>
      </c>
      <c r="H932">
        <f t="shared" si="116"/>
        <v>3.4076254814863198E-2</v>
      </c>
      <c r="I932">
        <f t="shared" si="117"/>
        <v>3.5508520770187249E-2</v>
      </c>
      <c r="J932">
        <f t="shared" si="118"/>
        <v>3667.3400556931433</v>
      </c>
      <c r="K932" s="5">
        <f t="shared" si="119"/>
        <v>1001.4819289014765</v>
      </c>
      <c r="L932" s="5">
        <f t="shared" si="120"/>
        <v>3.3508520770187247E-2</v>
      </c>
    </row>
    <row r="933" spans="2:12">
      <c r="B933">
        <v>9.037109375</v>
      </c>
      <c r="C933">
        <v>1.5099062584340599</v>
      </c>
      <c r="D933">
        <v>48.412171874999999</v>
      </c>
      <c r="E933" s="5">
        <f t="shared" si="114"/>
        <v>48412.171875</v>
      </c>
      <c r="F933" s="5">
        <v>0.34148321719840202</v>
      </c>
      <c r="G933">
        <f t="shared" si="115"/>
        <v>968.24343750000003</v>
      </c>
      <c r="H933">
        <f t="shared" si="116"/>
        <v>3.4148321719840204E-2</v>
      </c>
      <c r="I933">
        <f t="shared" si="117"/>
        <v>3.557821040237108E-2</v>
      </c>
      <c r="J933">
        <f t="shared" si="118"/>
        <v>3674.9672374875026</v>
      </c>
      <c r="K933" s="5">
        <f t="shared" si="119"/>
        <v>1001.307325906874</v>
      </c>
      <c r="L933" s="5">
        <f t="shared" si="120"/>
        <v>3.3578210402371078E-2</v>
      </c>
    </row>
    <row r="934" spans="2:12">
      <c r="B934">
        <v>9.046875</v>
      </c>
      <c r="C934">
        <v>1.5097558498382599</v>
      </c>
      <c r="D934">
        <v>48.4211796875</v>
      </c>
      <c r="E934" s="5">
        <f t="shared" si="114"/>
        <v>48421.1796875</v>
      </c>
      <c r="F934" s="5">
        <v>0.34212990431114998</v>
      </c>
      <c r="G934">
        <f t="shared" si="115"/>
        <v>968.42359375000001</v>
      </c>
      <c r="H934">
        <f t="shared" si="116"/>
        <v>3.4212990431114997E-2</v>
      </c>
      <c r="I934">
        <f t="shared" si="117"/>
        <v>3.5640741751140778E-2</v>
      </c>
      <c r="J934">
        <f t="shared" si="118"/>
        <v>3681.8109809536022</v>
      </c>
      <c r="K934" s="5">
        <f t="shared" si="119"/>
        <v>1001.5562608962348</v>
      </c>
      <c r="L934" s="5">
        <f t="shared" si="120"/>
        <v>3.3640741751140776E-2</v>
      </c>
    </row>
    <row r="935" spans="2:12">
      <c r="B935">
        <v>9.056640625</v>
      </c>
      <c r="C935">
        <v>1.51240371633321</v>
      </c>
      <c r="D935">
        <v>48.421312499999999</v>
      </c>
      <c r="E935" s="5">
        <f t="shared" si="114"/>
        <v>48421.3125</v>
      </c>
      <c r="F935" s="5">
        <v>0.34289516042918</v>
      </c>
      <c r="G935">
        <f t="shared" si="115"/>
        <v>968.42624999999998</v>
      </c>
      <c r="H935">
        <f t="shared" si="116"/>
        <v>3.4289516042918002E-2</v>
      </c>
      <c r="I935">
        <f t="shared" si="117"/>
        <v>3.5714733067659217E-2</v>
      </c>
      <c r="J935">
        <f t="shared" si="118"/>
        <v>3689.9089605899626</v>
      </c>
      <c r="K935" s="5">
        <f t="shared" si="119"/>
        <v>1001.6331174357579</v>
      </c>
      <c r="L935" s="5">
        <f t="shared" si="120"/>
        <v>3.3714733067659215E-2</v>
      </c>
    </row>
    <row r="936" spans="2:12">
      <c r="B936">
        <v>9.06640625</v>
      </c>
      <c r="C936">
        <v>1.5127569204196301</v>
      </c>
      <c r="D936">
        <v>48.420777343749997</v>
      </c>
      <c r="E936" s="5">
        <f t="shared" si="114"/>
        <v>48420.77734375</v>
      </c>
      <c r="F936" s="5">
        <v>0.34361143480055001</v>
      </c>
      <c r="G936">
        <f t="shared" si="115"/>
        <v>968.41554687500002</v>
      </c>
      <c r="H936">
        <f t="shared" si="116"/>
        <v>3.4361143480054999E-2</v>
      </c>
      <c r="I936">
        <f t="shared" si="117"/>
        <v>3.5783983462196307E-2</v>
      </c>
      <c r="J936">
        <f t="shared" si="118"/>
        <v>3697.4880700200747</v>
      </c>
      <c r="K936" s="5">
        <f t="shared" si="119"/>
        <v>1001.6914124294879</v>
      </c>
      <c r="L936" s="5">
        <f t="shared" si="120"/>
        <v>3.3783983462196306E-2</v>
      </c>
    </row>
    <row r="937" spans="2:12">
      <c r="B937">
        <v>9.076171875</v>
      </c>
      <c r="C937">
        <v>1.5154852299019701</v>
      </c>
      <c r="D937">
        <v>48.401453125000003</v>
      </c>
      <c r="E937" s="5">
        <f t="shared" si="114"/>
        <v>48401.453125</v>
      </c>
      <c r="F937" s="5">
        <v>0.34432782558724301</v>
      </c>
      <c r="G937">
        <f t="shared" si="115"/>
        <v>968.02906250000001</v>
      </c>
      <c r="H937">
        <f t="shared" si="116"/>
        <v>3.4432782558724298E-2</v>
      </c>
      <c r="I937">
        <f t="shared" si="117"/>
        <v>3.5853240315473191E-2</v>
      </c>
      <c r="J937">
        <f t="shared" si="118"/>
        <v>3705.0678863269632</v>
      </c>
      <c r="K937" s="5">
        <f t="shared" si="119"/>
        <v>1001.3609967195882</v>
      </c>
      <c r="L937" s="5">
        <f t="shared" si="120"/>
        <v>3.3853240315473189E-2</v>
      </c>
    </row>
    <row r="938" spans="2:12">
      <c r="B938">
        <v>9.0859375</v>
      </c>
      <c r="C938">
        <v>1.5160411130636899</v>
      </c>
      <c r="D938">
        <v>48.399789062499998</v>
      </c>
      <c r="E938" s="5">
        <f t="shared" si="114"/>
        <v>48399.7890625</v>
      </c>
      <c r="F938" s="5">
        <v>0.34497454180382198</v>
      </c>
      <c r="G938">
        <f t="shared" si="115"/>
        <v>967.99578125000005</v>
      </c>
      <c r="H938">
        <f t="shared" si="116"/>
        <v>3.4497454180382199E-2</v>
      </c>
      <c r="I938">
        <f t="shared" si="117"/>
        <v>3.5915757282484029E-2</v>
      </c>
      <c r="J938">
        <f t="shared" si="118"/>
        <v>3711.9100557814645</v>
      </c>
      <c r="K938" s="5">
        <f t="shared" si="119"/>
        <v>1001.3891713604752</v>
      </c>
      <c r="L938" s="5">
        <f t="shared" si="120"/>
        <v>3.3915757282484027E-2</v>
      </c>
    </row>
    <row r="939" spans="2:12">
      <c r="B939">
        <v>9.095703125</v>
      </c>
      <c r="C939">
        <v>1.5181555645540401</v>
      </c>
      <c r="D939">
        <v>48.423046874999997</v>
      </c>
      <c r="E939" s="5">
        <f t="shared" si="114"/>
        <v>48423.046875</v>
      </c>
      <c r="F939" s="5">
        <v>0.34570143907330902</v>
      </c>
      <c r="G939">
        <f t="shared" si="115"/>
        <v>968.4609375</v>
      </c>
      <c r="H939">
        <f t="shared" si="116"/>
        <v>3.4570143907330902E-2</v>
      </c>
      <c r="I939">
        <f t="shared" si="117"/>
        <v>3.598602055183861E-2</v>
      </c>
      <c r="J939">
        <f t="shared" si="118"/>
        <v>3719.6000192959764</v>
      </c>
      <c r="K939" s="5">
        <f t="shared" si="119"/>
        <v>1001.9407714780036</v>
      </c>
      <c r="L939" s="5">
        <f t="shared" si="120"/>
        <v>3.3986020551838608E-2</v>
      </c>
    </row>
    <row r="940" spans="2:12">
      <c r="B940">
        <v>9.10546875</v>
      </c>
      <c r="C940">
        <v>1.5191301936283701</v>
      </c>
      <c r="D940">
        <v>48.419761718750003</v>
      </c>
      <c r="E940" s="5">
        <f t="shared" si="114"/>
        <v>48419.76171875</v>
      </c>
      <c r="F940" s="5">
        <v>0.34638989018276301</v>
      </c>
      <c r="G940">
        <f t="shared" si="115"/>
        <v>968.39523437499997</v>
      </c>
      <c r="H940">
        <f t="shared" si="116"/>
        <v>3.4638989018276299E-2</v>
      </c>
      <c r="I940">
        <f t="shared" si="117"/>
        <v>3.6052562990565883E-2</v>
      </c>
      <c r="J940">
        <f t="shared" si="118"/>
        <v>3726.8827565024826</v>
      </c>
      <c r="K940" s="5">
        <f t="shared" si="119"/>
        <v>1001.9394662638667</v>
      </c>
      <c r="L940" s="5">
        <f t="shared" si="120"/>
        <v>3.4052562990565881E-2</v>
      </c>
    </row>
    <row r="941" spans="2:12">
      <c r="B941">
        <v>9.115234375</v>
      </c>
      <c r="C941">
        <v>1.52167084161192</v>
      </c>
      <c r="D941">
        <v>48.413476562500001</v>
      </c>
      <c r="E941" s="5">
        <f t="shared" si="114"/>
        <v>48413.4765625</v>
      </c>
      <c r="F941" s="5">
        <v>0.34708340535871701</v>
      </c>
      <c r="G941">
        <f t="shared" si="115"/>
        <v>968.26953125</v>
      </c>
      <c r="H941">
        <f t="shared" si="116"/>
        <v>3.4708340535871698E-2</v>
      </c>
      <c r="I941">
        <f t="shared" si="117"/>
        <v>3.6119590421515579E-2</v>
      </c>
      <c r="J941">
        <f t="shared" si="118"/>
        <v>3734.2185736827723</v>
      </c>
      <c r="K941" s="5">
        <f t="shared" si="119"/>
        <v>1001.8765598711338</v>
      </c>
      <c r="L941" s="5">
        <f t="shared" si="120"/>
        <v>3.4119590421515578E-2</v>
      </c>
    </row>
    <row r="942" spans="2:12">
      <c r="B942">
        <v>9.125</v>
      </c>
      <c r="C942">
        <v>1.5228241682052599</v>
      </c>
      <c r="D942">
        <v>48.410234375000002</v>
      </c>
      <c r="E942" s="5">
        <f t="shared" si="114"/>
        <v>48410.234375</v>
      </c>
      <c r="F942" s="5">
        <v>0.34783978480845701</v>
      </c>
      <c r="G942">
        <f t="shared" si="115"/>
        <v>968.20468749999998</v>
      </c>
      <c r="H942">
        <f t="shared" si="116"/>
        <v>3.4783978480845704E-2</v>
      </c>
      <c r="I942">
        <f t="shared" si="117"/>
        <v>3.6192688489396913E-2</v>
      </c>
      <c r="J942">
        <f t="shared" si="118"/>
        <v>3742.2187917220449</v>
      </c>
      <c r="K942" s="5">
        <f t="shared" si="119"/>
        <v>1001.8826985150539</v>
      </c>
      <c r="L942" s="5">
        <f t="shared" si="120"/>
        <v>3.4192688489396911E-2</v>
      </c>
    </row>
    <row r="943" spans="2:12">
      <c r="B943">
        <v>9.134765625</v>
      </c>
      <c r="C943">
        <v>1.52466003783047</v>
      </c>
      <c r="D943">
        <v>48.417566406250003</v>
      </c>
      <c r="E943" s="5">
        <f t="shared" si="114"/>
        <v>48417.56640625</v>
      </c>
      <c r="F943" s="5">
        <v>0.34849203075282298</v>
      </c>
      <c r="G943">
        <f t="shared" si="115"/>
        <v>968.35132812500001</v>
      </c>
      <c r="H943">
        <f t="shared" si="116"/>
        <v>3.4849203075282296E-2</v>
      </c>
      <c r="I943">
        <f t="shared" si="117"/>
        <v>3.6255718590614307E-2</v>
      </c>
      <c r="J943">
        <f t="shared" si="118"/>
        <v>3749.1171211497826</v>
      </c>
      <c r="K943" s="5">
        <f t="shared" si="119"/>
        <v>1002.0976002070474</v>
      </c>
      <c r="L943" s="5">
        <f t="shared" si="120"/>
        <v>3.4255718590614305E-2</v>
      </c>
    </row>
    <row r="944" spans="2:12">
      <c r="B944">
        <v>9.14453125</v>
      </c>
      <c r="C944">
        <v>1.5261024236679099</v>
      </c>
      <c r="D944">
        <v>48.429417968750002</v>
      </c>
      <c r="E944" s="5">
        <f t="shared" si="114"/>
        <v>48429.41796875</v>
      </c>
      <c r="F944" s="5">
        <v>0.34917442826554201</v>
      </c>
      <c r="G944">
        <f t="shared" si="115"/>
        <v>968.58835937499998</v>
      </c>
      <c r="H944">
        <f t="shared" si="116"/>
        <v>3.49174428265542E-2</v>
      </c>
      <c r="I944">
        <f t="shared" si="117"/>
        <v>3.6321658150933092E-2</v>
      </c>
      <c r="J944">
        <f t="shared" si="118"/>
        <v>3756.3338763288721</v>
      </c>
      <c r="K944" s="5">
        <f t="shared" si="119"/>
        <v>1002.4089880359425</v>
      </c>
      <c r="L944" s="5">
        <f t="shared" si="120"/>
        <v>3.432165815093309E-2</v>
      </c>
    </row>
    <row r="945" spans="2:12">
      <c r="B945">
        <v>9.154296875</v>
      </c>
      <c r="C945">
        <v>1.5281259547918999</v>
      </c>
      <c r="D945">
        <v>48.443347656249998</v>
      </c>
      <c r="E945" s="5">
        <f t="shared" si="114"/>
        <v>48443.34765625</v>
      </c>
      <c r="F945" s="5">
        <v>0.34987941035069497</v>
      </c>
      <c r="G945">
        <f t="shared" si="115"/>
        <v>968.86695312500001</v>
      </c>
      <c r="H945">
        <f t="shared" si="116"/>
        <v>3.4987941035069497E-2</v>
      </c>
      <c r="I945">
        <f t="shared" si="117"/>
        <v>3.6389775475611078E-2</v>
      </c>
      <c r="J945">
        <f t="shared" si="118"/>
        <v>3763.7889769282542</v>
      </c>
      <c r="K945" s="5">
        <f t="shared" si="119"/>
        <v>1002.765612951765</v>
      </c>
      <c r="L945" s="5">
        <f t="shared" si="120"/>
        <v>3.4389775475611076E-2</v>
      </c>
    </row>
    <row r="946" spans="2:12">
      <c r="B946">
        <v>9.1640625</v>
      </c>
      <c r="C946">
        <v>1.52922864072025</v>
      </c>
      <c r="D946">
        <v>48.451578124999997</v>
      </c>
      <c r="E946" s="5">
        <f t="shared" si="114"/>
        <v>48451.578125</v>
      </c>
      <c r="F946" s="5">
        <v>0.35064277471974498</v>
      </c>
      <c r="G946">
        <f t="shared" si="115"/>
        <v>969.03156249999995</v>
      </c>
      <c r="H946">
        <f t="shared" si="116"/>
        <v>3.5064277471974499E-2</v>
      </c>
      <c r="I946">
        <f t="shared" si="117"/>
        <v>3.6463528626625427E-2</v>
      </c>
      <c r="J946">
        <f t="shared" si="118"/>
        <v>3771.8608905410197</v>
      </c>
      <c r="K946" s="5">
        <f t="shared" si="119"/>
        <v>1003.0099540866009</v>
      </c>
      <c r="L946" s="5">
        <f t="shared" si="120"/>
        <v>3.4463528626625425E-2</v>
      </c>
    </row>
    <row r="947" spans="2:12">
      <c r="B947">
        <v>9.173828125</v>
      </c>
      <c r="C947">
        <v>1.53094530105591</v>
      </c>
      <c r="D947">
        <v>48.455789062500003</v>
      </c>
      <c r="E947" s="5">
        <f t="shared" si="114"/>
        <v>48455.7890625</v>
      </c>
      <c r="F947" s="5">
        <v>0.35137898521497801</v>
      </c>
      <c r="G947">
        <f t="shared" si="115"/>
        <v>969.11578125000005</v>
      </c>
      <c r="H947">
        <f t="shared" si="116"/>
        <v>3.5137898521497804E-2</v>
      </c>
      <c r="I947">
        <f t="shared" si="117"/>
        <v>3.6534653128771272E-2</v>
      </c>
      <c r="J947">
        <f t="shared" si="118"/>
        <v>3779.6451116783714</v>
      </c>
      <c r="K947" s="5">
        <f t="shared" si="119"/>
        <v>1003.1684732271447</v>
      </c>
      <c r="L947" s="5">
        <f t="shared" si="120"/>
        <v>3.453465312877127E-2</v>
      </c>
    </row>
    <row r="948" spans="2:12">
      <c r="B948">
        <v>9.18359375</v>
      </c>
      <c r="C948">
        <v>1.53274834156036</v>
      </c>
      <c r="D948">
        <v>48.448421875000001</v>
      </c>
      <c r="E948" s="5">
        <f t="shared" si="114"/>
        <v>48448.421875</v>
      </c>
      <c r="F948" s="5">
        <v>0.35214406671002502</v>
      </c>
      <c r="G948">
        <f t="shared" si="115"/>
        <v>968.96843750000005</v>
      </c>
      <c r="H948">
        <f t="shared" si="116"/>
        <v>3.52144066710025E-2</v>
      </c>
      <c r="I948">
        <f t="shared" si="117"/>
        <v>3.6608561467315975E-2</v>
      </c>
      <c r="J948">
        <f t="shared" si="118"/>
        <v>3787.7340097903966</v>
      </c>
      <c r="K948" s="5">
        <f t="shared" si="119"/>
        <v>1003.0900861094909</v>
      </c>
      <c r="L948" s="5">
        <f t="shared" si="120"/>
        <v>3.4608561467315974E-2</v>
      </c>
    </row>
    <row r="949" spans="2:12">
      <c r="B949">
        <v>9.193359375</v>
      </c>
      <c r="C949">
        <v>1.53425196185708</v>
      </c>
      <c r="D949">
        <v>48.445023437499998</v>
      </c>
      <c r="E949" s="5">
        <f t="shared" si="114"/>
        <v>48445.0234375</v>
      </c>
      <c r="F949" s="5">
        <v>0.35283144097775199</v>
      </c>
      <c r="G949">
        <f t="shared" si="115"/>
        <v>968.90046874999996</v>
      </c>
      <c r="H949">
        <f t="shared" si="116"/>
        <v>3.52831440977752E-2</v>
      </c>
      <c r="I949">
        <f t="shared" si="117"/>
        <v>3.6674958480702874E-2</v>
      </c>
      <c r="J949">
        <f t="shared" si="118"/>
        <v>3795.0008309205259</v>
      </c>
      <c r="K949" s="5">
        <f t="shared" si="119"/>
        <v>1003.0863236053082</v>
      </c>
      <c r="L949" s="5">
        <f t="shared" si="120"/>
        <v>3.4674958480702872E-2</v>
      </c>
    </row>
    <row r="950" spans="2:12">
      <c r="B950">
        <v>9.203125</v>
      </c>
      <c r="C950">
        <v>1.53516232967377</v>
      </c>
      <c r="D950">
        <v>48.447679687499999</v>
      </c>
      <c r="E950" s="5">
        <f t="shared" si="114"/>
        <v>48447.6796875</v>
      </c>
      <c r="F950" s="5">
        <v>0.35349192330613699</v>
      </c>
      <c r="G950">
        <f t="shared" si="115"/>
        <v>968.95359374999998</v>
      </c>
      <c r="H950">
        <f t="shared" si="116"/>
        <v>3.5349192330613698E-2</v>
      </c>
      <c r="I950">
        <f t="shared" si="117"/>
        <v>3.6738753710497105E-2</v>
      </c>
      <c r="J950">
        <f t="shared" si="118"/>
        <v>3801.9828998453554</v>
      </c>
      <c r="K950" s="5">
        <f t="shared" si="119"/>
        <v>1003.2053206949081</v>
      </c>
      <c r="L950" s="5">
        <f t="shared" si="120"/>
        <v>3.4738753710497103E-2</v>
      </c>
    </row>
    <row r="951" spans="2:12">
      <c r="B951">
        <v>9.212890625</v>
      </c>
      <c r="C951">
        <v>1.53731845784932</v>
      </c>
      <c r="D951">
        <v>48.455929687500003</v>
      </c>
      <c r="E951" s="5">
        <f t="shared" si="114"/>
        <v>48455.9296875</v>
      </c>
      <c r="F951" s="5">
        <v>0.35429521813057402</v>
      </c>
      <c r="G951">
        <f t="shared" si="115"/>
        <v>969.11859374999995</v>
      </c>
      <c r="H951">
        <f t="shared" si="116"/>
        <v>3.5429521813057405E-2</v>
      </c>
      <c r="I951">
        <f t="shared" si="117"/>
        <v>3.6816337550755134E-2</v>
      </c>
      <c r="J951">
        <f t="shared" si="118"/>
        <v>3810.4740632423955</v>
      </c>
      <c r="K951" s="5">
        <f t="shared" si="119"/>
        <v>1003.454002106705</v>
      </c>
      <c r="L951" s="5">
        <f t="shared" si="120"/>
        <v>3.4816337550755132E-2</v>
      </c>
    </row>
    <row r="952" spans="2:12">
      <c r="B952">
        <v>9.22265625</v>
      </c>
      <c r="C952">
        <v>1.53865362517536</v>
      </c>
      <c r="D952">
        <v>48.459640624999999</v>
      </c>
      <c r="E952" s="5">
        <f t="shared" si="114"/>
        <v>48459.640625</v>
      </c>
      <c r="F952" s="5">
        <v>0.35501245292834899</v>
      </c>
      <c r="G952">
        <f t="shared" si="115"/>
        <v>969.19281249999995</v>
      </c>
      <c r="H952">
        <f t="shared" si="116"/>
        <v>3.5501245292834896E-2</v>
      </c>
      <c r="I952">
        <f t="shared" si="117"/>
        <v>3.6885604453295279E-2</v>
      </c>
      <c r="J952">
        <f t="shared" si="118"/>
        <v>3818.0549793909017</v>
      </c>
      <c r="K952" s="5">
        <f t="shared" si="119"/>
        <v>1003.600364272615</v>
      </c>
      <c r="L952" s="5">
        <f t="shared" si="120"/>
        <v>3.4885604453295277E-2</v>
      </c>
    </row>
    <row r="953" spans="2:12">
      <c r="B953">
        <v>9.232421875</v>
      </c>
      <c r="C953">
        <v>1.5408858889713899</v>
      </c>
      <c r="D953">
        <v>48.477613281250001</v>
      </c>
      <c r="E953" s="5">
        <f t="shared" si="114"/>
        <v>48477.61328125</v>
      </c>
      <c r="F953" s="5">
        <v>0.35572063643485302</v>
      </c>
      <c r="G953">
        <f t="shared" si="115"/>
        <v>969.55226562500002</v>
      </c>
      <c r="H953">
        <f t="shared" si="116"/>
        <v>3.5572063643485301E-2</v>
      </c>
      <c r="I953">
        <f t="shared" si="117"/>
        <v>3.6953992520846919E-2</v>
      </c>
      <c r="J953">
        <f t="shared" si="118"/>
        <v>3825.5397114440907</v>
      </c>
      <c r="K953" s="5">
        <f t="shared" si="119"/>
        <v>1004.0412405234979</v>
      </c>
      <c r="L953" s="5">
        <f t="shared" si="120"/>
        <v>3.4953992520846917E-2</v>
      </c>
    </row>
    <row r="954" spans="2:12">
      <c r="B954">
        <v>9.2421875</v>
      </c>
      <c r="C954">
        <v>1.54334760736674</v>
      </c>
      <c r="D954">
        <v>48.473406249999996</v>
      </c>
      <c r="E954" s="5">
        <f t="shared" si="114"/>
        <v>48473.40625</v>
      </c>
      <c r="F954" s="5">
        <v>0.35648257471620998</v>
      </c>
      <c r="G954">
        <f t="shared" si="115"/>
        <v>969.46812499999999</v>
      </c>
      <c r="H954">
        <f t="shared" si="116"/>
        <v>3.5648257471620995E-2</v>
      </c>
      <c r="I954">
        <f t="shared" si="117"/>
        <v>3.7027566372352085E-2</v>
      </c>
      <c r="J954">
        <f t="shared" si="118"/>
        <v>3833.5920016220739</v>
      </c>
      <c r="K954" s="5">
        <f t="shared" si="119"/>
        <v>1004.0279743305297</v>
      </c>
      <c r="L954" s="5">
        <f t="shared" si="120"/>
        <v>3.5027566372352083E-2</v>
      </c>
    </row>
    <row r="955" spans="2:12">
      <c r="B955">
        <v>9.251953125</v>
      </c>
      <c r="C955">
        <v>1.5449405182153</v>
      </c>
      <c r="D955">
        <v>48.483878906249998</v>
      </c>
      <c r="E955" s="5">
        <f t="shared" si="114"/>
        <v>48483.87890625</v>
      </c>
      <c r="F955" s="5">
        <v>0.35714765544980798</v>
      </c>
      <c r="G955">
        <f t="shared" si="115"/>
        <v>969.67757812499997</v>
      </c>
      <c r="H955">
        <f t="shared" si="116"/>
        <v>3.5714765544980799E-2</v>
      </c>
      <c r="I955">
        <f t="shared" si="117"/>
        <v>3.7091783095971803E-2</v>
      </c>
      <c r="J955">
        <f t="shared" si="118"/>
        <v>3840.6202009386338</v>
      </c>
      <c r="K955" s="5">
        <f t="shared" si="119"/>
        <v>1004.3093854819591</v>
      </c>
      <c r="L955" s="5">
        <f t="shared" si="120"/>
        <v>3.5091783095971801E-2</v>
      </c>
    </row>
    <row r="956" spans="2:12">
      <c r="B956">
        <v>9.26171875</v>
      </c>
      <c r="C956">
        <v>1.5455081593245299</v>
      </c>
      <c r="D956">
        <v>48.482046875000002</v>
      </c>
      <c r="E956" s="5">
        <f t="shared" si="114"/>
        <v>48482.046875</v>
      </c>
      <c r="F956" s="5">
        <v>0.35795063013210898</v>
      </c>
      <c r="G956">
        <f t="shared" si="115"/>
        <v>969.64093749999995</v>
      </c>
      <c r="H956">
        <f t="shared" si="116"/>
        <v>3.57950630132109E-2</v>
      </c>
      <c r="I956">
        <f t="shared" si="117"/>
        <v>3.7169308644886274E-2</v>
      </c>
      <c r="J956">
        <f t="shared" si="118"/>
        <v>3849.1049846395781</v>
      </c>
      <c r="K956" s="5">
        <f t="shared" si="119"/>
        <v>1004.3492959580013</v>
      </c>
      <c r="L956" s="5">
        <f t="shared" si="120"/>
        <v>3.5169308644886273E-2</v>
      </c>
    </row>
    <row r="957" spans="2:12">
      <c r="B957">
        <v>9.271484375</v>
      </c>
      <c r="C957">
        <v>1.54800561722368</v>
      </c>
      <c r="D957">
        <v>48.485429687500002</v>
      </c>
      <c r="E957" s="5">
        <f t="shared" si="114"/>
        <v>48485.4296875</v>
      </c>
      <c r="F957" s="5">
        <v>0.358649442205206</v>
      </c>
      <c r="G957">
        <f t="shared" si="115"/>
        <v>969.70859374999998</v>
      </c>
      <c r="H957">
        <f t="shared" si="116"/>
        <v>3.5864944220520598E-2</v>
      </c>
      <c r="I957">
        <f t="shared" si="117"/>
        <v>3.7236772617827929E-2</v>
      </c>
      <c r="J957">
        <f t="shared" si="118"/>
        <v>3856.4885791581773</v>
      </c>
      <c r="K957" s="5">
        <f t="shared" si="119"/>
        <v>1004.4871383750032</v>
      </c>
      <c r="L957" s="5">
        <f t="shared" si="120"/>
        <v>3.5236772617827927E-2</v>
      </c>
    </row>
    <row r="958" spans="2:12">
      <c r="B958">
        <v>9.28125</v>
      </c>
      <c r="C958">
        <v>1.5501930611208099</v>
      </c>
      <c r="D958">
        <v>48.493019531249999</v>
      </c>
      <c r="E958" s="5">
        <f t="shared" si="114"/>
        <v>48493.01953125</v>
      </c>
      <c r="F958" s="5">
        <v>0.35937654320150603</v>
      </c>
      <c r="G958">
        <f t="shared" si="115"/>
        <v>969.86039062500004</v>
      </c>
      <c r="H958">
        <f t="shared" si="116"/>
        <v>3.59376543201506E-2</v>
      </c>
      <c r="I958">
        <f t="shared" si="117"/>
        <v>3.7306962798795099E-2</v>
      </c>
      <c r="J958">
        <f t="shared" si="118"/>
        <v>3864.1705435141293</v>
      </c>
      <c r="K958" s="5">
        <f t="shared" si="119"/>
        <v>1004.7148980820875</v>
      </c>
      <c r="L958" s="5">
        <f t="shared" si="120"/>
        <v>3.5306962798795097E-2</v>
      </c>
    </row>
    <row r="959" spans="2:12">
      <c r="B959">
        <v>9.291015625</v>
      </c>
      <c r="C959">
        <v>1.55174732208252</v>
      </c>
      <c r="D959">
        <v>48.480898437500002</v>
      </c>
      <c r="E959" s="5">
        <f t="shared" si="114"/>
        <v>48480.8984375</v>
      </c>
      <c r="F959" s="5">
        <v>0.36009759060107199</v>
      </c>
      <c r="G959">
        <f t="shared" si="115"/>
        <v>969.61796875000005</v>
      </c>
      <c r="H959">
        <f t="shared" si="116"/>
        <v>3.6009759060107199E-2</v>
      </c>
      <c r="I959">
        <f t="shared" si="117"/>
        <v>3.7376563735112334E-2</v>
      </c>
      <c r="J959">
        <f t="shared" si="118"/>
        <v>3871.7880179893691</v>
      </c>
      <c r="K959" s="5">
        <f t="shared" si="119"/>
        <v>1004.5336781850381</v>
      </c>
      <c r="L959" s="5">
        <f t="shared" si="120"/>
        <v>3.5376563735112332E-2</v>
      </c>
    </row>
    <row r="960" spans="2:12">
      <c r="B960">
        <v>9.30078125</v>
      </c>
      <c r="C960">
        <v>1.5523076290264699</v>
      </c>
      <c r="D960">
        <v>48.472113281250003</v>
      </c>
      <c r="E960" s="5">
        <f t="shared" si="114"/>
        <v>48472.11328125</v>
      </c>
      <c r="F960" s="5">
        <v>0.36076945252716502</v>
      </c>
      <c r="G960">
        <f t="shared" si="115"/>
        <v>969.442265625</v>
      </c>
      <c r="H960">
        <f t="shared" si="116"/>
        <v>3.60769452527165E-2</v>
      </c>
      <c r="I960">
        <f t="shared" si="117"/>
        <v>3.7441412558757665E-2</v>
      </c>
      <c r="J960">
        <f t="shared" si="118"/>
        <v>3878.8853974932326</v>
      </c>
      <c r="K960" s="5">
        <f t="shared" si="119"/>
        <v>1004.4167811676226</v>
      </c>
      <c r="L960" s="5">
        <f t="shared" si="120"/>
        <v>3.5441412558757664E-2</v>
      </c>
    </row>
    <row r="961" spans="2:12">
      <c r="B961">
        <v>9.310546875</v>
      </c>
      <c r="C961">
        <v>1.5521913301199699</v>
      </c>
      <c r="D961">
        <v>48.463089843749998</v>
      </c>
      <c r="E961" s="5">
        <f t="shared" si="114"/>
        <v>48463.08984375</v>
      </c>
      <c r="F961" s="5">
        <v>0.361542101018131</v>
      </c>
      <c r="G961">
        <f t="shared" si="115"/>
        <v>969.26179687499996</v>
      </c>
      <c r="H961">
        <f t="shared" si="116"/>
        <v>3.6154210101813099E-2</v>
      </c>
      <c r="I961">
        <f t="shared" si="117"/>
        <v>3.7515984209640044E-2</v>
      </c>
      <c r="J961">
        <f t="shared" si="118"/>
        <v>3887.0468918240545</v>
      </c>
      <c r="K961" s="5">
        <f t="shared" si="119"/>
        <v>1004.3046915228796</v>
      </c>
      <c r="L961" s="5">
        <f t="shared" si="120"/>
        <v>3.5515984209640042E-2</v>
      </c>
    </row>
    <row r="962" spans="2:12">
      <c r="B962">
        <v>9.3203125</v>
      </c>
      <c r="C962">
        <v>1.55871373135597</v>
      </c>
      <c r="D962">
        <v>48.457601562500003</v>
      </c>
      <c r="E962" s="5">
        <f t="shared" si="114"/>
        <v>48457.6015625</v>
      </c>
      <c r="F962" s="5">
        <v>0.36221242044120999</v>
      </c>
      <c r="G962">
        <f t="shared" si="115"/>
        <v>969.15203125000005</v>
      </c>
      <c r="H962">
        <f t="shared" si="116"/>
        <v>3.6221242044120999E-2</v>
      </c>
      <c r="I962">
        <f t="shared" si="117"/>
        <v>3.7580675134503021E-2</v>
      </c>
      <c r="J962">
        <f t="shared" si="118"/>
        <v>3894.1269900956827</v>
      </c>
      <c r="K962" s="5">
        <f t="shared" si="119"/>
        <v>1004.2559215514578</v>
      </c>
      <c r="L962" s="5">
        <f t="shared" si="120"/>
        <v>3.5580675134503019E-2</v>
      </c>
    </row>
    <row r="963" spans="2:12">
      <c r="B963">
        <v>9.330078125</v>
      </c>
      <c r="C963">
        <v>1.5580772887915399</v>
      </c>
      <c r="D963">
        <v>48.45685546875</v>
      </c>
      <c r="E963" s="5">
        <f t="shared" si="114"/>
        <v>48456.85546875</v>
      </c>
      <c r="F963" s="5">
        <v>0.36287831608206</v>
      </c>
      <c r="G963">
        <f t="shared" si="115"/>
        <v>969.13710937500002</v>
      </c>
      <c r="H963">
        <f t="shared" si="116"/>
        <v>3.6287831608205999E-2</v>
      </c>
      <c r="I963">
        <f t="shared" si="117"/>
        <v>3.7644934987407376E-2</v>
      </c>
      <c r="J963">
        <f t="shared" si="118"/>
        <v>3901.1599096968002</v>
      </c>
      <c r="K963" s="5">
        <f t="shared" si="119"/>
        <v>1004.3049936052636</v>
      </c>
      <c r="L963" s="5">
        <f t="shared" si="120"/>
        <v>3.5644934987407374E-2</v>
      </c>
    </row>
    <row r="964" spans="2:12">
      <c r="B964">
        <v>9.33984375</v>
      </c>
      <c r="C964">
        <v>1.5582501655444501</v>
      </c>
      <c r="D964">
        <v>48.450320312499997</v>
      </c>
      <c r="E964" s="5">
        <f t="shared" si="114"/>
        <v>48450.3203125</v>
      </c>
      <c r="F964" s="5">
        <v>0.363596278475598</v>
      </c>
      <c r="G964">
        <f t="shared" si="115"/>
        <v>969.00640625000005</v>
      </c>
      <c r="H964">
        <f t="shared" si="116"/>
        <v>3.6359627847559799E-2</v>
      </c>
      <c r="I964">
        <f t="shared" si="117"/>
        <v>3.7714214728209308E-2</v>
      </c>
      <c r="J964">
        <f t="shared" si="118"/>
        <v>3908.7422309288677</v>
      </c>
      <c r="K964" s="5">
        <f t="shared" si="119"/>
        <v>1004.2391185631514</v>
      </c>
      <c r="L964" s="5">
        <f t="shared" si="120"/>
        <v>3.5714214728209306E-2</v>
      </c>
    </row>
    <row r="965" spans="2:12">
      <c r="B965">
        <v>9.349609375</v>
      </c>
      <c r="C965">
        <v>1.5603512292727799</v>
      </c>
      <c r="D965">
        <v>48.462210937499997</v>
      </c>
      <c r="E965" s="5">
        <f t="shared" si="114"/>
        <v>48462.2109375</v>
      </c>
      <c r="F965" s="5">
        <v>0.36422844277694799</v>
      </c>
      <c r="G965">
        <f t="shared" si="115"/>
        <v>969.24421874999996</v>
      </c>
      <c r="H965">
        <f t="shared" si="116"/>
        <v>3.6422844277694801E-2</v>
      </c>
      <c r="I965">
        <f t="shared" si="117"/>
        <v>3.7775211413587348E-2</v>
      </c>
      <c r="J965">
        <f t="shared" si="118"/>
        <v>3915.4180131600669</v>
      </c>
      <c r="K965" s="5">
        <f t="shared" si="119"/>
        <v>1004.5468499965872</v>
      </c>
      <c r="L965" s="5">
        <f t="shared" si="120"/>
        <v>3.5775211413587346E-2</v>
      </c>
    </row>
    <row r="966" spans="2:12">
      <c r="B966">
        <v>9.359375</v>
      </c>
      <c r="C966">
        <v>1.5626146923750599</v>
      </c>
      <c r="D966">
        <v>48.47241015625</v>
      </c>
      <c r="E966" s="5">
        <f t="shared" si="114"/>
        <v>48472.41015625</v>
      </c>
      <c r="F966" s="5">
        <v>0.36498901317827398</v>
      </c>
      <c r="G966">
        <f t="shared" si="115"/>
        <v>969.44820312499996</v>
      </c>
      <c r="H966">
        <f t="shared" si="116"/>
        <v>3.6498901317827397E-2</v>
      </c>
      <c r="I966">
        <f t="shared" si="117"/>
        <v>3.7848592900687199E-2</v>
      </c>
      <c r="J966">
        <f t="shared" si="118"/>
        <v>3923.4492500157103</v>
      </c>
      <c r="K966" s="5">
        <f t="shared" si="119"/>
        <v>1004.8319974236044</v>
      </c>
      <c r="L966" s="5">
        <f t="shared" si="120"/>
        <v>3.5848592900687197E-2</v>
      </c>
    </row>
    <row r="967" spans="2:12">
      <c r="B967">
        <v>9.369140625</v>
      </c>
      <c r="C967">
        <v>1.5645875828340701</v>
      </c>
      <c r="D967">
        <v>48.494464843750002</v>
      </c>
      <c r="E967" s="5">
        <f t="shared" si="114"/>
        <v>48494.46484375</v>
      </c>
      <c r="F967" s="5">
        <v>0.36577178980223801</v>
      </c>
      <c r="G967">
        <f t="shared" si="115"/>
        <v>969.88929687500001</v>
      </c>
      <c r="H967">
        <f t="shared" si="116"/>
        <v>3.65771789802238E-2</v>
      </c>
      <c r="I967">
        <f t="shared" si="117"/>
        <v>3.7924111269914032E-2</v>
      </c>
      <c r="J967">
        <f t="shared" si="118"/>
        <v>3931.7143579357412</v>
      </c>
      <c r="K967" s="5">
        <f t="shared" si="119"/>
        <v>1005.3651112778003</v>
      </c>
      <c r="L967" s="5">
        <f t="shared" si="120"/>
        <v>3.592411126991403E-2</v>
      </c>
    </row>
    <row r="968" spans="2:12">
      <c r="B968">
        <v>9.37890625</v>
      </c>
      <c r="C968">
        <v>1.5652106376364801</v>
      </c>
      <c r="D968">
        <v>48.490371093749999</v>
      </c>
      <c r="E968" s="5">
        <f t="shared" si="114"/>
        <v>48490.37109375</v>
      </c>
      <c r="F968" s="5">
        <v>0.36649531102739302</v>
      </c>
      <c r="G968">
        <f t="shared" si="115"/>
        <v>969.80742187500005</v>
      </c>
      <c r="H968">
        <f t="shared" si="116"/>
        <v>3.6649531102739302E-2</v>
      </c>
      <c r="I968">
        <f t="shared" si="117"/>
        <v>3.7993907903531507E-2</v>
      </c>
      <c r="J968">
        <f t="shared" si="118"/>
        <v>3939.3532505020057</v>
      </c>
      <c r="K968" s="5">
        <f t="shared" si="119"/>
        <v>1005.3504091466752</v>
      </c>
      <c r="L968" s="5">
        <f t="shared" si="120"/>
        <v>3.5993907903531505E-2</v>
      </c>
    </row>
    <row r="969" spans="2:12">
      <c r="B969">
        <v>9.388671875</v>
      </c>
      <c r="C969">
        <v>1.5669391723349699</v>
      </c>
      <c r="D969">
        <v>48.481335937499999</v>
      </c>
      <c r="E969" s="5">
        <f t="shared" ref="E969:E1032" si="121" xml:space="preserve"> D969*R$3</f>
        <v>48481.3359375</v>
      </c>
      <c r="F969" s="5">
        <v>0.36716699833050398</v>
      </c>
      <c r="G969">
        <f t="shared" ref="G969:G1032" si="122" xml:space="preserve"> E969/C$3</f>
        <v>969.62671875000001</v>
      </c>
      <c r="H969">
        <f t="shared" ref="H969:H1032" si="123" xml:space="preserve"> F969/C$4</f>
        <v>3.6716699833050398E-2</v>
      </c>
      <c r="I969">
        <f t="shared" ref="I969:I1032" si="124">L969+0.002</f>
        <v>3.8058699862937813E-2</v>
      </c>
      <c r="J969">
        <f t="shared" ref="J969:J1032" si="125">L969*G$2</f>
        <v>3946.4444064992285</v>
      </c>
      <c r="K969" s="5">
        <f t="shared" ref="K969:K1032" si="126" xml:space="preserve"> G969 * (1 + H969)</f>
        <v>1005.2282119324493</v>
      </c>
      <c r="L969" s="5">
        <f t="shared" ref="L969:L1032" si="127">LN(1 + H969)</f>
        <v>3.6058699862937811E-2</v>
      </c>
    </row>
    <row r="970" spans="2:12">
      <c r="B970">
        <v>9.3984375</v>
      </c>
      <c r="C970">
        <v>1.5687273116782301</v>
      </c>
      <c r="D970">
        <v>48.506082031250003</v>
      </c>
      <c r="E970" s="5">
        <f t="shared" si="121"/>
        <v>48506.08203125</v>
      </c>
      <c r="F970" s="5">
        <v>0.36800332600250801</v>
      </c>
      <c r="G970">
        <f t="shared" si="122"/>
        <v>970.12164062500005</v>
      </c>
      <c r="H970">
        <f t="shared" si="123"/>
        <v>3.6800332600250799E-2</v>
      </c>
      <c r="I970">
        <f t="shared" si="124"/>
        <v>3.8139367410816763E-2</v>
      </c>
      <c r="J970">
        <f t="shared" si="125"/>
        <v>3955.2730662768404</v>
      </c>
      <c r="K970" s="5">
        <f t="shared" si="126"/>
        <v>1005.8224396627011</v>
      </c>
      <c r="L970" s="5">
        <f t="shared" si="127"/>
        <v>3.6139367410816761E-2</v>
      </c>
    </row>
    <row r="971" spans="2:12">
      <c r="B971">
        <v>9.408203125</v>
      </c>
      <c r="C971">
        <v>1.5715539921075099</v>
      </c>
      <c r="D971">
        <v>48.528964843750003</v>
      </c>
      <c r="E971" s="5">
        <f t="shared" si="121"/>
        <v>48528.96484375</v>
      </c>
      <c r="F971" s="5">
        <v>0.368798879208043</v>
      </c>
      <c r="G971">
        <f t="shared" si="122"/>
        <v>970.57929687499995</v>
      </c>
      <c r="H971">
        <f t="shared" si="123"/>
        <v>3.6879887920804301E-2</v>
      </c>
      <c r="I971">
        <f t="shared" si="124"/>
        <v>3.8216096040241142E-2</v>
      </c>
      <c r="J971">
        <f t="shared" si="125"/>
        <v>3963.6706311241915</v>
      </c>
      <c r="K971" s="5">
        <f t="shared" si="126"/>
        <v>1006.374152562003</v>
      </c>
      <c r="L971" s="5">
        <f t="shared" si="127"/>
        <v>3.621609604024114E-2</v>
      </c>
    </row>
    <row r="972" spans="2:12">
      <c r="B972">
        <v>9.41796875</v>
      </c>
      <c r="C972">
        <v>1.5722245443612299</v>
      </c>
      <c r="D972">
        <v>48.520218749999998</v>
      </c>
      <c r="E972" s="5">
        <f t="shared" si="121"/>
        <v>48520.21875</v>
      </c>
      <c r="F972" s="5">
        <v>0.369517772924155</v>
      </c>
      <c r="G972">
        <f t="shared" si="122"/>
        <v>970.40437499999996</v>
      </c>
      <c r="H972">
        <f t="shared" si="123"/>
        <v>3.69517772924155E-2</v>
      </c>
      <c r="I972">
        <f t="shared" si="124"/>
        <v>3.8285426037314538E-2</v>
      </c>
      <c r="J972">
        <f t="shared" si="125"/>
        <v>3971.2584526538894</v>
      </c>
      <c r="K972" s="5">
        <f t="shared" si="126"/>
        <v>1006.2625413485856</v>
      </c>
      <c r="L972" s="5">
        <f t="shared" si="127"/>
        <v>3.6285426037314536E-2</v>
      </c>
    </row>
    <row r="973" spans="2:12">
      <c r="B973">
        <v>9.427734375</v>
      </c>
      <c r="C973">
        <v>1.57441501505673</v>
      </c>
      <c r="D973">
        <v>48.504335937500002</v>
      </c>
      <c r="E973" s="5">
        <f t="shared" si="121"/>
        <v>48504.3359375</v>
      </c>
      <c r="F973" s="5">
        <v>0.37025287747383101</v>
      </c>
      <c r="G973">
        <f t="shared" si="122"/>
        <v>970.08671875000005</v>
      </c>
      <c r="H973">
        <f t="shared" si="123"/>
        <v>3.7025287747383104E-2</v>
      </c>
      <c r="I973">
        <f t="shared" si="124"/>
        <v>3.8356314434527354E-2</v>
      </c>
      <c r="J973">
        <f t="shared" si="125"/>
        <v>3979.0168332868461</v>
      </c>
      <c r="K973" s="5">
        <f t="shared" si="126"/>
        <v>1006.0044586516335</v>
      </c>
      <c r="L973" s="5">
        <f t="shared" si="127"/>
        <v>3.6356314434527352E-2</v>
      </c>
    </row>
    <row r="974" spans="2:12">
      <c r="B974">
        <v>9.4375</v>
      </c>
      <c r="C974">
        <v>1.5754729975014901</v>
      </c>
      <c r="D974">
        <v>48.498410156250003</v>
      </c>
      <c r="E974" s="5">
        <f t="shared" si="121"/>
        <v>48498.41015625</v>
      </c>
      <c r="F974" s="5">
        <v>0.37094176514074201</v>
      </c>
      <c r="G974">
        <f t="shared" si="122"/>
        <v>969.96820312499995</v>
      </c>
      <c r="H974">
        <f t="shared" si="123"/>
        <v>3.7094176514074199E-2</v>
      </c>
      <c r="I974">
        <f t="shared" si="124"/>
        <v>3.8422741434421447E-2</v>
      </c>
      <c r="J974">
        <f t="shared" si="125"/>
        <v>3986.2869362902552</v>
      </c>
      <c r="K974" s="5">
        <f t="shared" si="126"/>
        <v>1005.9483748647581</v>
      </c>
      <c r="L974" s="5">
        <f t="shared" si="127"/>
        <v>3.6422741434421445E-2</v>
      </c>
    </row>
    <row r="975" spans="2:12">
      <c r="B975">
        <v>9.447265625</v>
      </c>
      <c r="C975">
        <v>1.5775487991049899</v>
      </c>
      <c r="D975">
        <v>48.498472656250001</v>
      </c>
      <c r="E975" s="5">
        <f t="shared" si="121"/>
        <v>48498.47265625</v>
      </c>
      <c r="F975" s="5">
        <v>0.37166583933867497</v>
      </c>
      <c r="G975">
        <f t="shared" si="122"/>
        <v>969.96945312499997</v>
      </c>
      <c r="H975">
        <f t="shared" si="123"/>
        <v>3.71665839338675E-2</v>
      </c>
      <c r="I975">
        <f t="shared" si="124"/>
        <v>3.8492556590937338E-2</v>
      </c>
      <c r="J975">
        <f t="shared" si="125"/>
        <v>3993.9278560951366</v>
      </c>
      <c r="K975" s="5">
        <f t="shared" si="126"/>
        <v>1006.0199042178579</v>
      </c>
      <c r="L975" s="5">
        <f t="shared" si="127"/>
        <v>3.6492556590937336E-2</v>
      </c>
    </row>
    <row r="976" spans="2:12">
      <c r="B976">
        <v>9.45703125</v>
      </c>
      <c r="C976">
        <v>1.5779688255861399</v>
      </c>
      <c r="D976">
        <v>48.486652343750002</v>
      </c>
      <c r="E976" s="5">
        <f t="shared" si="121"/>
        <v>48486.65234375</v>
      </c>
      <c r="F976" s="5">
        <v>0.37236278876662299</v>
      </c>
      <c r="G976">
        <f t="shared" si="122"/>
        <v>969.73304687500001</v>
      </c>
      <c r="H976">
        <f t="shared" si="123"/>
        <v>3.7236278876662296E-2</v>
      </c>
      <c r="I976">
        <f t="shared" si="124"/>
        <v>3.8559751776665666E-2</v>
      </c>
      <c r="J976">
        <f t="shared" si="125"/>
        <v>4001.2820331971734</v>
      </c>
      <c r="K976" s="5">
        <f t="shared" si="126"/>
        <v>1005.8422970443529</v>
      </c>
      <c r="L976" s="5">
        <f t="shared" si="127"/>
        <v>3.6559751776665664E-2</v>
      </c>
    </row>
    <row r="977" spans="2:12">
      <c r="B977">
        <v>9.466796875</v>
      </c>
      <c r="C977">
        <v>1.5780522953718901</v>
      </c>
      <c r="D977">
        <v>48.506753906249997</v>
      </c>
      <c r="E977" s="5">
        <f t="shared" si="121"/>
        <v>48506.75390625</v>
      </c>
      <c r="F977" s="5">
        <v>0.373015529476106</v>
      </c>
      <c r="G977">
        <f t="shared" si="122"/>
        <v>970.13507812499995</v>
      </c>
      <c r="H977">
        <f t="shared" si="123"/>
        <v>3.7301552947610603E-2</v>
      </c>
      <c r="I977">
        <f t="shared" si="124"/>
        <v>3.8622680560097399E-2</v>
      </c>
      <c r="J977">
        <f t="shared" si="125"/>
        <v>4008.1692738998595</v>
      </c>
      <c r="K977" s="5">
        <f t="shared" si="126"/>
        <v>1006.322623108014</v>
      </c>
      <c r="L977" s="5">
        <f t="shared" si="127"/>
        <v>3.6622680560097397E-2</v>
      </c>
    </row>
    <row r="978" spans="2:12">
      <c r="B978">
        <v>9.4765625</v>
      </c>
      <c r="C978">
        <v>1.5808284515515001</v>
      </c>
      <c r="D978">
        <v>48.5247265625</v>
      </c>
      <c r="E978" s="5">
        <f t="shared" si="121"/>
        <v>48524.7265625</v>
      </c>
      <c r="F978" s="5">
        <v>0.37391326623037502</v>
      </c>
      <c r="G978">
        <f t="shared" si="122"/>
        <v>970.49453125000002</v>
      </c>
      <c r="H978">
        <f t="shared" si="123"/>
        <v>3.7391326623037499E-2</v>
      </c>
      <c r="I978">
        <f t="shared" si="124"/>
        <v>3.8709222212952976E-2</v>
      </c>
      <c r="J978">
        <f t="shared" si="125"/>
        <v>4017.6408250966383</v>
      </c>
      <c r="K978" s="5">
        <f t="shared" si="126"/>
        <v>1006.7826092538404</v>
      </c>
      <c r="L978" s="5">
        <f t="shared" si="127"/>
        <v>3.6709222212952974E-2</v>
      </c>
    </row>
    <row r="979" spans="2:12">
      <c r="B979">
        <v>9.486328125</v>
      </c>
      <c r="C979">
        <v>1.58465362619609</v>
      </c>
      <c r="D979">
        <v>48.528621093749997</v>
      </c>
      <c r="E979" s="5">
        <f t="shared" si="121"/>
        <v>48528.62109375</v>
      </c>
      <c r="F979" s="5">
        <v>0.374550407286733</v>
      </c>
      <c r="G979">
        <f t="shared" si="122"/>
        <v>970.57242187500003</v>
      </c>
      <c r="H979">
        <f t="shared" si="123"/>
        <v>3.7455040728673297E-2</v>
      </c>
      <c r="I979">
        <f t="shared" si="124"/>
        <v>3.8770637946337831E-2</v>
      </c>
      <c r="J979">
        <f t="shared" si="125"/>
        <v>4024.3624700369437</v>
      </c>
      <c r="K979" s="5">
        <f t="shared" si="126"/>
        <v>1006.9252514664553</v>
      </c>
      <c r="L979" s="5">
        <f t="shared" si="127"/>
        <v>3.6770637946337829E-2</v>
      </c>
    </row>
    <row r="980" spans="2:12">
      <c r="B980">
        <v>9.49609375</v>
      </c>
      <c r="C980">
        <v>1.5855252277106</v>
      </c>
      <c r="D980">
        <v>48.529003906249997</v>
      </c>
      <c r="E980" s="5">
        <f t="shared" si="121"/>
        <v>48529.00390625</v>
      </c>
      <c r="F980" s="5">
        <v>0.37529843393713203</v>
      </c>
      <c r="G980">
        <f t="shared" si="122"/>
        <v>970.580078125</v>
      </c>
      <c r="H980">
        <f t="shared" si="123"/>
        <v>3.7529843393713201E-2</v>
      </c>
      <c r="I980">
        <f t="shared" si="124"/>
        <v>3.8842737425851814E-2</v>
      </c>
      <c r="J980">
        <f t="shared" si="125"/>
        <v>4032.2533975723518</v>
      </c>
      <c r="K980" s="5">
        <f t="shared" si="126"/>
        <v>1007.0057964580892</v>
      </c>
      <c r="L980" s="5">
        <f t="shared" si="127"/>
        <v>3.6842737425851813E-2</v>
      </c>
    </row>
    <row r="981" spans="2:12">
      <c r="B981">
        <v>9.505859375</v>
      </c>
      <c r="C981">
        <v>1.5871153445914401</v>
      </c>
      <c r="D981">
        <v>48.523906250000003</v>
      </c>
      <c r="E981" s="5">
        <f t="shared" si="121"/>
        <v>48523.90625</v>
      </c>
      <c r="F981" s="5">
        <v>0.37612585583701702</v>
      </c>
      <c r="G981">
        <f t="shared" si="122"/>
        <v>970.47812499999998</v>
      </c>
      <c r="H981">
        <f t="shared" si="123"/>
        <v>3.7612585583701702E-2</v>
      </c>
      <c r="I981">
        <f t="shared" si="124"/>
        <v>3.8922483460511338E-2</v>
      </c>
      <c r="J981">
        <f t="shared" si="125"/>
        <v>4040.9812023356631</v>
      </c>
      <c r="K981" s="5">
        <f t="shared" si="126"/>
        <v>1006.9803165336729</v>
      </c>
      <c r="L981" s="5">
        <f t="shared" si="127"/>
        <v>3.6922483460511336E-2</v>
      </c>
    </row>
    <row r="982" spans="2:12">
      <c r="B982">
        <v>9.515625</v>
      </c>
      <c r="C982">
        <v>1.5888944035396</v>
      </c>
      <c r="D982">
        <v>48.537367187500003</v>
      </c>
      <c r="E982" s="5">
        <f t="shared" si="121"/>
        <v>48537.3671875</v>
      </c>
      <c r="F982" s="5">
        <v>0.37678593071177602</v>
      </c>
      <c r="G982">
        <f t="shared" si="122"/>
        <v>970.74734375000003</v>
      </c>
      <c r="H982">
        <f t="shared" si="123"/>
        <v>3.7678593071177602E-2</v>
      </c>
      <c r="I982">
        <f t="shared" si="124"/>
        <v>3.8986096208618246E-2</v>
      </c>
      <c r="J982">
        <f t="shared" si="125"/>
        <v>4047.9432995522238</v>
      </c>
      <c r="K982" s="5">
        <f t="shared" si="126"/>
        <v>1007.3237378900828</v>
      </c>
      <c r="L982" s="5">
        <f t="shared" si="127"/>
        <v>3.6986096208618244E-2</v>
      </c>
    </row>
    <row r="983" spans="2:12">
      <c r="B983">
        <v>9.525390625</v>
      </c>
      <c r="C983">
        <v>1.59038160927594</v>
      </c>
      <c r="D983">
        <v>48.537171874999999</v>
      </c>
      <c r="E983" s="5">
        <f t="shared" si="121"/>
        <v>48537.171875</v>
      </c>
      <c r="F983" s="5">
        <v>0.377618969650939</v>
      </c>
      <c r="G983">
        <f t="shared" si="122"/>
        <v>970.74343750000003</v>
      </c>
      <c r="H983">
        <f t="shared" si="123"/>
        <v>3.7761896965093897E-2</v>
      </c>
      <c r="I983">
        <f t="shared" si="124"/>
        <v>3.9066372077149261E-2</v>
      </c>
      <c r="J983">
        <f t="shared" si="125"/>
        <v>4056.7290919836005</v>
      </c>
      <c r="K983" s="5">
        <f t="shared" si="126"/>
        <v>1007.4005511664161</v>
      </c>
      <c r="L983" s="5">
        <f t="shared" si="127"/>
        <v>3.7066372077149259E-2</v>
      </c>
    </row>
    <row r="984" spans="2:12">
      <c r="B984">
        <v>9.53515625</v>
      </c>
      <c r="C984">
        <v>1.5926479827612601</v>
      </c>
      <c r="D984">
        <v>48.535039062499997</v>
      </c>
      <c r="E984" s="5">
        <f t="shared" si="121"/>
        <v>48535.0390625</v>
      </c>
      <c r="F984" s="5">
        <v>0.37831117515452201</v>
      </c>
      <c r="G984">
        <f t="shared" si="122"/>
        <v>970.70078124999998</v>
      </c>
      <c r="H984">
        <f t="shared" si="123"/>
        <v>3.7831117515452199E-2</v>
      </c>
      <c r="I984">
        <f t="shared" si="124"/>
        <v>3.9133071617859824E-2</v>
      </c>
      <c r="J984">
        <f t="shared" si="125"/>
        <v>4064.0290232166681</v>
      </c>
      <c r="K984" s="5">
        <f t="shared" si="126"/>
        <v>1007.42347657781</v>
      </c>
      <c r="L984" s="5">
        <f t="shared" si="127"/>
        <v>3.7133071617859822E-2</v>
      </c>
    </row>
    <row r="985" spans="2:12">
      <c r="B985">
        <v>9.544921875</v>
      </c>
      <c r="C985">
        <v>1.59343029372394</v>
      </c>
      <c r="D985">
        <v>48.549570312500002</v>
      </c>
      <c r="E985" s="5">
        <f t="shared" si="121"/>
        <v>48549.5703125</v>
      </c>
      <c r="F985" s="5">
        <v>0.37908527883700999</v>
      </c>
      <c r="G985">
        <f t="shared" si="122"/>
        <v>970.99140624999995</v>
      </c>
      <c r="H985">
        <f t="shared" si="123"/>
        <v>3.7908527883700999E-2</v>
      </c>
      <c r="I985">
        <f t="shared" si="124"/>
        <v>3.920765743449274E-2</v>
      </c>
      <c r="J985">
        <f t="shared" si="125"/>
        <v>4072.1920679180575</v>
      </c>
      <c r="K985" s="5">
        <f t="shared" si="126"/>
        <v>1007.8002610486622</v>
      </c>
      <c r="L985" s="5">
        <f t="shared" si="127"/>
        <v>3.7207657434492739E-2</v>
      </c>
    </row>
    <row r="986" spans="2:12">
      <c r="B986">
        <v>9.5546875</v>
      </c>
      <c r="C986">
        <v>1.5953630208969101</v>
      </c>
      <c r="D986">
        <v>48.541238281250003</v>
      </c>
      <c r="E986" s="5">
        <f t="shared" si="121"/>
        <v>48541.23828125</v>
      </c>
      <c r="F986" s="5">
        <v>0.37987981340847898</v>
      </c>
      <c r="G986">
        <f t="shared" si="122"/>
        <v>970.82476562500005</v>
      </c>
      <c r="H986">
        <f t="shared" si="123"/>
        <v>3.7987981340847896E-2</v>
      </c>
      <c r="I986">
        <f t="shared" si="124"/>
        <v>3.9284206006960219E-2</v>
      </c>
      <c r="J986">
        <f t="shared" si="125"/>
        <v>4080.5699264317609</v>
      </c>
      <c r="K986" s="5">
        <f t="shared" si="126"/>
        <v>1007.7044387067956</v>
      </c>
      <c r="L986" s="5">
        <f t="shared" si="127"/>
        <v>3.7284206006960217E-2</v>
      </c>
    </row>
    <row r="987" spans="2:12">
      <c r="B987">
        <v>9.564453125</v>
      </c>
      <c r="C987">
        <v>1.59722426906228</v>
      </c>
      <c r="D987">
        <v>48.527714843749997</v>
      </c>
      <c r="E987" s="5">
        <f t="shared" si="121"/>
        <v>48527.71484375</v>
      </c>
      <c r="F987" s="5">
        <v>0.38048747228458502</v>
      </c>
      <c r="G987">
        <f t="shared" si="122"/>
        <v>970.55429687499998</v>
      </c>
      <c r="H987">
        <f t="shared" si="123"/>
        <v>3.8048747228458503E-2</v>
      </c>
      <c r="I987">
        <f t="shared" si="124"/>
        <v>3.9342746288826856E-2</v>
      </c>
      <c r="J987">
        <f t="shared" si="125"/>
        <v>4086.9768675806549</v>
      </c>
      <c r="K987" s="5">
        <f t="shared" si="126"/>
        <v>1007.4826719882911</v>
      </c>
      <c r="L987" s="5">
        <f t="shared" si="127"/>
        <v>3.7342746288826854E-2</v>
      </c>
    </row>
    <row r="988" spans="2:12">
      <c r="B988">
        <v>9.57421875</v>
      </c>
      <c r="C988">
        <v>1.59847002942115</v>
      </c>
      <c r="D988">
        <v>48.515984375000002</v>
      </c>
      <c r="E988" s="5">
        <f t="shared" si="121"/>
        <v>48515.984375</v>
      </c>
      <c r="F988" s="5">
        <v>0.38127647712826701</v>
      </c>
      <c r="G988">
        <f t="shared" si="122"/>
        <v>970.31968749999999</v>
      </c>
      <c r="H988">
        <f t="shared" si="123"/>
        <v>3.8127647712826701E-2</v>
      </c>
      <c r="I988">
        <f t="shared" si="124"/>
        <v>3.941875185810164E-2</v>
      </c>
      <c r="J988">
        <f t="shared" si="125"/>
        <v>4095.2952971099339</v>
      </c>
      <c r="K988" s="5">
        <f t="shared" si="126"/>
        <v>1007.3156947138201</v>
      </c>
      <c r="L988" s="5">
        <f t="shared" si="127"/>
        <v>3.7418751858101638E-2</v>
      </c>
    </row>
    <row r="989" spans="2:12">
      <c r="B989">
        <v>9.583984375</v>
      </c>
      <c r="C989">
        <v>1.5993028646334999</v>
      </c>
      <c r="D989">
        <v>48.495445312500003</v>
      </c>
      <c r="E989" s="5">
        <f t="shared" si="121"/>
        <v>48495.4453125</v>
      </c>
      <c r="F989" s="5">
        <v>0.38186064921319501</v>
      </c>
      <c r="G989">
        <f t="shared" si="122"/>
        <v>969.90890624999997</v>
      </c>
      <c r="H989">
        <f t="shared" si="123"/>
        <v>3.8186064921319499E-2</v>
      </c>
      <c r="I989">
        <f t="shared" si="124"/>
        <v>3.9475021975813339E-2</v>
      </c>
      <c r="J989">
        <f t="shared" si="125"/>
        <v>4101.4537801428905</v>
      </c>
      <c r="K989" s="5">
        <f t="shared" si="126"/>
        <v>1006.9459107118284</v>
      </c>
      <c r="L989" s="5">
        <f t="shared" si="127"/>
        <v>3.7475021975813337E-2</v>
      </c>
    </row>
    <row r="990" spans="2:12">
      <c r="B990">
        <v>9.59375</v>
      </c>
      <c r="C990">
        <v>1.60141137894243</v>
      </c>
      <c r="D990">
        <v>48.503222656250003</v>
      </c>
      <c r="E990" s="5">
        <f t="shared" si="121"/>
        <v>48503.22265625</v>
      </c>
      <c r="F990" s="5">
        <v>0.38258553831838099</v>
      </c>
      <c r="G990">
        <f t="shared" si="122"/>
        <v>970.064453125</v>
      </c>
      <c r="H990">
        <f t="shared" si="123"/>
        <v>3.8258553831838099E-2</v>
      </c>
      <c r="I990">
        <f t="shared" si="124"/>
        <v>3.9544842196293443E-2</v>
      </c>
      <c r="J990">
        <f t="shared" si="125"/>
        <v>4109.0952541733359</v>
      </c>
      <c r="K990" s="5">
        <f t="shared" si="126"/>
        <v>1007.1777162252354</v>
      </c>
      <c r="L990" s="5">
        <f t="shared" si="127"/>
        <v>3.7544842196293442E-2</v>
      </c>
    </row>
    <row r="991" spans="2:12">
      <c r="B991">
        <v>9.603515625</v>
      </c>
      <c r="C991">
        <v>1.60204025451094</v>
      </c>
      <c r="D991">
        <v>48.504226562500001</v>
      </c>
      <c r="E991" s="5">
        <f t="shared" si="121"/>
        <v>48504.2265625</v>
      </c>
      <c r="F991" s="5">
        <v>0.38339965976774698</v>
      </c>
      <c r="G991">
        <f t="shared" si="122"/>
        <v>970.08453125000005</v>
      </c>
      <c r="H991">
        <f t="shared" si="123"/>
        <v>3.8339965976774699E-2</v>
      </c>
      <c r="I991">
        <f t="shared" si="124"/>
        <v>3.9623251329500217E-2</v>
      </c>
      <c r="J991">
        <f t="shared" si="125"/>
        <v>4117.6767417571509</v>
      </c>
      <c r="K991" s="5">
        <f t="shared" si="126"/>
        <v>1007.2775391727205</v>
      </c>
      <c r="L991" s="5">
        <f t="shared" si="127"/>
        <v>3.7623251329500215E-2</v>
      </c>
    </row>
    <row r="992" spans="2:12">
      <c r="B992">
        <v>9.61328125</v>
      </c>
      <c r="C992">
        <v>1.60333653911948</v>
      </c>
      <c r="D992">
        <v>48.518621093749999</v>
      </c>
      <c r="E992" s="5">
        <f t="shared" si="121"/>
        <v>48518.62109375</v>
      </c>
      <c r="F992" s="5">
        <v>0.38398554897867099</v>
      </c>
      <c r="G992">
        <f t="shared" si="122"/>
        <v>970.37242187499999</v>
      </c>
      <c r="H992">
        <f t="shared" si="123"/>
        <v>3.8398554897867102E-2</v>
      </c>
      <c r="I992">
        <f t="shared" si="124"/>
        <v>3.9679675304419619E-2</v>
      </c>
      <c r="J992">
        <f t="shared" si="125"/>
        <v>4123.8520636922049</v>
      </c>
      <c r="K992" s="5">
        <f t="shared" si="126"/>
        <v>1007.6333205877435</v>
      </c>
      <c r="L992" s="5">
        <f t="shared" si="127"/>
        <v>3.7679675304419617E-2</v>
      </c>
    </row>
    <row r="993" spans="2:12">
      <c r="B993">
        <v>9.623046875</v>
      </c>
      <c r="C993">
        <v>1.60614994820207</v>
      </c>
      <c r="D993">
        <v>48.527749999999997</v>
      </c>
      <c r="E993" s="5">
        <f t="shared" si="121"/>
        <v>48527.75</v>
      </c>
      <c r="F993" s="5">
        <v>0.38477059570141098</v>
      </c>
      <c r="G993">
        <f t="shared" si="122"/>
        <v>970.55499999999995</v>
      </c>
      <c r="H993">
        <f t="shared" si="123"/>
        <v>3.8477059570141095E-2</v>
      </c>
      <c r="I993">
        <f t="shared" si="124"/>
        <v>3.9755274123881412E-2</v>
      </c>
      <c r="J993">
        <f t="shared" si="125"/>
        <v>4132.1259764882006</v>
      </c>
      <c r="K993" s="5">
        <f t="shared" si="126"/>
        <v>1007.8991025510983</v>
      </c>
      <c r="L993" s="5">
        <f t="shared" si="127"/>
        <v>3.775527412388141E-2</v>
      </c>
    </row>
    <row r="994" spans="2:12">
      <c r="B994">
        <v>9.6328125</v>
      </c>
      <c r="C994">
        <v>1.60754460375756</v>
      </c>
      <c r="D994">
        <v>48.517378906250002</v>
      </c>
      <c r="E994" s="5">
        <f t="shared" si="121"/>
        <v>48517.37890625</v>
      </c>
      <c r="F994" s="5">
        <v>0.38550351746380301</v>
      </c>
      <c r="G994">
        <f t="shared" si="122"/>
        <v>970.34757812500004</v>
      </c>
      <c r="H994">
        <f t="shared" si="123"/>
        <v>3.8550351746380301E-2</v>
      </c>
      <c r="I994">
        <f t="shared" si="124"/>
        <v>3.982584822980826E-2</v>
      </c>
      <c r="J994">
        <f t="shared" si="125"/>
        <v>4139.8499595113644</v>
      </c>
      <c r="K994" s="5">
        <f t="shared" si="126"/>
        <v>1007.7548185779671</v>
      </c>
      <c r="L994" s="5">
        <f t="shared" si="127"/>
        <v>3.7825848229808258E-2</v>
      </c>
    </row>
    <row r="995" spans="2:12">
      <c r="B995">
        <v>9.642578125</v>
      </c>
      <c r="C995">
        <v>1.6091198194772001</v>
      </c>
      <c r="D995">
        <v>48.530746093749997</v>
      </c>
      <c r="E995" s="5">
        <f t="shared" si="121"/>
        <v>48530.74609375</v>
      </c>
      <c r="F995" s="5">
        <v>0.38624086300842497</v>
      </c>
      <c r="G995">
        <f t="shared" si="122"/>
        <v>970.61492187500005</v>
      </c>
      <c r="H995">
        <f t="shared" si="123"/>
        <v>3.8624086300842499E-2</v>
      </c>
      <c r="I995">
        <f t="shared" si="124"/>
        <v>3.9896843282647851E-2</v>
      </c>
      <c r="J995">
        <f t="shared" si="125"/>
        <v>4147.6200130693942</v>
      </c>
      <c r="K995" s="5">
        <f t="shared" si="126"/>
        <v>1008.1040363823855</v>
      </c>
      <c r="L995" s="5">
        <f t="shared" si="127"/>
        <v>3.7896843282647849E-2</v>
      </c>
    </row>
    <row r="996" spans="2:12">
      <c r="B996">
        <v>9.65234375</v>
      </c>
      <c r="C996">
        <v>1.6107440460473299</v>
      </c>
      <c r="D996">
        <v>48.532246093749997</v>
      </c>
      <c r="E996" s="5">
        <f t="shared" si="121"/>
        <v>48532.24609375</v>
      </c>
      <c r="F996" s="5">
        <v>0.38698027492500803</v>
      </c>
      <c r="G996">
        <f t="shared" si="122"/>
        <v>970.64492187500002</v>
      </c>
      <c r="H996">
        <f t="shared" si="123"/>
        <v>3.86980274925008E-2</v>
      </c>
      <c r="I996">
        <f t="shared" si="124"/>
        <v>3.9968032234229928E-2</v>
      </c>
      <c r="J996">
        <f t="shared" si="125"/>
        <v>4155.411287875294</v>
      </c>
      <c r="K996" s="5">
        <f t="shared" si="126"/>
        <v>1008.2069657471751</v>
      </c>
      <c r="L996" s="5">
        <f t="shared" si="127"/>
        <v>3.7968032234229926E-2</v>
      </c>
    </row>
    <row r="997" spans="2:12">
      <c r="B997">
        <v>9.662109375</v>
      </c>
      <c r="C997">
        <v>1.6132325399667</v>
      </c>
      <c r="D997">
        <v>48.546390625000001</v>
      </c>
      <c r="E997" s="5">
        <f t="shared" si="121"/>
        <v>48546.390625</v>
      </c>
      <c r="F997" s="5">
        <v>0.38767911610193601</v>
      </c>
      <c r="G997">
        <f t="shared" si="122"/>
        <v>970.92781249999996</v>
      </c>
      <c r="H997">
        <f t="shared" si="123"/>
        <v>3.8767911610193599E-2</v>
      </c>
      <c r="I997">
        <f t="shared" si="124"/>
        <v>4.0035310466237192E-2</v>
      </c>
      <c r="J997">
        <f t="shared" si="125"/>
        <v>4162.7745539773296</v>
      </c>
      <c r="K997" s="5">
        <f t="shared" si="126"/>
        <v>1008.5686561148785</v>
      </c>
      <c r="L997" s="5">
        <f t="shared" si="127"/>
        <v>3.803531046623719E-2</v>
      </c>
    </row>
    <row r="998" spans="2:12">
      <c r="B998">
        <v>9.671875</v>
      </c>
      <c r="C998">
        <v>1.61455129273236</v>
      </c>
      <c r="D998">
        <v>48.563890624999999</v>
      </c>
      <c r="E998" s="5">
        <f t="shared" si="121"/>
        <v>48563.890625</v>
      </c>
      <c r="F998" s="5">
        <v>0.38856698665767903</v>
      </c>
      <c r="G998">
        <f t="shared" si="122"/>
        <v>971.27781249999998</v>
      </c>
      <c r="H998">
        <f t="shared" si="123"/>
        <v>3.8856698665767901E-2</v>
      </c>
      <c r="I998">
        <f t="shared" si="124"/>
        <v>4.0120780242816914E-2</v>
      </c>
      <c r="J998">
        <f t="shared" si="125"/>
        <v>4172.1287936750969</v>
      </c>
      <c r="K998" s="5">
        <f t="shared" si="126"/>
        <v>1009.0184617810587</v>
      </c>
      <c r="L998" s="5">
        <f t="shared" si="127"/>
        <v>3.8120780242816912E-2</v>
      </c>
    </row>
    <row r="999" spans="2:12">
      <c r="B999">
        <v>9.681640625</v>
      </c>
      <c r="C999">
        <v>1.6163199907168699</v>
      </c>
      <c r="D999">
        <v>48.54858203125</v>
      </c>
      <c r="E999" s="5">
        <f t="shared" si="121"/>
        <v>48548.58203125</v>
      </c>
      <c r="F999" s="5">
        <v>0.38918072823435101</v>
      </c>
      <c r="G999">
        <f t="shared" si="122"/>
        <v>970.97164062499996</v>
      </c>
      <c r="H999">
        <f t="shared" si="123"/>
        <v>3.8918072823435103E-2</v>
      </c>
      <c r="I999">
        <f t="shared" si="124"/>
        <v>4.0179857057616258E-2</v>
      </c>
      <c r="J999">
        <f t="shared" si="125"/>
        <v>4178.5944556708109</v>
      </c>
      <c r="K999" s="5">
        <f t="shared" si="126"/>
        <v>1008.7599856443339</v>
      </c>
      <c r="L999" s="5">
        <f t="shared" si="127"/>
        <v>3.8179857057616257E-2</v>
      </c>
    </row>
    <row r="1000" spans="2:12">
      <c r="B1000">
        <v>9.69140625</v>
      </c>
      <c r="C1000">
        <v>1.6176014905795499</v>
      </c>
      <c r="D1000">
        <v>48.548710937499997</v>
      </c>
      <c r="E1000" s="5">
        <f t="shared" si="121"/>
        <v>48548.7109375</v>
      </c>
      <c r="F1000" s="5">
        <v>0.38996912189759297</v>
      </c>
      <c r="G1000">
        <f t="shared" si="122"/>
        <v>970.97421874999998</v>
      </c>
      <c r="H1000">
        <f t="shared" si="123"/>
        <v>3.89969121897593E-2</v>
      </c>
      <c r="I1000">
        <f t="shared" si="124"/>
        <v>4.0255740206764035E-2</v>
      </c>
      <c r="J1000">
        <f t="shared" si="125"/>
        <v>4186.8994869292892</v>
      </c>
      <c r="K1000" s="5">
        <f t="shared" si="126"/>
        <v>1008.8392150971139</v>
      </c>
      <c r="L1000" s="5">
        <f t="shared" si="127"/>
        <v>3.8255740206764033E-2</v>
      </c>
    </row>
    <row r="1001" spans="2:12">
      <c r="B1001">
        <v>9.701171875</v>
      </c>
      <c r="C1001">
        <v>1.6176312929019301</v>
      </c>
      <c r="D1001">
        <v>48.544253906249999</v>
      </c>
      <c r="E1001" s="5">
        <f t="shared" si="121"/>
        <v>48544.25390625</v>
      </c>
      <c r="F1001" s="5">
        <v>0.39067884790711099</v>
      </c>
      <c r="G1001">
        <f t="shared" si="122"/>
        <v>970.88507812499995</v>
      </c>
      <c r="H1001">
        <f t="shared" si="123"/>
        <v>3.9067884790711098E-2</v>
      </c>
      <c r="I1001">
        <f t="shared" si="124"/>
        <v>4.0324046643678335E-2</v>
      </c>
      <c r="J1001">
        <f t="shared" si="125"/>
        <v>4194.3752849173752</v>
      </c>
      <c r="K1001" s="5">
        <f t="shared" si="126"/>
        <v>1008.815504502208</v>
      </c>
      <c r="L1001" s="5">
        <f t="shared" si="127"/>
        <v>3.8324046643678333E-2</v>
      </c>
    </row>
    <row r="1002" spans="2:12">
      <c r="B1002">
        <v>9.7109375</v>
      </c>
      <c r="C1002">
        <v>1.62181560881436</v>
      </c>
      <c r="D1002">
        <v>48.526742187499998</v>
      </c>
      <c r="E1002" s="5">
        <f t="shared" si="121"/>
        <v>48526.7421875</v>
      </c>
      <c r="F1002" s="5">
        <v>0.39132911479100602</v>
      </c>
      <c r="G1002">
        <f t="shared" si="122"/>
        <v>970.53484375000005</v>
      </c>
      <c r="H1002">
        <f t="shared" si="123"/>
        <v>3.9132911479100599E-2</v>
      </c>
      <c r="I1002">
        <f t="shared" si="124"/>
        <v>4.038662643724536E-2</v>
      </c>
      <c r="J1002">
        <f t="shared" si="125"/>
        <v>4201.2243304243184</v>
      </c>
      <c r="K1002" s="5">
        <f t="shared" si="126"/>
        <v>1008.5146978778515</v>
      </c>
      <c r="L1002" s="5">
        <f t="shared" si="127"/>
        <v>3.8386626437245358E-2</v>
      </c>
    </row>
    <row r="1003" spans="2:12">
      <c r="B1003">
        <v>9.720703125</v>
      </c>
      <c r="C1003">
        <v>1.6210899921134101</v>
      </c>
      <c r="D1003">
        <v>48.5412578125</v>
      </c>
      <c r="E1003" s="5">
        <f t="shared" si="121"/>
        <v>48541.2578125</v>
      </c>
      <c r="F1003" s="5">
        <v>0.39207408553920697</v>
      </c>
      <c r="G1003">
        <f t="shared" si="122"/>
        <v>970.82515624999996</v>
      </c>
      <c r="H1003">
        <f t="shared" si="123"/>
        <v>3.92074085539207E-2</v>
      </c>
      <c r="I1003">
        <f t="shared" si="124"/>
        <v>4.0458315442298033E-2</v>
      </c>
      <c r="J1003">
        <f t="shared" si="125"/>
        <v>4209.0703335823082</v>
      </c>
      <c r="K1003" s="5">
        <f t="shared" si="126"/>
        <v>1008.8886947855176</v>
      </c>
      <c r="L1003" s="5">
        <f t="shared" si="127"/>
        <v>3.8458315442298031E-2</v>
      </c>
    </row>
    <row r="1004" spans="2:12">
      <c r="B1004">
        <v>9.73046875</v>
      </c>
      <c r="C1004">
        <v>1.62082456517965</v>
      </c>
      <c r="D1004">
        <v>48.55301171875</v>
      </c>
      <c r="E1004" s="5">
        <f t="shared" si="121"/>
        <v>48553.01171875</v>
      </c>
      <c r="F1004" s="5">
        <v>0.392739893868566</v>
      </c>
      <c r="G1004">
        <f t="shared" si="122"/>
        <v>971.06023437500005</v>
      </c>
      <c r="H1004">
        <f t="shared" si="123"/>
        <v>3.9273989386856598E-2</v>
      </c>
      <c r="I1004">
        <f t="shared" si="124"/>
        <v>4.0522382248981609E-2</v>
      </c>
      <c r="J1004">
        <f t="shared" si="125"/>
        <v>4216.0821252397918</v>
      </c>
      <c r="K1004" s="5">
        <f t="shared" si="126"/>
        <v>1009.1976437138422</v>
      </c>
      <c r="L1004" s="5">
        <f t="shared" si="127"/>
        <v>3.8522382248981607E-2</v>
      </c>
    </row>
    <row r="1005" spans="2:12">
      <c r="B1005">
        <v>9.740234375</v>
      </c>
      <c r="C1005">
        <v>1.6246319282799999</v>
      </c>
      <c r="D1005">
        <v>48.558562500000001</v>
      </c>
      <c r="E1005" s="5">
        <f t="shared" si="121"/>
        <v>48558.5625</v>
      </c>
      <c r="F1005" s="5">
        <v>0.39360247319564201</v>
      </c>
      <c r="G1005">
        <f t="shared" si="122"/>
        <v>971.17124999999999</v>
      </c>
      <c r="H1005">
        <f t="shared" si="123"/>
        <v>3.9360247319564202E-2</v>
      </c>
      <c r="I1005">
        <f t="shared" si="124"/>
        <v>4.0605377064744728E-2</v>
      </c>
      <c r="J1005">
        <f t="shared" si="125"/>
        <v>4225.165492850987</v>
      </c>
      <c r="K1005" s="5">
        <f t="shared" si="126"/>
        <v>1009.3967905896503</v>
      </c>
      <c r="L1005" s="5">
        <f t="shared" si="127"/>
        <v>3.8605377064744727E-2</v>
      </c>
    </row>
    <row r="1006" spans="2:12">
      <c r="B1006">
        <v>9.75</v>
      </c>
      <c r="C1006">
        <v>1.62822601851076</v>
      </c>
      <c r="D1006">
        <v>48.570843750000002</v>
      </c>
      <c r="E1006" s="5">
        <f t="shared" si="121"/>
        <v>48570.84375</v>
      </c>
      <c r="F1006" s="5">
        <v>0.39433862548321502</v>
      </c>
      <c r="G1006">
        <f t="shared" si="122"/>
        <v>971.416875</v>
      </c>
      <c r="H1006">
        <f t="shared" si="123"/>
        <v>3.9433862548321499E-2</v>
      </c>
      <c r="I1006">
        <f t="shared" si="124"/>
        <v>4.067620199968041E-2</v>
      </c>
      <c r="J1006">
        <f t="shared" si="125"/>
        <v>4232.9169278550225</v>
      </c>
      <c r="K1006" s="5">
        <f t="shared" si="126"/>
        <v>1009.72359452587</v>
      </c>
      <c r="L1006" s="5">
        <f t="shared" si="127"/>
        <v>3.8676201999680408E-2</v>
      </c>
    </row>
    <row r="1007" spans="2:12">
      <c r="B1007">
        <v>9.759765625</v>
      </c>
      <c r="C1007">
        <v>1.6276091337203999</v>
      </c>
      <c r="D1007">
        <v>48.549085937500003</v>
      </c>
      <c r="E1007" s="5">
        <f t="shared" si="121"/>
        <v>48549.0859375</v>
      </c>
      <c r="F1007" s="5">
        <v>0.39506817120127402</v>
      </c>
      <c r="G1007">
        <f t="shared" si="122"/>
        <v>970.98171875000003</v>
      </c>
      <c r="H1007">
        <f t="shared" si="123"/>
        <v>3.9506817120127401E-2</v>
      </c>
      <c r="I1007">
        <f t="shared" si="124"/>
        <v>4.0746386370547096E-2</v>
      </c>
      <c r="J1007">
        <f t="shared" si="125"/>
        <v>4240.598256324527</v>
      </c>
      <c r="K1007" s="5">
        <f t="shared" si="126"/>
        <v>1009.3421159396432</v>
      </c>
      <c r="L1007" s="5">
        <f t="shared" si="127"/>
        <v>3.8746386370547094E-2</v>
      </c>
    </row>
    <row r="1008" spans="2:12">
      <c r="B1008">
        <v>9.76953125</v>
      </c>
      <c r="C1008">
        <v>1.6308949561789601</v>
      </c>
      <c r="D1008">
        <v>48.544066406250003</v>
      </c>
      <c r="E1008" s="5">
        <f t="shared" si="121"/>
        <v>48544.06640625</v>
      </c>
      <c r="F1008" s="5">
        <v>0.39576724520884499</v>
      </c>
      <c r="G1008">
        <f t="shared" si="122"/>
        <v>970.88132812499998</v>
      </c>
      <c r="H1008">
        <f t="shared" si="123"/>
        <v>3.9576724520884496E-2</v>
      </c>
      <c r="I1008">
        <f t="shared" si="124"/>
        <v>4.0813634655075613E-2</v>
      </c>
      <c r="J1008">
        <f t="shared" si="125"/>
        <v>4247.9582448247502</v>
      </c>
      <c r="K1008" s="5">
        <f t="shared" si="126"/>
        <v>1009.3056309906735</v>
      </c>
      <c r="L1008" s="5">
        <f t="shared" si="127"/>
        <v>3.8813634655075611E-2</v>
      </c>
    </row>
    <row r="1009" spans="2:12">
      <c r="B1009">
        <v>9.779296875</v>
      </c>
      <c r="C1009">
        <v>1.6322718001902099</v>
      </c>
      <c r="D1009">
        <v>48.549871093749999</v>
      </c>
      <c r="E1009" s="5">
        <f t="shared" si="121"/>
        <v>48549.87109375</v>
      </c>
      <c r="F1009" s="5">
        <v>0.39645924698561402</v>
      </c>
      <c r="G1009">
        <f t="shared" si="122"/>
        <v>970.99742187499999</v>
      </c>
      <c r="H1009">
        <f t="shared" si="123"/>
        <v>3.9645924698561402E-2</v>
      </c>
      <c r="I1009">
        <f t="shared" si="124"/>
        <v>4.088019816401825E-2</v>
      </c>
      <c r="J1009">
        <f t="shared" si="125"/>
        <v>4255.2432880609767</v>
      </c>
      <c r="K1009" s="5">
        <f t="shared" si="126"/>
        <v>1009.4935125451535</v>
      </c>
      <c r="L1009" s="5">
        <f t="shared" si="127"/>
        <v>3.8880198164018248E-2</v>
      </c>
    </row>
    <row r="1010" spans="2:12">
      <c r="B1010">
        <v>9.7890625</v>
      </c>
      <c r="C1010">
        <v>1.6323775053024301</v>
      </c>
      <c r="D1010">
        <v>48.551953124999997</v>
      </c>
      <c r="E1010" s="5">
        <f t="shared" si="121"/>
        <v>48551.953125</v>
      </c>
      <c r="F1010" s="5">
        <v>0.39724120870232599</v>
      </c>
      <c r="G1010">
        <f t="shared" si="122"/>
        <v>971.0390625</v>
      </c>
      <c r="H1010">
        <f t="shared" si="123"/>
        <v>3.9724120870232596E-2</v>
      </c>
      <c r="I1010">
        <f t="shared" si="124"/>
        <v>4.0955409569390422E-2</v>
      </c>
      <c r="J1010">
        <f t="shared" si="125"/>
        <v>4263.4748003219347</v>
      </c>
      <c r="K1010" s="5">
        <f t="shared" si="126"/>
        <v>1009.6127355884673</v>
      </c>
      <c r="L1010" s="5">
        <f t="shared" si="127"/>
        <v>3.895540956939042E-2</v>
      </c>
    </row>
    <row r="1011" spans="2:12">
      <c r="B1011">
        <v>9.798828125</v>
      </c>
      <c r="C1011">
        <v>1.63572293240577</v>
      </c>
      <c r="D1011">
        <v>48.564058593749998</v>
      </c>
      <c r="E1011" s="5">
        <f t="shared" si="121"/>
        <v>48564.05859375</v>
      </c>
      <c r="F1011" s="5">
        <v>0.39792610914446402</v>
      </c>
      <c r="G1011">
        <f t="shared" si="122"/>
        <v>971.28117187500004</v>
      </c>
      <c r="H1011">
        <f t="shared" si="123"/>
        <v>3.97926109144464E-2</v>
      </c>
      <c r="I1011">
        <f t="shared" si="124"/>
        <v>4.102128068568562E-2</v>
      </c>
      <c r="J1011">
        <f t="shared" si="125"/>
        <v>4270.6840646448627</v>
      </c>
      <c r="K1011" s="5">
        <f t="shared" si="126"/>
        <v>1009.9309856359495</v>
      </c>
      <c r="L1011" s="5">
        <f t="shared" si="127"/>
        <v>3.9021280685685618E-2</v>
      </c>
    </row>
    <row r="1012" spans="2:12">
      <c r="B1012">
        <v>9.80859375</v>
      </c>
      <c r="C1012">
        <v>1.6372367972508099</v>
      </c>
      <c r="D1012">
        <v>48.54858203125</v>
      </c>
      <c r="E1012" s="5">
        <f t="shared" si="121"/>
        <v>48548.58203125</v>
      </c>
      <c r="F1012" s="5">
        <v>0.39868376916274401</v>
      </c>
      <c r="G1012">
        <f t="shared" si="122"/>
        <v>970.97164062499996</v>
      </c>
      <c r="H1012">
        <f t="shared" si="123"/>
        <v>3.9868376916274401E-2</v>
      </c>
      <c r="I1012">
        <f t="shared" si="124"/>
        <v>4.1094144486377063E-2</v>
      </c>
      <c r="J1012">
        <f t="shared" si="125"/>
        <v>4278.6586433115372</v>
      </c>
      <c r="K1012" s="5">
        <f t="shared" si="126"/>
        <v>1009.6827039684508</v>
      </c>
      <c r="L1012" s="5">
        <f t="shared" si="127"/>
        <v>3.9094144486377061E-2</v>
      </c>
    </row>
    <row r="1013" spans="2:12">
      <c r="B1013">
        <v>9.818359375</v>
      </c>
      <c r="C1013">
        <v>1.63769582286477</v>
      </c>
      <c r="D1013">
        <v>48.533828124999999</v>
      </c>
      <c r="E1013" s="5">
        <f t="shared" si="121"/>
        <v>48533.828125</v>
      </c>
      <c r="F1013" s="5">
        <v>0.399418553570285</v>
      </c>
      <c r="G1013">
        <f t="shared" si="122"/>
        <v>970.67656250000005</v>
      </c>
      <c r="H1013">
        <f t="shared" si="123"/>
        <v>3.9941855357028502E-2</v>
      </c>
      <c r="I1013">
        <f t="shared" si="124"/>
        <v>4.1164803279803971E-2</v>
      </c>
      <c r="J1013">
        <f t="shared" si="125"/>
        <v>4286.3918949581457</v>
      </c>
      <c r="K1013" s="5">
        <f t="shared" si="126"/>
        <v>1009.4471853578327</v>
      </c>
      <c r="L1013" s="5">
        <f t="shared" si="127"/>
        <v>3.916480327980397E-2</v>
      </c>
    </row>
    <row r="1014" spans="2:12">
      <c r="B1014">
        <v>9.828125</v>
      </c>
      <c r="C1014">
        <v>1.6401916509494201</v>
      </c>
      <c r="D1014">
        <v>48.544949218749998</v>
      </c>
      <c r="E1014" s="5">
        <f t="shared" si="121"/>
        <v>48544.94921875</v>
      </c>
      <c r="F1014" s="5">
        <v>0.40011084638535999</v>
      </c>
      <c r="G1014">
        <f t="shared" si="122"/>
        <v>970.89898437500005</v>
      </c>
      <c r="H1014">
        <f t="shared" si="123"/>
        <v>4.0011084638535997E-2</v>
      </c>
      <c r="I1014">
        <f t="shared" si="124"/>
        <v>4.1231371402766545E-2</v>
      </c>
      <c r="J1014">
        <f t="shared" si="125"/>
        <v>4293.677443175784</v>
      </c>
      <c r="K1014" s="5">
        <f t="shared" si="126"/>
        <v>1009.7457058142968</v>
      </c>
      <c r="L1014" s="5">
        <f t="shared" si="127"/>
        <v>3.9231371402766543E-2</v>
      </c>
    </row>
    <row r="1015" spans="2:12">
      <c r="B1015">
        <v>9.837890625</v>
      </c>
      <c r="C1015">
        <v>1.6410753596574099</v>
      </c>
      <c r="D1015">
        <v>48.559277343749997</v>
      </c>
      <c r="E1015" s="5">
        <f t="shared" si="121"/>
        <v>48559.27734375</v>
      </c>
      <c r="F1015" s="5">
        <v>0.40089522371999903</v>
      </c>
      <c r="G1015">
        <f t="shared" si="122"/>
        <v>971.185546875</v>
      </c>
      <c r="H1015">
        <f t="shared" si="123"/>
        <v>4.0089522371999906E-2</v>
      </c>
      <c r="I1015">
        <f t="shared" si="124"/>
        <v>4.1306788652525302E-2</v>
      </c>
      <c r="J1015">
        <f t="shared" si="125"/>
        <v>4301.9314840756315</v>
      </c>
      <c r="K1015" s="5">
        <f t="shared" si="126"/>
        <v>1010.1199115838083</v>
      </c>
      <c r="L1015" s="5">
        <f t="shared" si="127"/>
        <v>3.93067886525253E-2</v>
      </c>
    </row>
    <row r="1016" spans="2:12">
      <c r="B1016">
        <v>9.84765625</v>
      </c>
      <c r="C1016">
        <v>1.64389156270772</v>
      </c>
      <c r="D1016">
        <v>48.57</v>
      </c>
      <c r="E1016" s="5">
        <f t="shared" si="121"/>
        <v>48570</v>
      </c>
      <c r="F1016" s="5">
        <v>0.40160288335755501</v>
      </c>
      <c r="G1016">
        <f t="shared" si="122"/>
        <v>971.4</v>
      </c>
      <c r="H1016">
        <f t="shared" si="123"/>
        <v>4.0160288335755502E-2</v>
      </c>
      <c r="I1016">
        <f t="shared" si="124"/>
        <v>4.1374824677255201E-2</v>
      </c>
      <c r="J1016">
        <f t="shared" si="125"/>
        <v>4309.3776868021951</v>
      </c>
      <c r="K1016" s="5">
        <f t="shared" si="126"/>
        <v>1010.4117040893528</v>
      </c>
      <c r="L1016" s="5">
        <f t="shared" si="127"/>
        <v>3.9374824677255199E-2</v>
      </c>
    </row>
    <row r="1017" spans="2:12">
      <c r="B1017">
        <v>9.857421875</v>
      </c>
      <c r="C1017">
        <v>1.64539669640362</v>
      </c>
      <c r="D1017">
        <v>48.580515624999997</v>
      </c>
      <c r="E1017" s="5">
        <f t="shared" si="121"/>
        <v>48580.515625</v>
      </c>
      <c r="F1017" s="5">
        <v>0.40231013554148398</v>
      </c>
      <c r="G1017">
        <f t="shared" si="122"/>
        <v>971.61031249999996</v>
      </c>
      <c r="H1017">
        <f t="shared" si="123"/>
        <v>4.0231013554148397E-2</v>
      </c>
      <c r="I1017">
        <f t="shared" si="124"/>
        <v>4.1442816903867481E-2</v>
      </c>
      <c r="J1017">
        <f t="shared" si="125"/>
        <v>4316.819096043776</v>
      </c>
      <c r="K1017" s="5">
        <f t="shared" si="126"/>
        <v>1010.6991801515378</v>
      </c>
      <c r="L1017" s="5">
        <f t="shared" si="127"/>
        <v>3.9442816903867479E-2</v>
      </c>
    </row>
    <row r="1018" spans="2:12">
      <c r="B1018">
        <v>9.8671875</v>
      </c>
      <c r="C1018">
        <v>1.6476064920425399</v>
      </c>
      <c r="D1018">
        <v>48.561207031249999</v>
      </c>
      <c r="E1018" s="5">
        <f t="shared" si="121"/>
        <v>48561.20703125</v>
      </c>
      <c r="F1018" s="5">
        <v>0.40307146264240101</v>
      </c>
      <c r="G1018">
        <f t="shared" si="122"/>
        <v>971.22414062500002</v>
      </c>
      <c r="H1018">
        <f t="shared" si="123"/>
        <v>4.0307146264240104E-2</v>
      </c>
      <c r="I1018">
        <f t="shared" si="124"/>
        <v>4.1516002497476008E-2</v>
      </c>
      <c r="J1018">
        <f t="shared" si="125"/>
        <v>4324.8288933362619</v>
      </c>
      <c r="K1018" s="5">
        <f t="shared" si="126"/>
        <v>1010.3714141165328</v>
      </c>
      <c r="L1018" s="5">
        <f t="shared" si="127"/>
        <v>3.9516002497476006E-2</v>
      </c>
    </row>
    <row r="1019" spans="2:12">
      <c r="B1019">
        <v>9.876953125</v>
      </c>
      <c r="C1019">
        <v>1.6501650679856501</v>
      </c>
      <c r="D1019">
        <v>48.562718750000002</v>
      </c>
      <c r="E1019" s="5">
        <f t="shared" si="121"/>
        <v>48562.71875</v>
      </c>
      <c r="F1019" s="5">
        <v>0.40377568802796299</v>
      </c>
      <c r="G1019">
        <f t="shared" si="122"/>
        <v>971.25437499999998</v>
      </c>
      <c r="H1019">
        <f t="shared" si="123"/>
        <v>4.0377568802796297E-2</v>
      </c>
      <c r="I1019">
        <f t="shared" si="124"/>
        <v>4.1583694193457713E-2</v>
      </c>
      <c r="J1019">
        <f t="shared" si="125"/>
        <v>4332.2374110029796</v>
      </c>
      <c r="K1019" s="5">
        <f t="shared" si="126"/>
        <v>1010.4712653515794</v>
      </c>
      <c r="L1019" s="5">
        <f t="shared" si="127"/>
        <v>3.9583694193457711E-2</v>
      </c>
    </row>
    <row r="1020" spans="2:12">
      <c r="B1020">
        <v>9.88671875</v>
      </c>
      <c r="C1020">
        <v>1.6471237177029301</v>
      </c>
      <c r="D1020">
        <v>48.557265624999999</v>
      </c>
      <c r="E1020" s="5">
        <f t="shared" si="121"/>
        <v>48557.265625</v>
      </c>
      <c r="F1020" s="5">
        <v>0.40451018139720002</v>
      </c>
      <c r="G1020">
        <f t="shared" si="122"/>
        <v>971.14531250000005</v>
      </c>
      <c r="H1020">
        <f t="shared" si="123"/>
        <v>4.0451018139720005E-2</v>
      </c>
      <c r="I1020">
        <f t="shared" si="124"/>
        <v>4.1654290433258599E-2</v>
      </c>
      <c r="J1020">
        <f t="shared" si="125"/>
        <v>4339.9638164679873</v>
      </c>
      <c r="K1020" s="5">
        <f t="shared" si="126"/>
        <v>1010.4291291522416</v>
      </c>
      <c r="L1020" s="5">
        <f t="shared" si="127"/>
        <v>3.9654290433258597E-2</v>
      </c>
    </row>
    <row r="1021" spans="2:12">
      <c r="B1021">
        <v>9.896484375</v>
      </c>
      <c r="C1021">
        <v>1.6505704261362599</v>
      </c>
      <c r="D1021">
        <v>48.545343750000001</v>
      </c>
      <c r="E1021" s="5">
        <f t="shared" si="121"/>
        <v>48545.34375</v>
      </c>
      <c r="F1021" s="5">
        <v>0.40521236951462902</v>
      </c>
      <c r="G1021">
        <f t="shared" si="122"/>
        <v>970.90687500000001</v>
      </c>
      <c r="H1021">
        <f t="shared" si="123"/>
        <v>4.0521236951462904E-2</v>
      </c>
      <c r="I1021">
        <f t="shared" si="124"/>
        <v>4.1721776976241395E-2</v>
      </c>
      <c r="J1021">
        <f t="shared" si="125"/>
        <v>4347.3498811647396</v>
      </c>
      <c r="K1021" s="5">
        <f t="shared" si="126"/>
        <v>1010.2492225396794</v>
      </c>
      <c r="L1021" s="5">
        <f t="shared" si="127"/>
        <v>3.9721776976241394E-2</v>
      </c>
    </row>
    <row r="1022" spans="2:12">
      <c r="B1022">
        <v>9.90625</v>
      </c>
      <c r="C1022">
        <v>1.6528354026377201</v>
      </c>
      <c r="D1022">
        <v>48.561851562500003</v>
      </c>
      <c r="E1022" s="5">
        <f t="shared" si="121"/>
        <v>48561.8515625</v>
      </c>
      <c r="F1022" s="5">
        <v>0.405920407501981</v>
      </c>
      <c r="G1022">
        <f t="shared" si="122"/>
        <v>971.23703124999997</v>
      </c>
      <c r="H1022">
        <f t="shared" si="123"/>
        <v>4.0592040750198101E-2</v>
      </c>
      <c r="I1022">
        <f t="shared" si="124"/>
        <v>4.1789821132723504E-2</v>
      </c>
      <c r="J1022">
        <f t="shared" si="125"/>
        <v>4354.7969738709235</v>
      </c>
      <c r="K1022" s="5">
        <f t="shared" si="126"/>
        <v>1010.6615244006014</v>
      </c>
      <c r="L1022" s="5">
        <f t="shared" si="127"/>
        <v>3.9789821132723502E-2</v>
      </c>
    </row>
    <row r="1023" spans="2:12">
      <c r="B1023">
        <v>9.916015625</v>
      </c>
      <c r="C1023">
        <v>1.65515544358641</v>
      </c>
      <c r="D1023">
        <v>48.573183593750002</v>
      </c>
      <c r="E1023" s="5">
        <f t="shared" si="121"/>
        <v>48573.18359375</v>
      </c>
      <c r="F1023" s="5">
        <v>0.40670268936082699</v>
      </c>
      <c r="G1023">
        <f t="shared" si="122"/>
        <v>971.46367187500005</v>
      </c>
      <c r="H1023">
        <f t="shared" si="123"/>
        <v>4.06702689360827E-2</v>
      </c>
      <c r="I1023">
        <f t="shared" si="124"/>
        <v>4.1864994920820672E-2</v>
      </c>
      <c r="J1023">
        <f t="shared" si="125"/>
        <v>4363.0243691092182</v>
      </c>
      <c r="K1023" s="5">
        <f t="shared" si="126"/>
        <v>1010.9733606717907</v>
      </c>
      <c r="L1023" s="5">
        <f t="shared" si="127"/>
        <v>3.9864994920820671E-2</v>
      </c>
    </row>
    <row r="1024" spans="2:12">
      <c r="B1024">
        <v>9.92578125</v>
      </c>
      <c r="C1024">
        <v>1.6572981839999601</v>
      </c>
      <c r="D1024">
        <v>48.582984375000002</v>
      </c>
      <c r="E1024" s="5">
        <f t="shared" si="121"/>
        <v>48582.984375</v>
      </c>
      <c r="F1024" s="5">
        <v>0.407433049986139</v>
      </c>
      <c r="G1024">
        <f t="shared" si="122"/>
        <v>971.65968750000002</v>
      </c>
      <c r="H1024">
        <f t="shared" si="123"/>
        <v>4.0743304998613901E-2</v>
      </c>
      <c r="I1024">
        <f t="shared" si="124"/>
        <v>4.1935174210007378E-2</v>
      </c>
      <c r="J1024">
        <f t="shared" si="125"/>
        <v>4370.705141414257</v>
      </c>
      <c r="K1024" s="5">
        <f t="shared" si="126"/>
        <v>1011.2483145026704</v>
      </c>
      <c r="L1024" s="5">
        <f t="shared" si="127"/>
        <v>3.9935174210007376E-2</v>
      </c>
    </row>
    <row r="1025" spans="2:12">
      <c r="B1025">
        <v>9.935546875</v>
      </c>
      <c r="C1025">
        <v>1.6583323013037401</v>
      </c>
      <c r="D1025">
        <v>48.589207031249998</v>
      </c>
      <c r="E1025" s="5">
        <f t="shared" si="121"/>
        <v>48589.20703125</v>
      </c>
      <c r="F1025" s="5">
        <v>0.40816585533320898</v>
      </c>
      <c r="G1025">
        <f t="shared" si="122"/>
        <v>971.78414062499996</v>
      </c>
      <c r="H1025">
        <f t="shared" si="123"/>
        <v>4.0816585533320897E-2</v>
      </c>
      <c r="I1025">
        <f t="shared" si="124"/>
        <v>4.2005583459407893E-2</v>
      </c>
      <c r="J1025">
        <f t="shared" si="125"/>
        <v>4378.4110817148967</v>
      </c>
      <c r="K1025" s="5">
        <f t="shared" si="126"/>
        <v>1011.449051120745</v>
      </c>
      <c r="L1025" s="5">
        <f t="shared" si="127"/>
        <v>4.0005583459407891E-2</v>
      </c>
    </row>
    <row r="1026" spans="2:12">
      <c r="B1026">
        <v>9.9453125</v>
      </c>
      <c r="C1026">
        <v>1.6598969232291001</v>
      </c>
      <c r="D1026">
        <v>48.583347656249998</v>
      </c>
      <c r="E1026" s="5">
        <f t="shared" si="121"/>
        <v>48583.34765625</v>
      </c>
      <c r="F1026" s="5">
        <v>0.40895235724747198</v>
      </c>
      <c r="G1026">
        <f t="shared" si="122"/>
        <v>971.66695312499996</v>
      </c>
      <c r="H1026">
        <f t="shared" si="123"/>
        <v>4.0895235724747195E-2</v>
      </c>
      <c r="I1026">
        <f t="shared" si="124"/>
        <v>4.2081146455842405E-2</v>
      </c>
      <c r="J1026">
        <f t="shared" si="125"/>
        <v>4386.6810738596714</v>
      </c>
      <c r="K1026" s="5">
        <f t="shared" si="126"/>
        <v>1011.4035022189937</v>
      </c>
      <c r="L1026" s="5">
        <f t="shared" si="127"/>
        <v>4.0081146455842404E-2</v>
      </c>
    </row>
    <row r="1027" spans="2:12">
      <c r="B1027">
        <v>9.955078125</v>
      </c>
      <c r="C1027">
        <v>1.6613827319815799</v>
      </c>
      <c r="D1027">
        <v>48.581585937500002</v>
      </c>
      <c r="E1027" s="5">
        <f t="shared" si="121"/>
        <v>48581.5859375</v>
      </c>
      <c r="F1027" s="5">
        <v>0.409689062507823</v>
      </c>
      <c r="G1027">
        <f t="shared" si="122"/>
        <v>971.63171875</v>
      </c>
      <c r="H1027">
        <f t="shared" si="123"/>
        <v>4.0968906250782297E-2</v>
      </c>
      <c r="I1027">
        <f t="shared" si="124"/>
        <v>4.215192007125803E-2</v>
      </c>
      <c r="J1027">
        <f t="shared" si="125"/>
        <v>4394.426892198835</v>
      </c>
      <c r="K1027" s="5">
        <f t="shared" si="126"/>
        <v>1011.4384075457552</v>
      </c>
      <c r="L1027" s="5">
        <f t="shared" si="127"/>
        <v>4.0151920071258028E-2</v>
      </c>
    </row>
    <row r="1028" spans="2:12">
      <c r="B1028">
        <v>9.96484375</v>
      </c>
      <c r="C1028">
        <v>1.6632049810141301</v>
      </c>
      <c r="D1028">
        <v>48.596417968750004</v>
      </c>
      <c r="E1028" s="5">
        <f t="shared" si="121"/>
        <v>48596.41796875</v>
      </c>
      <c r="F1028" s="5">
        <v>0.41041948134079598</v>
      </c>
      <c r="G1028">
        <f t="shared" si="122"/>
        <v>971.92835937500001</v>
      </c>
      <c r="H1028">
        <f t="shared" si="123"/>
        <v>4.1041948134079596E-2</v>
      </c>
      <c r="I1028">
        <f t="shared" si="124"/>
        <v>4.2222084819125122E-2</v>
      </c>
      <c r="J1028">
        <f t="shared" si="125"/>
        <v>4402.1060730291483</v>
      </c>
      <c r="K1028" s="5">
        <f t="shared" si="126"/>
        <v>1011.8181926905098</v>
      </c>
      <c r="L1028" s="5">
        <f t="shared" si="127"/>
        <v>4.022208481912512E-2</v>
      </c>
    </row>
    <row r="1029" spans="2:12">
      <c r="B1029">
        <v>9.974609375</v>
      </c>
      <c r="C1029">
        <v>1.6641735564917299</v>
      </c>
      <c r="D1029">
        <v>48.59783203125</v>
      </c>
      <c r="E1029" s="5">
        <f t="shared" si="121"/>
        <v>48597.83203125</v>
      </c>
      <c r="F1029" s="5">
        <v>0.41122149559669202</v>
      </c>
      <c r="G1029">
        <f t="shared" si="122"/>
        <v>971.95664062499998</v>
      </c>
      <c r="H1029">
        <f t="shared" si="123"/>
        <v>4.1122149559669204E-2</v>
      </c>
      <c r="I1029">
        <f t="shared" si="124"/>
        <v>4.2299121423221904E-2</v>
      </c>
      <c r="J1029">
        <f t="shared" si="125"/>
        <v>4410.5373441645215</v>
      </c>
      <c r="K1029" s="5">
        <f t="shared" si="126"/>
        <v>1011.9255869662949</v>
      </c>
      <c r="L1029" s="5">
        <f t="shared" si="127"/>
        <v>4.0299121423221902E-2</v>
      </c>
    </row>
    <row r="1030" spans="2:12">
      <c r="B1030">
        <v>9.984375</v>
      </c>
      <c r="C1030">
        <v>1.66643399279565</v>
      </c>
      <c r="D1030">
        <v>48.597644531249998</v>
      </c>
      <c r="E1030" s="5">
        <f t="shared" si="121"/>
        <v>48597.64453125</v>
      </c>
      <c r="F1030" s="5">
        <v>0.41187647730112098</v>
      </c>
      <c r="G1030">
        <f t="shared" si="122"/>
        <v>971.95289062500001</v>
      </c>
      <c r="H1030">
        <f t="shared" si="123"/>
        <v>4.1187647730112097E-2</v>
      </c>
      <c r="I1030">
        <f t="shared" si="124"/>
        <v>4.2362030573963767E-2</v>
      </c>
      <c r="J1030">
        <f t="shared" si="125"/>
        <v>4417.4224361674642</v>
      </c>
      <c r="K1030" s="5">
        <f t="shared" si="126"/>
        <v>1011.9853438943267</v>
      </c>
      <c r="L1030" s="5">
        <f t="shared" si="127"/>
        <v>4.0362030573963766E-2</v>
      </c>
    </row>
    <row r="1031" spans="2:12">
      <c r="B1031">
        <v>9.994140625</v>
      </c>
      <c r="C1031">
        <v>1.6676753293722899</v>
      </c>
      <c r="D1031">
        <v>48.579191406249997</v>
      </c>
      <c r="E1031" s="5">
        <f t="shared" si="121"/>
        <v>48579.19140625</v>
      </c>
      <c r="F1031" s="5">
        <v>0.41262563900090798</v>
      </c>
      <c r="G1031">
        <f t="shared" si="122"/>
        <v>971.58382812499997</v>
      </c>
      <c r="H1031">
        <f t="shared" si="123"/>
        <v>4.1262563900090796E-2</v>
      </c>
      <c r="I1031">
        <f t="shared" si="124"/>
        <v>4.2433980596675094E-2</v>
      </c>
      <c r="J1031">
        <f t="shared" si="125"/>
        <v>4425.2970064031051</v>
      </c>
      <c r="K1031" s="5">
        <f t="shared" si="126"/>
        <v>1011.6738679173026</v>
      </c>
      <c r="L1031" s="5">
        <f t="shared" si="127"/>
        <v>4.0433980596675093E-2</v>
      </c>
    </row>
    <row r="1032" spans="2:12">
      <c r="B1032">
        <v>10.00390625</v>
      </c>
      <c r="C1032">
        <v>1.6697734827175701</v>
      </c>
      <c r="D1032">
        <v>48.581496093749998</v>
      </c>
      <c r="E1032" s="5">
        <f t="shared" si="121"/>
        <v>48581.49609375</v>
      </c>
      <c r="F1032" s="5">
        <v>0.41341839823871901</v>
      </c>
      <c r="G1032">
        <f t="shared" si="122"/>
        <v>971.62992187500004</v>
      </c>
      <c r="H1032">
        <f t="shared" si="123"/>
        <v>4.13418398238719E-2</v>
      </c>
      <c r="I1032">
        <f t="shared" si="124"/>
        <v>4.2510112120912373E-2</v>
      </c>
      <c r="J1032">
        <f t="shared" si="125"/>
        <v>4433.6292210732545</v>
      </c>
      <c r="K1032" s="5">
        <f t="shared" si="126"/>
        <v>1011.7988904732374</v>
      </c>
      <c r="L1032" s="5">
        <f t="shared" si="127"/>
        <v>4.0510112120912371E-2</v>
      </c>
    </row>
    <row r="1033" spans="2:12">
      <c r="B1033">
        <v>10.013671875</v>
      </c>
      <c r="C1033">
        <v>1.67020107619464</v>
      </c>
      <c r="D1033">
        <v>48.583199218750003</v>
      </c>
      <c r="E1033" s="5">
        <f t="shared" ref="E1033:E1096" si="128" xml:space="preserve"> D1033*R$3</f>
        <v>48583.19921875</v>
      </c>
      <c r="F1033" s="5">
        <v>0.41414416045881802</v>
      </c>
      <c r="G1033">
        <f t="shared" ref="G1033:G1096" si="129" xml:space="preserve"> E1033/C$3</f>
        <v>971.66398437500004</v>
      </c>
      <c r="H1033">
        <f t="shared" ref="H1033:H1096" si="130" xml:space="preserve"> F1033/C$4</f>
        <v>4.1414416045881801E-2</v>
      </c>
      <c r="I1033">
        <f t="shared" ref="I1033:I1096" si="131">L1033+0.002</f>
        <v>4.2579804598690117E-2</v>
      </c>
      <c r="J1033">
        <f t="shared" ref="J1033:J1096" si="132">L1033*G$2</f>
        <v>4441.2567143036395</v>
      </c>
      <c r="K1033" s="5">
        <f t="shared" ref="K1033:K1096" si="133" xml:space="preserve"> G1033 * (1 + H1033)</f>
        <v>1011.9048808807055</v>
      </c>
      <c r="L1033" s="5">
        <f t="shared" ref="L1033:L1096" si="134">LN(1 + H1033)</f>
        <v>4.0579804598690115E-2</v>
      </c>
    </row>
    <row r="1034" spans="2:12">
      <c r="B1034">
        <v>10.0234375</v>
      </c>
      <c r="C1034">
        <v>1.6732289223000401</v>
      </c>
      <c r="D1034">
        <v>48.589992187500002</v>
      </c>
      <c r="E1034" s="5">
        <f t="shared" si="128"/>
        <v>48589.9921875</v>
      </c>
      <c r="F1034" s="5">
        <v>0.41488188435323498</v>
      </c>
      <c r="G1034">
        <f t="shared" si="129"/>
        <v>971.79984375000004</v>
      </c>
      <c r="H1034">
        <f t="shared" si="130"/>
        <v>4.1488188435323495E-2</v>
      </c>
      <c r="I1034">
        <f t="shared" si="131"/>
        <v>4.2650640737944889E-2</v>
      </c>
      <c r="J1034">
        <f t="shared" si="132"/>
        <v>4449.0093755643784</v>
      </c>
      <c r="K1034" s="5">
        <f t="shared" si="133"/>
        <v>1012.118058788918</v>
      </c>
      <c r="L1034" s="5">
        <f t="shared" si="134"/>
        <v>4.0650640737944888E-2</v>
      </c>
    </row>
    <row r="1035" spans="2:12">
      <c r="B1035">
        <v>10.033203125</v>
      </c>
      <c r="C1035">
        <v>1.6744106542319099</v>
      </c>
      <c r="D1035">
        <v>48.614554687499997</v>
      </c>
      <c r="E1035" s="5">
        <f t="shared" si="128"/>
        <v>48614.5546875</v>
      </c>
      <c r="F1035" s="5">
        <v>0.41565299034118702</v>
      </c>
      <c r="G1035">
        <f t="shared" si="129"/>
        <v>972.29109374999996</v>
      </c>
      <c r="H1035">
        <f t="shared" si="130"/>
        <v>4.1565299034118701E-2</v>
      </c>
      <c r="I1035">
        <f t="shared" si="131"/>
        <v>4.2724676857798932E-2</v>
      </c>
      <c r="J1035">
        <f t="shared" si="132"/>
        <v>4457.1122587018035</v>
      </c>
      <c r="K1035" s="5">
        <f t="shared" si="133"/>
        <v>1012.704663809929</v>
      </c>
      <c r="L1035" s="5">
        <f t="shared" si="134"/>
        <v>4.072467685779893E-2</v>
      </c>
    </row>
    <row r="1036" spans="2:12">
      <c r="B1036">
        <v>10.04296875</v>
      </c>
      <c r="C1036">
        <v>1.67579646222293</v>
      </c>
      <c r="D1036">
        <v>48.613519531249999</v>
      </c>
      <c r="E1036" s="5">
        <f t="shared" si="128"/>
        <v>48613.51953125</v>
      </c>
      <c r="F1036" s="5">
        <v>0.416382099501789</v>
      </c>
      <c r="G1036">
        <f t="shared" si="129"/>
        <v>972.270390625</v>
      </c>
      <c r="H1036">
        <f t="shared" si="130"/>
        <v>4.1638209950178903E-2</v>
      </c>
      <c r="I1036">
        <f t="shared" si="131"/>
        <v>4.2794675699271249E-2</v>
      </c>
      <c r="J1036">
        <f t="shared" si="132"/>
        <v>4464.7732819067414</v>
      </c>
      <c r="K1036" s="5">
        <f t="shared" si="133"/>
        <v>1012.7539892781862</v>
      </c>
      <c r="L1036" s="5">
        <f t="shared" si="134"/>
        <v>4.0794675699271248E-2</v>
      </c>
    </row>
    <row r="1037" spans="2:12">
      <c r="B1037">
        <v>10.052734375</v>
      </c>
      <c r="C1037">
        <v>1.6776770353317301</v>
      </c>
      <c r="D1037">
        <v>48.587292968749999</v>
      </c>
      <c r="E1037" s="5">
        <f t="shared" si="128"/>
        <v>48587.29296875</v>
      </c>
      <c r="F1037" s="5">
        <v>0.41710905497893702</v>
      </c>
      <c r="G1037">
        <f t="shared" si="129"/>
        <v>971.74585937500001</v>
      </c>
      <c r="H1037">
        <f t="shared" si="130"/>
        <v>4.1710905497893705E-2</v>
      </c>
      <c r="I1037">
        <f t="shared" si="131"/>
        <v>4.2864462896438818E-2</v>
      </c>
      <c r="J1037">
        <f t="shared" si="132"/>
        <v>4472.4111417007462</v>
      </c>
      <c r="K1037" s="5">
        <f t="shared" si="133"/>
        <v>1012.2782590833601</v>
      </c>
      <c r="L1037" s="5">
        <f t="shared" si="134"/>
        <v>4.0864462896438816E-2</v>
      </c>
    </row>
    <row r="1038" spans="2:12">
      <c r="B1038">
        <v>10.0625</v>
      </c>
      <c r="C1038">
        <v>1.67884828988463</v>
      </c>
      <c r="D1038">
        <v>48.601113281250001</v>
      </c>
      <c r="E1038" s="5">
        <f t="shared" si="128"/>
        <v>48601.11328125</v>
      </c>
      <c r="F1038" s="5">
        <v>0.41786927613429697</v>
      </c>
      <c r="G1038">
        <f t="shared" si="129"/>
        <v>972.02226562500005</v>
      </c>
      <c r="H1038">
        <f t="shared" si="130"/>
        <v>4.1786927613429697E-2</v>
      </c>
      <c r="I1038">
        <f t="shared" si="131"/>
        <v>4.293743836525056E-2</v>
      </c>
      <c r="J1038">
        <f t="shared" si="132"/>
        <v>4480.3979418848476</v>
      </c>
      <c r="K1038" s="5">
        <f t="shared" si="133"/>
        <v>1012.6400896773139</v>
      </c>
      <c r="L1038" s="5">
        <f t="shared" si="134"/>
        <v>4.0937438365250559E-2</v>
      </c>
    </row>
    <row r="1039" spans="2:12">
      <c r="B1039">
        <v>10.072265625</v>
      </c>
      <c r="C1039">
        <v>1.68067077174783</v>
      </c>
      <c r="D1039">
        <v>48.598890625000003</v>
      </c>
      <c r="E1039" s="5">
        <f t="shared" si="128"/>
        <v>48598.890625</v>
      </c>
      <c r="F1039" s="5">
        <v>0.41863083606585899</v>
      </c>
      <c r="G1039">
        <f t="shared" si="129"/>
        <v>971.97781250000003</v>
      </c>
      <c r="H1039">
        <f t="shared" si="130"/>
        <v>4.1863083606585902E-2</v>
      </c>
      <c r="I1039">
        <f t="shared" si="131"/>
        <v>4.3010537007325732E-2</v>
      </c>
      <c r="J1039">
        <f t="shared" si="132"/>
        <v>4488.3982227667648</v>
      </c>
      <c r="K1039" s="5">
        <f t="shared" si="133"/>
        <v>1012.667800928434</v>
      </c>
      <c r="L1039" s="5">
        <f t="shared" si="134"/>
        <v>4.101053700732573E-2</v>
      </c>
    </row>
    <row r="1040" spans="2:12">
      <c r="B1040">
        <v>10.08203125</v>
      </c>
      <c r="C1040">
        <v>1.68350641615689</v>
      </c>
      <c r="D1040">
        <v>48.615585937500001</v>
      </c>
      <c r="E1040" s="5">
        <f t="shared" si="128"/>
        <v>48615.5859375</v>
      </c>
      <c r="F1040" s="5">
        <v>0.41936011984944299</v>
      </c>
      <c r="G1040">
        <f t="shared" si="129"/>
        <v>972.31171874999995</v>
      </c>
      <c r="H1040">
        <f t="shared" si="130"/>
        <v>4.1936011984944302E-2</v>
      </c>
      <c r="I1040">
        <f t="shared" si="131"/>
        <v>4.3080532601951473E-2</v>
      </c>
      <c r="J1040">
        <f t="shared" si="132"/>
        <v>4496.0588906205785</v>
      </c>
      <c r="K1040" s="5">
        <f t="shared" si="133"/>
        <v>1013.0865946406018</v>
      </c>
      <c r="L1040" s="5">
        <f t="shared" si="134"/>
        <v>4.1080532601951471E-2</v>
      </c>
    </row>
    <row r="1041" spans="2:12">
      <c r="B1041">
        <v>10.091796875</v>
      </c>
      <c r="C1041">
        <v>1.6830966342240601</v>
      </c>
      <c r="D1041">
        <v>48.619675781250002</v>
      </c>
      <c r="E1041" s="5">
        <f t="shared" si="128"/>
        <v>48619.67578125</v>
      </c>
      <c r="F1041" s="5">
        <v>0.42013105121441202</v>
      </c>
      <c r="G1041">
        <f t="shared" si="129"/>
        <v>972.39351562499996</v>
      </c>
      <c r="H1041">
        <f t="shared" si="130"/>
        <v>4.2013105121441199E-2</v>
      </c>
      <c r="I1041">
        <f t="shared" si="131"/>
        <v>4.3154520144064838E-2</v>
      </c>
      <c r="J1041">
        <f t="shared" si="132"/>
        <v>4504.1564571671761</v>
      </c>
      <c r="K1041" s="5">
        <f t="shared" si="133"/>
        <v>1013.2467866163609</v>
      </c>
      <c r="L1041" s="5">
        <f t="shared" si="134"/>
        <v>4.1154520144064836E-2</v>
      </c>
    </row>
    <row r="1042" spans="2:12">
      <c r="B1042">
        <v>10.1015625</v>
      </c>
      <c r="C1042">
        <v>1.6856386791914699</v>
      </c>
      <c r="D1042">
        <v>48.614339843750003</v>
      </c>
      <c r="E1042" s="5">
        <f t="shared" si="128"/>
        <v>48614.33984375</v>
      </c>
      <c r="F1042" s="5">
        <v>0.42088440386578402</v>
      </c>
      <c r="G1042">
        <f t="shared" si="129"/>
        <v>972.28679687500005</v>
      </c>
      <c r="H1042">
        <f t="shared" si="130"/>
        <v>4.2088440386578399E-2</v>
      </c>
      <c r="I1042">
        <f t="shared" si="131"/>
        <v>4.3226815340364121E-2</v>
      </c>
      <c r="J1042">
        <f t="shared" si="132"/>
        <v>4512.0688049261507</v>
      </c>
      <c r="K1042" s="5">
        <f t="shared" si="133"/>
        <v>1013.2088317639308</v>
      </c>
      <c r="L1042" s="5">
        <f t="shared" si="134"/>
        <v>4.1226815340364119E-2</v>
      </c>
    </row>
    <row r="1043" spans="2:12">
      <c r="B1043">
        <v>10.111328125</v>
      </c>
      <c r="C1043">
        <v>1.68743135873228</v>
      </c>
      <c r="D1043">
        <v>48.626671875</v>
      </c>
      <c r="E1043" s="5">
        <f t="shared" si="128"/>
        <v>48626.671875</v>
      </c>
      <c r="F1043" s="5">
        <v>0.42163583566434698</v>
      </c>
      <c r="G1043">
        <f t="shared" si="129"/>
        <v>972.53343749999999</v>
      </c>
      <c r="H1043">
        <f t="shared" si="130"/>
        <v>4.2163583566434695E-2</v>
      </c>
      <c r="I1043">
        <f t="shared" si="131"/>
        <v>4.3298920996518199E-2</v>
      </c>
      <c r="J1043">
        <f t="shared" si="132"/>
        <v>4519.9604084639341</v>
      </c>
      <c r="K1043" s="5">
        <f t="shared" si="133"/>
        <v>1013.5389323631832</v>
      </c>
      <c r="L1043" s="5">
        <f t="shared" si="134"/>
        <v>4.1298920996518197E-2</v>
      </c>
    </row>
    <row r="1044" spans="2:12">
      <c r="B1044">
        <v>10.12109375</v>
      </c>
      <c r="C1044">
        <v>1.6898602480068801</v>
      </c>
      <c r="D1044">
        <v>48.623273437500004</v>
      </c>
      <c r="E1044" s="5">
        <f t="shared" si="128"/>
        <v>48623.2734375</v>
      </c>
      <c r="F1044" s="5">
        <v>0.422433455241844</v>
      </c>
      <c r="G1044">
        <f t="shared" si="129"/>
        <v>972.46546875000001</v>
      </c>
      <c r="H1044">
        <f t="shared" si="130"/>
        <v>4.2243345524184399E-2</v>
      </c>
      <c r="I1044">
        <f t="shared" si="131"/>
        <v>4.3375453037047783E-2</v>
      </c>
      <c r="J1044">
        <f t="shared" si="132"/>
        <v>4528.3364576396943</v>
      </c>
      <c r="K1044" s="5">
        <f t="shared" si="133"/>
        <v>1013.5456635567442</v>
      </c>
      <c r="L1044" s="5">
        <f t="shared" si="134"/>
        <v>4.1375453037047781E-2</v>
      </c>
    </row>
    <row r="1045" spans="2:12">
      <c r="B1045">
        <v>10.130859375</v>
      </c>
      <c r="C1045">
        <v>1.69111788272858</v>
      </c>
      <c r="D1045">
        <v>48.628542968749997</v>
      </c>
      <c r="E1045" s="5">
        <f t="shared" si="128"/>
        <v>48628.54296875</v>
      </c>
      <c r="F1045" s="5">
        <v>0.42323936941102103</v>
      </c>
      <c r="G1045">
        <f t="shared" si="129"/>
        <v>972.57085937500005</v>
      </c>
      <c r="H1045">
        <f t="shared" si="130"/>
        <v>4.2323936941102105E-2</v>
      </c>
      <c r="I1045">
        <f t="shared" si="131"/>
        <v>4.3452774999870283E-2</v>
      </c>
      <c r="J1045">
        <f t="shared" si="132"/>
        <v>4536.7989598608028</v>
      </c>
      <c r="K1045" s="5">
        <f t="shared" si="133"/>
        <v>1013.7338870979411</v>
      </c>
      <c r="L1045" s="5">
        <f t="shared" si="134"/>
        <v>4.1452774999870282E-2</v>
      </c>
    </row>
    <row r="1046" spans="2:12">
      <c r="B1046">
        <v>10.140625</v>
      </c>
      <c r="C1046">
        <v>1.6921221977099801</v>
      </c>
      <c r="D1046">
        <v>48.62632421875</v>
      </c>
      <c r="E1046" s="5">
        <f t="shared" si="128"/>
        <v>48626.32421875</v>
      </c>
      <c r="F1046" s="5">
        <v>0.42400191887281802</v>
      </c>
      <c r="G1046">
        <f t="shared" si="129"/>
        <v>972.526484375</v>
      </c>
      <c r="H1046">
        <f t="shared" si="130"/>
        <v>4.24001918872818E-2</v>
      </c>
      <c r="I1046">
        <f t="shared" si="131"/>
        <v>4.3525930910678065E-2</v>
      </c>
      <c r="J1046">
        <f t="shared" si="132"/>
        <v>4544.8055085191609</v>
      </c>
      <c r="K1046" s="5">
        <f t="shared" si="133"/>
        <v>1013.7617939279636</v>
      </c>
      <c r="L1046" s="5">
        <f t="shared" si="134"/>
        <v>4.1525930910678063E-2</v>
      </c>
    </row>
    <row r="1047" spans="2:12">
      <c r="B1047">
        <v>10.150390625</v>
      </c>
      <c r="C1047">
        <v>1.6910880804061901</v>
      </c>
      <c r="D1047">
        <v>48.606886718749998</v>
      </c>
      <c r="E1047" s="5">
        <f t="shared" si="128"/>
        <v>48606.88671875</v>
      </c>
      <c r="F1047" s="5">
        <v>0.42469555046409402</v>
      </c>
      <c r="G1047">
        <f t="shared" si="129"/>
        <v>972.13773437500004</v>
      </c>
      <c r="H1047">
        <f t="shared" si="130"/>
        <v>4.2469555046409403E-2</v>
      </c>
      <c r="I1047">
        <f t="shared" si="131"/>
        <v>4.3592470471967341E-2</v>
      </c>
      <c r="J1047">
        <f t="shared" si="132"/>
        <v>4552.0879308044659</v>
      </c>
      <c r="K1047" s="5">
        <f t="shared" si="133"/>
        <v>1013.4239913977308</v>
      </c>
      <c r="L1047" s="5">
        <f t="shared" si="134"/>
        <v>4.159247047196734E-2</v>
      </c>
    </row>
    <row r="1048" spans="2:12">
      <c r="B1048">
        <v>10.16015625</v>
      </c>
      <c r="C1048">
        <v>1.69839721638709</v>
      </c>
      <c r="D1048">
        <v>48.623402343750001</v>
      </c>
      <c r="E1048" s="5">
        <f t="shared" si="128"/>
        <v>48623.40234375</v>
      </c>
      <c r="F1048" s="5">
        <v>0.425486505264416</v>
      </c>
      <c r="G1048">
        <f t="shared" si="129"/>
        <v>972.46804687500003</v>
      </c>
      <c r="H1048">
        <f t="shared" si="130"/>
        <v>4.2548650526441599E-2</v>
      </c>
      <c r="I1048">
        <f t="shared" si="131"/>
        <v>4.3668340773587534E-2</v>
      </c>
      <c r="J1048">
        <f t="shared" si="132"/>
        <v>4560.3915559652878</v>
      </c>
      <c r="K1048" s="5">
        <f t="shared" si="133"/>
        <v>1013.8452499496157</v>
      </c>
      <c r="L1048" s="5">
        <f t="shared" si="134"/>
        <v>4.1668340773587532E-2</v>
      </c>
    </row>
    <row r="1049" spans="2:12">
      <c r="B1049">
        <v>10.169921875</v>
      </c>
      <c r="C1049">
        <v>1.6985967522487</v>
      </c>
      <c r="D1049">
        <v>48.619984375000001</v>
      </c>
      <c r="E1049" s="5">
        <f t="shared" si="128"/>
        <v>48619.984375</v>
      </c>
      <c r="F1049" s="5">
        <v>0.42612742981873503</v>
      </c>
      <c r="G1049">
        <f t="shared" si="129"/>
        <v>972.39968750000003</v>
      </c>
      <c r="H1049">
        <f t="shared" si="130"/>
        <v>4.2612742981873501E-2</v>
      </c>
      <c r="I1049">
        <f t="shared" si="131"/>
        <v>4.3729815588584152E-2</v>
      </c>
      <c r="J1049">
        <f t="shared" si="132"/>
        <v>4567.119667092592</v>
      </c>
      <c r="K1049" s="5">
        <f t="shared" si="133"/>
        <v>1013.8363054590916</v>
      </c>
      <c r="L1049" s="5">
        <f t="shared" si="134"/>
        <v>4.172981558858415E-2</v>
      </c>
    </row>
    <row r="1050" spans="2:12">
      <c r="B1050">
        <v>10.1796875</v>
      </c>
      <c r="C1050">
        <v>1.69835682027042</v>
      </c>
      <c r="D1050">
        <v>48.611324218749999</v>
      </c>
      <c r="E1050" s="5">
        <f t="shared" si="128"/>
        <v>48611.32421875</v>
      </c>
      <c r="F1050" s="5">
        <v>0.426915852585807</v>
      </c>
      <c r="G1050">
        <f t="shared" si="129"/>
        <v>972.22648437500004</v>
      </c>
      <c r="H1050">
        <f t="shared" si="130"/>
        <v>4.2691585258580703E-2</v>
      </c>
      <c r="I1050">
        <f t="shared" si="131"/>
        <v>4.3805432634669107E-2</v>
      </c>
      <c r="J1050">
        <f t="shared" si="132"/>
        <v>4575.3955747013606</v>
      </c>
      <c r="K1050" s="5">
        <f t="shared" si="133"/>
        <v>1013.7323742233456</v>
      </c>
      <c r="L1050" s="5">
        <f t="shared" si="134"/>
        <v>4.1805432634669105E-2</v>
      </c>
    </row>
    <row r="1051" spans="2:12">
      <c r="B1051">
        <v>10.189453125</v>
      </c>
      <c r="C1051">
        <v>1.70028512366116</v>
      </c>
      <c r="D1051">
        <v>48.620445312500003</v>
      </c>
      <c r="E1051" s="5">
        <f t="shared" si="128"/>
        <v>48620.4453125</v>
      </c>
      <c r="F1051" s="5">
        <v>0.427622901042923</v>
      </c>
      <c r="G1051">
        <f t="shared" si="129"/>
        <v>972.40890624999997</v>
      </c>
      <c r="H1051">
        <f t="shared" si="130"/>
        <v>4.2762290104292298E-2</v>
      </c>
      <c r="I1051">
        <f t="shared" si="131"/>
        <v>4.3873240267888879E-2</v>
      </c>
      <c r="J1051">
        <f t="shared" si="132"/>
        <v>4582.8167811190979</v>
      </c>
      <c r="K1051" s="5">
        <f t="shared" si="133"/>
        <v>1013.9913379990601</v>
      </c>
      <c r="L1051" s="5">
        <f t="shared" si="134"/>
        <v>4.1873240267888877E-2</v>
      </c>
    </row>
    <row r="1052" spans="2:12">
      <c r="B1052">
        <v>10.19921875</v>
      </c>
      <c r="C1052">
        <v>1.70134450308979</v>
      </c>
      <c r="D1052">
        <v>48.61805859375</v>
      </c>
      <c r="E1052" s="5">
        <f t="shared" si="128"/>
        <v>48618.05859375</v>
      </c>
      <c r="F1052" s="5">
        <v>0.428404688136652</v>
      </c>
      <c r="G1052">
        <f t="shared" si="129"/>
        <v>972.36117187499997</v>
      </c>
      <c r="H1052">
        <f t="shared" si="130"/>
        <v>4.2840468813665197E-2</v>
      </c>
      <c r="I1052">
        <f t="shared" si="131"/>
        <v>4.3948210162395591E-2</v>
      </c>
      <c r="J1052">
        <f t="shared" si="132"/>
        <v>4591.0218612233857</v>
      </c>
      <c r="K1052" s="5">
        <f t="shared" si="133"/>
        <v>1014.0175803343299</v>
      </c>
      <c r="L1052" s="5">
        <f t="shared" si="134"/>
        <v>4.194821016239559E-2</v>
      </c>
    </row>
    <row r="1053" spans="2:12">
      <c r="B1053">
        <v>10.208984375</v>
      </c>
      <c r="C1053">
        <v>1.70400738716125</v>
      </c>
      <c r="D1053">
        <v>48.621871093750002</v>
      </c>
      <c r="E1053" s="5">
        <f t="shared" si="128"/>
        <v>48621.87109375</v>
      </c>
      <c r="F1053" s="5">
        <v>0.42919407133012999</v>
      </c>
      <c r="G1053">
        <f t="shared" si="129"/>
        <v>972.43742187500004</v>
      </c>
      <c r="H1053">
        <f t="shared" si="130"/>
        <v>4.2919407133012996E-2</v>
      </c>
      <c r="I1053">
        <f t="shared" si="131"/>
        <v>4.4023902786743986E-2</v>
      </c>
      <c r="J1053">
        <f t="shared" si="132"/>
        <v>4599.3060404951957</v>
      </c>
      <c r="K1053" s="5">
        <f t="shared" si="133"/>
        <v>1014.1738594958307</v>
      </c>
      <c r="L1053" s="5">
        <f t="shared" si="134"/>
        <v>4.2023902786743984E-2</v>
      </c>
    </row>
    <row r="1054" spans="2:12">
      <c r="B1054">
        <v>10.21875</v>
      </c>
      <c r="C1054">
        <v>1.7060876125469799</v>
      </c>
      <c r="D1054">
        <v>48.638015625000001</v>
      </c>
      <c r="E1054" s="5">
        <f t="shared" si="128"/>
        <v>48638.015625</v>
      </c>
      <c r="F1054" s="5">
        <v>0.42992789531126602</v>
      </c>
      <c r="G1054">
        <f t="shared" si="129"/>
        <v>972.76031250000005</v>
      </c>
      <c r="H1054">
        <f t="shared" si="130"/>
        <v>4.2992789531126605E-2</v>
      </c>
      <c r="I1054">
        <f t="shared" si="131"/>
        <v>4.4094262793518225E-2</v>
      </c>
      <c r="J1054">
        <f t="shared" si="132"/>
        <v>4607.0065914366023</v>
      </c>
      <c r="K1054" s="5">
        <f t="shared" si="133"/>
        <v>1014.5819918795455</v>
      </c>
      <c r="L1054" s="5">
        <f t="shared" si="134"/>
        <v>4.2094262793518224E-2</v>
      </c>
    </row>
    <row r="1055" spans="2:12">
      <c r="B1055">
        <v>10.228515625</v>
      </c>
      <c r="C1055">
        <v>1.7070889007300101</v>
      </c>
      <c r="D1055">
        <v>48.644382812499998</v>
      </c>
      <c r="E1055" s="5">
        <f t="shared" si="128"/>
        <v>48644.3828125</v>
      </c>
      <c r="F1055" s="5">
        <v>0.43076716247014701</v>
      </c>
      <c r="G1055">
        <f t="shared" si="129"/>
        <v>972.88765624999996</v>
      </c>
      <c r="H1055">
        <f t="shared" si="130"/>
        <v>4.3076716247014701E-2</v>
      </c>
      <c r="I1055">
        <f t="shared" si="131"/>
        <v>4.4174726762432878E-2</v>
      </c>
      <c r="J1055">
        <f t="shared" si="132"/>
        <v>4615.8129705144665</v>
      </c>
      <c r="K1055" s="5">
        <f t="shared" si="133"/>
        <v>1014.7964617585044</v>
      </c>
      <c r="L1055" s="5">
        <f t="shared" si="134"/>
        <v>4.2174726762432876E-2</v>
      </c>
    </row>
    <row r="1056" spans="2:12">
      <c r="B1056">
        <v>10.23828125</v>
      </c>
      <c r="C1056">
        <v>1.7084135906770801</v>
      </c>
      <c r="D1056">
        <v>48.639375000000001</v>
      </c>
      <c r="E1056" s="5">
        <f t="shared" si="128"/>
        <v>48639.375</v>
      </c>
      <c r="F1056" s="5">
        <v>0.43145605013705801</v>
      </c>
      <c r="G1056">
        <f t="shared" si="129"/>
        <v>972.78750000000002</v>
      </c>
      <c r="H1056">
        <f t="shared" si="130"/>
        <v>4.3145605013705804E-2</v>
      </c>
      <c r="I1056">
        <f t="shared" si="131"/>
        <v>4.4240768397606732E-2</v>
      </c>
      <c r="J1056">
        <f t="shared" si="132"/>
        <v>4623.0408972760688</v>
      </c>
      <c r="K1056" s="5">
        <f t="shared" si="133"/>
        <v>1014.7590052372703</v>
      </c>
      <c r="L1056" s="5">
        <f t="shared" si="134"/>
        <v>4.224076839760673E-2</v>
      </c>
    </row>
    <row r="1057" spans="2:12">
      <c r="B1057">
        <v>10.248046875</v>
      </c>
      <c r="C1057">
        <v>1.7114029033109499</v>
      </c>
      <c r="D1057">
        <v>48.647562499999999</v>
      </c>
      <c r="E1057" s="5">
        <f t="shared" si="128"/>
        <v>48647.5625</v>
      </c>
      <c r="F1057" s="5">
        <v>0.43227302376180898</v>
      </c>
      <c r="G1057">
        <f t="shared" si="129"/>
        <v>972.95124999999996</v>
      </c>
      <c r="H1057">
        <f t="shared" si="130"/>
        <v>4.3227302376180901E-2</v>
      </c>
      <c r="I1057">
        <f t="shared" si="131"/>
        <v>4.4319083604085381E-2</v>
      </c>
      <c r="J1057">
        <f t="shared" si="132"/>
        <v>4631.6121050491247</v>
      </c>
      <c r="K1057" s="5">
        <f t="shared" si="133"/>
        <v>1015.0093078810331</v>
      </c>
      <c r="L1057" s="5">
        <f t="shared" si="134"/>
        <v>4.2319083604085379E-2</v>
      </c>
    </row>
    <row r="1058" spans="2:12">
      <c r="B1058">
        <v>10.2578125</v>
      </c>
      <c r="C1058">
        <v>1.7119274707511101</v>
      </c>
      <c r="D1058">
        <v>48.632894531250003</v>
      </c>
      <c r="E1058" s="5">
        <f t="shared" si="128"/>
        <v>48632.89453125</v>
      </c>
      <c r="F1058" s="5">
        <v>0.43309634202159902</v>
      </c>
      <c r="G1058">
        <f t="shared" si="129"/>
        <v>972.65789062500005</v>
      </c>
      <c r="H1058">
        <f t="shared" si="130"/>
        <v>4.33096342021599E-2</v>
      </c>
      <c r="I1058">
        <f t="shared" si="131"/>
        <v>4.4398000803755756E-2</v>
      </c>
      <c r="J1058">
        <f t="shared" si="132"/>
        <v>4640.2491979670485</v>
      </c>
      <c r="K1058" s="5">
        <f t="shared" si="133"/>
        <v>1014.7833480718133</v>
      </c>
      <c r="L1058" s="5">
        <f t="shared" si="134"/>
        <v>4.2398000803755755E-2</v>
      </c>
    </row>
    <row r="1059" spans="2:12">
      <c r="B1059">
        <v>10.267578125</v>
      </c>
      <c r="C1059">
        <v>1.7142667202279001</v>
      </c>
      <c r="D1059">
        <v>48.635644531250001</v>
      </c>
      <c r="E1059" s="5">
        <f t="shared" si="128"/>
        <v>48635.64453125</v>
      </c>
      <c r="F1059" s="5">
        <v>0.43377588735893402</v>
      </c>
      <c r="G1059">
        <f t="shared" si="129"/>
        <v>972.712890625</v>
      </c>
      <c r="H1059">
        <f t="shared" si="130"/>
        <v>4.3377588735893403E-2</v>
      </c>
      <c r="I1059">
        <f t="shared" si="131"/>
        <v>4.4463132303110768E-2</v>
      </c>
      <c r="J1059">
        <f t="shared" si="132"/>
        <v>4647.3775149139574</v>
      </c>
      <c r="K1059" s="5">
        <f t="shared" si="133"/>
        <v>1014.9068303526333</v>
      </c>
      <c r="L1059" s="5">
        <f t="shared" si="134"/>
        <v>4.2463132303110766E-2</v>
      </c>
    </row>
    <row r="1060" spans="2:12">
      <c r="B1060">
        <v>10.27734375</v>
      </c>
      <c r="C1060">
        <v>1.7152905929833699</v>
      </c>
      <c r="D1060">
        <v>48.637027343749999</v>
      </c>
      <c r="E1060" s="5">
        <f t="shared" si="128"/>
        <v>48637.02734375</v>
      </c>
      <c r="F1060" s="5">
        <v>0.43460915912873999</v>
      </c>
      <c r="G1060">
        <f t="shared" si="129"/>
        <v>972.74054687499995</v>
      </c>
      <c r="H1060">
        <f t="shared" si="130"/>
        <v>4.3460915912874001E-2</v>
      </c>
      <c r="I1060">
        <f t="shared" si="131"/>
        <v>4.4542992030482426E-2</v>
      </c>
      <c r="J1060">
        <f t="shared" si="132"/>
        <v>4656.117762776149</v>
      </c>
      <c r="K1060" s="5">
        <f t="shared" si="133"/>
        <v>1015.0167419877774</v>
      </c>
      <c r="L1060" s="5">
        <f t="shared" si="134"/>
        <v>4.2542992030482424E-2</v>
      </c>
    </row>
    <row r="1061" spans="2:12">
      <c r="B1061">
        <v>10.287109375</v>
      </c>
      <c r="C1061">
        <v>1.7158462433144499</v>
      </c>
      <c r="D1061">
        <v>48.636261718749999</v>
      </c>
      <c r="E1061" s="5">
        <f t="shared" si="128"/>
        <v>48636.26171875</v>
      </c>
      <c r="F1061" s="5">
        <v>0.43532889685593501</v>
      </c>
      <c r="G1061">
        <f t="shared" si="129"/>
        <v>972.72523437500001</v>
      </c>
      <c r="H1061">
        <f t="shared" si="130"/>
        <v>4.3532889685593504E-2</v>
      </c>
      <c r="I1061">
        <f t="shared" si="131"/>
        <v>4.4611965663806069E-2</v>
      </c>
      <c r="J1061">
        <f t="shared" si="132"/>
        <v>4663.6665820752551</v>
      </c>
      <c r="K1061" s="5">
        <f t="shared" si="133"/>
        <v>1015.07077469744</v>
      </c>
      <c r="L1061" s="5">
        <f t="shared" si="134"/>
        <v>4.2611965663806067E-2</v>
      </c>
    </row>
    <row r="1062" spans="2:12">
      <c r="B1062">
        <v>10.296875</v>
      </c>
      <c r="C1062">
        <v>1.7182379961013801</v>
      </c>
      <c r="D1062">
        <v>48.647027343749997</v>
      </c>
      <c r="E1062" s="5">
        <f t="shared" si="128"/>
        <v>48647.02734375</v>
      </c>
      <c r="F1062" s="5">
        <v>0.436112226452678</v>
      </c>
      <c r="G1062">
        <f t="shared" si="129"/>
        <v>972.940546875</v>
      </c>
      <c r="H1062">
        <f t="shared" si="130"/>
        <v>4.3611222645267803E-2</v>
      </c>
      <c r="I1062">
        <f t="shared" si="131"/>
        <v>4.4687028003055469E-2</v>
      </c>
      <c r="J1062">
        <f t="shared" si="132"/>
        <v>4671.8817797944057</v>
      </c>
      <c r="K1062" s="5">
        <f t="shared" si="133"/>
        <v>1015.3716736853743</v>
      </c>
      <c r="L1062" s="5">
        <f t="shared" si="134"/>
        <v>4.2687028003055467E-2</v>
      </c>
    </row>
    <row r="1063" spans="2:12">
      <c r="B1063">
        <v>10.306640625</v>
      </c>
      <c r="C1063">
        <v>1.72167713753879</v>
      </c>
      <c r="D1063">
        <v>48.642968750000001</v>
      </c>
      <c r="E1063" s="5">
        <f t="shared" si="128"/>
        <v>48642.96875</v>
      </c>
      <c r="F1063" s="5">
        <v>0.43686205754056601</v>
      </c>
      <c r="G1063">
        <f t="shared" si="129"/>
        <v>972.859375</v>
      </c>
      <c r="H1063">
        <f t="shared" si="130"/>
        <v>4.3686205754056601E-2</v>
      </c>
      <c r="I1063">
        <f t="shared" si="131"/>
        <v>4.4758875079376051E-2</v>
      </c>
      <c r="J1063">
        <f t="shared" si="132"/>
        <v>4679.745083062312</v>
      </c>
      <c r="K1063" s="5">
        <f t="shared" si="133"/>
        <v>1015.3599098260129</v>
      </c>
      <c r="L1063" s="5">
        <f t="shared" si="134"/>
        <v>4.2758875079376049E-2</v>
      </c>
    </row>
    <row r="1064" spans="2:12">
      <c r="B1064">
        <v>10.31640625</v>
      </c>
      <c r="C1064">
        <v>1.7205148469656699</v>
      </c>
      <c r="D1064">
        <v>48.611839843749998</v>
      </c>
      <c r="E1064" s="5">
        <f t="shared" si="128"/>
        <v>48611.83984375</v>
      </c>
      <c r="F1064" s="5">
        <v>0.43763345456682101</v>
      </c>
      <c r="G1064">
        <f t="shared" si="129"/>
        <v>972.23679687499998</v>
      </c>
      <c r="H1064">
        <f t="shared" si="130"/>
        <v>4.3763345456682104E-2</v>
      </c>
      <c r="I1064">
        <f t="shared" si="131"/>
        <v>4.4832783167469435E-2</v>
      </c>
      <c r="J1064">
        <f t="shared" si="132"/>
        <v>4687.8339537636921</v>
      </c>
      <c r="K1064" s="5">
        <f t="shared" si="133"/>
        <v>1014.7851316823387</v>
      </c>
      <c r="L1064" s="5">
        <f t="shared" si="134"/>
        <v>4.2832783167469433E-2</v>
      </c>
    </row>
    <row r="1065" spans="2:12">
      <c r="B1065">
        <v>10.326171875</v>
      </c>
      <c r="C1065">
        <v>1.72412255778909</v>
      </c>
      <c r="D1065">
        <v>48.620503906250001</v>
      </c>
      <c r="E1065" s="5">
        <f t="shared" si="128"/>
        <v>48620.50390625</v>
      </c>
      <c r="F1065" s="5">
        <v>0.43830164941027799</v>
      </c>
      <c r="G1065">
        <f t="shared" si="129"/>
        <v>972.41007812500004</v>
      </c>
      <c r="H1065">
        <f t="shared" si="130"/>
        <v>4.3830164941027802E-2</v>
      </c>
      <c r="I1065">
        <f t="shared" si="131"/>
        <v>4.4896798967514438E-2</v>
      </c>
      <c r="J1065">
        <f t="shared" si="132"/>
        <v>4694.8401629996179</v>
      </c>
      <c r="K1065" s="5">
        <f t="shared" si="133"/>
        <v>1015.0309722395365</v>
      </c>
      <c r="L1065" s="5">
        <f t="shared" si="134"/>
        <v>4.2896798967514436E-2</v>
      </c>
    </row>
    <row r="1066" spans="2:12">
      <c r="B1066">
        <v>10.3359375</v>
      </c>
      <c r="C1066">
        <v>1.7238765722140701</v>
      </c>
      <c r="D1066">
        <v>48.587199218750001</v>
      </c>
      <c r="E1066" s="5">
        <f t="shared" si="128"/>
        <v>48587.19921875</v>
      </c>
      <c r="F1066" s="5">
        <v>0.43902170727960799</v>
      </c>
      <c r="G1066">
        <f t="shared" si="129"/>
        <v>971.74398437499997</v>
      </c>
      <c r="H1066">
        <f t="shared" si="130"/>
        <v>4.39021707279608E-2</v>
      </c>
      <c r="I1066">
        <f t="shared" si="131"/>
        <v>4.4965778870475495E-2</v>
      </c>
      <c r="J1066">
        <f t="shared" si="132"/>
        <v>4702.3896684791907</v>
      </c>
      <c r="K1066" s="5">
        <f t="shared" si="133"/>
        <v>1014.4056546809001</v>
      </c>
      <c r="L1066" s="5">
        <f t="shared" si="134"/>
        <v>4.2965778870475493E-2</v>
      </c>
    </row>
    <row r="1067" spans="2:12">
      <c r="B1067">
        <v>10.345703125</v>
      </c>
      <c r="C1067">
        <v>1.7257392173632999</v>
      </c>
      <c r="D1067">
        <v>48.594757812499999</v>
      </c>
      <c r="E1067" s="5">
        <f t="shared" si="128"/>
        <v>48594.7578125</v>
      </c>
      <c r="F1067" s="5">
        <v>0.43964231736026699</v>
      </c>
      <c r="G1067">
        <f t="shared" si="129"/>
        <v>971.89515625000001</v>
      </c>
      <c r="H1067">
        <f t="shared" si="130"/>
        <v>4.3964231736026697E-2</v>
      </c>
      <c r="I1067">
        <f t="shared" si="131"/>
        <v>4.502522808428628E-2</v>
      </c>
      <c r="J1067">
        <f t="shared" si="132"/>
        <v>4708.8960876847113</v>
      </c>
      <c r="K1067" s="5">
        <f t="shared" si="133"/>
        <v>1014.6237801224969</v>
      </c>
      <c r="L1067" s="5">
        <f t="shared" si="134"/>
        <v>4.3025228084286278E-2</v>
      </c>
    </row>
    <row r="1068" spans="2:12">
      <c r="B1068">
        <v>10.35546875</v>
      </c>
      <c r="C1068">
        <v>1.72831874806434</v>
      </c>
      <c r="D1068">
        <v>48.609367187499998</v>
      </c>
      <c r="E1068" s="5">
        <f t="shared" si="128"/>
        <v>48609.3671875</v>
      </c>
      <c r="F1068" s="5">
        <v>0.44045670074410698</v>
      </c>
      <c r="G1068">
        <f t="shared" si="129"/>
        <v>972.18734374999997</v>
      </c>
      <c r="H1068">
        <f t="shared" si="130"/>
        <v>4.4045670074410695E-2</v>
      </c>
      <c r="I1068">
        <f t="shared" si="131"/>
        <v>4.5103233785652654E-2</v>
      </c>
      <c r="J1068">
        <f t="shared" si="132"/>
        <v>4717.4334216707548</v>
      </c>
      <c r="K1068" s="5">
        <f t="shared" si="133"/>
        <v>1015.0079867433302</v>
      </c>
      <c r="L1068" s="5">
        <f t="shared" si="134"/>
        <v>4.3103233785652652E-2</v>
      </c>
    </row>
    <row r="1069" spans="2:12">
      <c r="B1069">
        <v>10.365234375</v>
      </c>
      <c r="C1069">
        <v>1.72994274180382</v>
      </c>
      <c r="D1069">
        <v>48.612105468750002</v>
      </c>
      <c r="E1069" s="5">
        <f t="shared" si="128"/>
        <v>48612.10546875</v>
      </c>
      <c r="F1069" s="5">
        <v>0.44113732292316898</v>
      </c>
      <c r="G1069">
        <f t="shared" si="129"/>
        <v>972.24210937500004</v>
      </c>
      <c r="H1069">
        <f t="shared" si="130"/>
        <v>4.4113732292316896E-2</v>
      </c>
      <c r="I1069">
        <f t="shared" si="131"/>
        <v>4.5168422504342498E-2</v>
      </c>
      <c r="J1069">
        <f t="shared" si="132"/>
        <v>4724.5680009877642</v>
      </c>
      <c r="K1069" s="5">
        <f t="shared" si="133"/>
        <v>1015.1313375112862</v>
      </c>
      <c r="L1069" s="5">
        <f t="shared" si="134"/>
        <v>4.3168422504342496E-2</v>
      </c>
    </row>
    <row r="1070" spans="2:12">
      <c r="B1070">
        <v>10.375</v>
      </c>
      <c r="C1070">
        <v>1.73120957333595</v>
      </c>
      <c r="D1070">
        <v>48.621855468749999</v>
      </c>
      <c r="E1070" s="5">
        <f t="shared" si="128"/>
        <v>48621.85546875</v>
      </c>
      <c r="F1070" s="5">
        <v>0.44193409848958298</v>
      </c>
      <c r="G1070">
        <f t="shared" si="129"/>
        <v>972.43710937499998</v>
      </c>
      <c r="H1070">
        <f t="shared" si="130"/>
        <v>4.4193409848958295E-2</v>
      </c>
      <c r="I1070">
        <f t="shared" si="131"/>
        <v>4.524473077822827E-2</v>
      </c>
      <c r="J1070">
        <f t="shared" si="132"/>
        <v>4732.9195600231933</v>
      </c>
      <c r="K1070" s="5">
        <f t="shared" si="133"/>
        <v>1015.4124211019456</v>
      </c>
      <c r="L1070" s="5">
        <f t="shared" si="134"/>
        <v>4.3244730778228269E-2</v>
      </c>
    </row>
    <row r="1071" spans="2:12">
      <c r="B1071">
        <v>10.384765625</v>
      </c>
      <c r="C1071">
        <v>1.7328500980511301</v>
      </c>
      <c r="D1071">
        <v>48.616605468750002</v>
      </c>
      <c r="E1071" s="5">
        <f t="shared" si="128"/>
        <v>48616.60546875</v>
      </c>
      <c r="F1071" s="5">
        <v>0.44268212513998201</v>
      </c>
      <c r="G1071">
        <f t="shared" si="129"/>
        <v>972.33210937499996</v>
      </c>
      <c r="H1071">
        <f t="shared" si="130"/>
        <v>4.4268212513998199E-2</v>
      </c>
      <c r="I1071">
        <f t="shared" si="131"/>
        <v>4.5316365003411928E-2</v>
      </c>
      <c r="J1071">
        <f t="shared" si="132"/>
        <v>4740.7595677984182</v>
      </c>
      <c r="K1071" s="5">
        <f t="shared" si="133"/>
        <v>1015.3755138269966</v>
      </c>
      <c r="L1071" s="5">
        <f t="shared" si="134"/>
        <v>4.3316365003411926E-2</v>
      </c>
    </row>
    <row r="1072" spans="2:12">
      <c r="B1072">
        <v>10.39453125</v>
      </c>
      <c r="C1072">
        <v>1.73337606247514</v>
      </c>
      <c r="D1072">
        <v>48.610363281250002</v>
      </c>
      <c r="E1072" s="5">
        <f t="shared" si="128"/>
        <v>48610.36328125</v>
      </c>
      <c r="F1072" s="5">
        <v>0.44335122220218198</v>
      </c>
      <c r="G1072">
        <f t="shared" si="129"/>
        <v>972.20726562499999</v>
      </c>
      <c r="H1072">
        <f t="shared" si="130"/>
        <v>4.4335122220218195E-2</v>
      </c>
      <c r="I1072">
        <f t="shared" si="131"/>
        <v>4.5380436246744912E-2</v>
      </c>
      <c r="J1072">
        <f t="shared" si="132"/>
        <v>4747.7718450249968</v>
      </c>
      <c r="K1072" s="5">
        <f t="shared" si="133"/>
        <v>1015.3101935698685</v>
      </c>
      <c r="L1072" s="5">
        <f t="shared" si="134"/>
        <v>4.3380436246744911E-2</v>
      </c>
    </row>
    <row r="1073" spans="2:12">
      <c r="B1073">
        <v>10.404296875</v>
      </c>
      <c r="C1073">
        <v>1.7361297504976401</v>
      </c>
      <c r="D1073">
        <v>48.632398437500001</v>
      </c>
      <c r="E1073" s="5">
        <f t="shared" si="128"/>
        <v>48632.3984375</v>
      </c>
      <c r="F1073" s="5">
        <v>0.44419601908884898</v>
      </c>
      <c r="G1073">
        <f t="shared" si="129"/>
        <v>972.64796875000002</v>
      </c>
      <c r="H1073">
        <f t="shared" si="130"/>
        <v>4.4419601908884901E-2</v>
      </c>
      <c r="I1073">
        <f t="shared" si="131"/>
        <v>4.5461326250474811E-2</v>
      </c>
      <c r="J1073">
        <f t="shared" si="132"/>
        <v>4756.624851483215</v>
      </c>
      <c r="K1073" s="5">
        <f t="shared" si="133"/>
        <v>1015.8526043193606</v>
      </c>
      <c r="L1073" s="5">
        <f t="shared" si="134"/>
        <v>4.3461326250474809E-2</v>
      </c>
    </row>
    <row r="1074" spans="2:12">
      <c r="B1074">
        <v>10.4140625</v>
      </c>
      <c r="C1074">
        <v>1.73735478892922</v>
      </c>
      <c r="D1074">
        <v>48.65258984375</v>
      </c>
      <c r="E1074" s="5">
        <f t="shared" si="128"/>
        <v>48652.58984375</v>
      </c>
      <c r="F1074" s="5">
        <v>0.44490786967799101</v>
      </c>
      <c r="G1074">
        <f t="shared" si="129"/>
        <v>973.05179687500004</v>
      </c>
      <c r="H1074">
        <f t="shared" si="130"/>
        <v>4.4490786967799102E-2</v>
      </c>
      <c r="I1074">
        <f t="shared" si="131"/>
        <v>4.5529481456481481E-2</v>
      </c>
      <c r="J1074">
        <f t="shared" si="132"/>
        <v>4764.084098004616</v>
      </c>
      <c r="K1074" s="5">
        <f t="shared" si="133"/>
        <v>1016.3436370783998</v>
      </c>
      <c r="L1074" s="5">
        <f t="shared" si="134"/>
        <v>4.3529481456481479E-2</v>
      </c>
    </row>
    <row r="1075" spans="2:12">
      <c r="B1075">
        <v>10.423828125</v>
      </c>
      <c r="C1075">
        <v>1.7396404873579701</v>
      </c>
      <c r="D1075">
        <v>48.6701640625</v>
      </c>
      <c r="E1075" s="5">
        <f t="shared" si="128"/>
        <v>48670.1640625</v>
      </c>
      <c r="F1075" s="5">
        <v>0.44575019273906902</v>
      </c>
      <c r="G1075">
        <f t="shared" si="129"/>
        <v>973.40328124999996</v>
      </c>
      <c r="H1075">
        <f t="shared" si="130"/>
        <v>4.4575019273906905E-2</v>
      </c>
      <c r="I1075">
        <f t="shared" si="131"/>
        <v>4.5610122579323904E-2</v>
      </c>
      <c r="J1075">
        <f t="shared" si="132"/>
        <v>4772.9098656941042</v>
      </c>
      <c r="K1075" s="5">
        <f t="shared" si="133"/>
        <v>1016.792751273003</v>
      </c>
      <c r="L1075" s="5">
        <f t="shared" si="134"/>
        <v>4.3610122579323903E-2</v>
      </c>
    </row>
    <row r="1076" spans="2:12">
      <c r="B1076">
        <v>10.43359375</v>
      </c>
      <c r="C1076">
        <v>1.7403215169906601</v>
      </c>
      <c r="D1076">
        <v>48.654718750000001</v>
      </c>
      <c r="E1076" s="5">
        <f t="shared" si="128"/>
        <v>48654.71875</v>
      </c>
      <c r="F1076" s="5">
        <v>0.44646501191891702</v>
      </c>
      <c r="G1076">
        <f t="shared" si="129"/>
        <v>973.09437500000001</v>
      </c>
      <c r="H1076">
        <f t="shared" si="130"/>
        <v>4.4646501191891702E-2</v>
      </c>
      <c r="I1076">
        <f t="shared" si="131"/>
        <v>4.5678551817020768E-2</v>
      </c>
      <c r="J1076">
        <f t="shared" si="132"/>
        <v>4780.3991036138377</v>
      </c>
      <c r="K1076" s="5">
        <f t="shared" si="133"/>
        <v>1016.5396341732607</v>
      </c>
      <c r="L1076" s="5">
        <f t="shared" si="134"/>
        <v>4.3678551817020767E-2</v>
      </c>
    </row>
    <row r="1077" spans="2:12">
      <c r="B1077">
        <v>10.443359375</v>
      </c>
      <c r="C1077">
        <v>1.7441675299778601</v>
      </c>
      <c r="D1077">
        <v>48.641593749999998</v>
      </c>
      <c r="E1077" s="5">
        <f t="shared" si="128"/>
        <v>48641.59375</v>
      </c>
      <c r="F1077" s="5">
        <v>0.44725326006300697</v>
      </c>
      <c r="G1077">
        <f t="shared" si="129"/>
        <v>972.83187499999997</v>
      </c>
      <c r="H1077">
        <f t="shared" si="130"/>
        <v>4.4725326006300699E-2</v>
      </c>
      <c r="I1077">
        <f t="shared" si="131"/>
        <v>4.5754004939744373E-2</v>
      </c>
      <c r="J1077">
        <f t="shared" si="132"/>
        <v>4788.6570706303228</v>
      </c>
      <c r="K1077" s="5">
        <f t="shared" si="133"/>
        <v>1016.3420977586958</v>
      </c>
      <c r="L1077" s="5">
        <f t="shared" si="134"/>
        <v>4.3754004939744372E-2</v>
      </c>
    </row>
    <row r="1078" spans="2:12">
      <c r="B1078">
        <v>10.453125</v>
      </c>
      <c r="C1078">
        <v>1.7450080486014501</v>
      </c>
      <c r="D1078">
        <v>48.641031249999997</v>
      </c>
      <c r="E1078" s="5">
        <f t="shared" si="128"/>
        <v>48641.03125</v>
      </c>
      <c r="F1078" s="5">
        <v>0.44796525617130101</v>
      </c>
      <c r="G1078">
        <f t="shared" si="129"/>
        <v>972.82062499999995</v>
      </c>
      <c r="H1078">
        <f t="shared" si="130"/>
        <v>4.4796525617130101E-2</v>
      </c>
      <c r="I1078">
        <f t="shared" si="131"/>
        <v>4.5822154129762739E-2</v>
      </c>
      <c r="J1078">
        <f t="shared" si="132"/>
        <v>4796.1156587318828</v>
      </c>
      <c r="K1078" s="5">
        <f t="shared" si="133"/>
        <v>1016.399609048685</v>
      </c>
      <c r="L1078" s="5">
        <f t="shared" si="134"/>
        <v>4.3822154129762737E-2</v>
      </c>
    </row>
    <row r="1079" spans="2:12">
      <c r="B1079">
        <v>10.462890625</v>
      </c>
      <c r="C1079">
        <v>1.74580363091081</v>
      </c>
      <c r="D1079">
        <v>48.637847656250003</v>
      </c>
      <c r="E1079" s="5">
        <f t="shared" si="128"/>
        <v>48637.84765625</v>
      </c>
      <c r="F1079" s="5">
        <v>0.44870653073303401</v>
      </c>
      <c r="G1079">
        <f t="shared" si="129"/>
        <v>972.756953125</v>
      </c>
      <c r="H1079">
        <f t="shared" si="130"/>
        <v>4.4870653073303401E-2</v>
      </c>
      <c r="I1079">
        <f t="shared" si="131"/>
        <v>4.5893100792427796E-2</v>
      </c>
      <c r="J1079">
        <f t="shared" si="132"/>
        <v>4803.88041622726</v>
      </c>
      <c r="K1079" s="5">
        <f t="shared" si="133"/>
        <v>1016.4051928933155</v>
      </c>
      <c r="L1079" s="5">
        <f t="shared" si="134"/>
        <v>4.3893100792427794E-2</v>
      </c>
    </row>
    <row r="1080" spans="2:12">
      <c r="B1080">
        <v>10.47265625</v>
      </c>
      <c r="C1080">
        <v>1.7461180686950699</v>
      </c>
      <c r="D1080">
        <v>48.639890625</v>
      </c>
      <c r="E1080" s="5">
        <f t="shared" si="128"/>
        <v>48639.890625</v>
      </c>
      <c r="F1080" s="5">
        <v>0.44949544826522497</v>
      </c>
      <c r="G1080">
        <f t="shared" si="129"/>
        <v>972.79781249999996</v>
      </c>
      <c r="H1080">
        <f t="shared" si="130"/>
        <v>4.4949544826522497E-2</v>
      </c>
      <c r="I1080">
        <f t="shared" si="131"/>
        <v>4.5968601788480785E-2</v>
      </c>
      <c r="J1080">
        <f t="shared" si="132"/>
        <v>4812.1436227402792</v>
      </c>
      <c r="K1080" s="5">
        <f t="shared" si="133"/>
        <v>1016.5246313801117</v>
      </c>
      <c r="L1080" s="5">
        <f t="shared" si="134"/>
        <v>4.3968601788480784E-2</v>
      </c>
    </row>
    <row r="1081" spans="2:12">
      <c r="B1081">
        <v>10.482421875</v>
      </c>
      <c r="C1081">
        <v>1.7484277486801101</v>
      </c>
      <c r="D1081">
        <v>48.633742187499998</v>
      </c>
      <c r="E1081" s="5">
        <f t="shared" si="128"/>
        <v>48633.7421875</v>
      </c>
      <c r="F1081" s="5">
        <v>0.450195715529844</v>
      </c>
      <c r="G1081">
        <f t="shared" si="129"/>
        <v>972.67484375000004</v>
      </c>
      <c r="H1081">
        <f t="shared" si="130"/>
        <v>4.5019571552984403E-2</v>
      </c>
      <c r="I1081">
        <f t="shared" si="131"/>
        <v>4.6035614000230075E-2</v>
      </c>
      <c r="J1081">
        <f t="shared" si="132"/>
        <v>4819.4777742551805</v>
      </c>
      <c r="K1081" s="5">
        <f t="shared" si="133"/>
        <v>1016.4642484759911</v>
      </c>
      <c r="L1081" s="5">
        <f t="shared" si="134"/>
        <v>4.4035614000230074E-2</v>
      </c>
    </row>
    <row r="1082" spans="2:12">
      <c r="B1082">
        <v>10.4921875</v>
      </c>
      <c r="C1082">
        <v>1.750648021698</v>
      </c>
      <c r="D1082">
        <v>48.629402343750002</v>
      </c>
      <c r="E1082" s="5">
        <f t="shared" si="128"/>
        <v>48629.40234375</v>
      </c>
      <c r="F1082" s="5">
        <v>0.45095905079506299</v>
      </c>
      <c r="G1082">
        <f t="shared" si="129"/>
        <v>972.58804687500003</v>
      </c>
      <c r="H1082">
        <f t="shared" si="130"/>
        <v>4.5095905079506296E-2</v>
      </c>
      <c r="I1082">
        <f t="shared" si="131"/>
        <v>4.6108656401388545E-2</v>
      </c>
      <c r="J1082">
        <f t="shared" si="132"/>
        <v>4827.4718998499693</v>
      </c>
      <c r="K1082" s="5">
        <f t="shared" si="133"/>
        <v>1016.4477851183375</v>
      </c>
      <c r="L1082" s="5">
        <f t="shared" si="134"/>
        <v>4.4108656401388543E-2</v>
      </c>
    </row>
    <row r="1083" spans="2:12">
      <c r="B1083">
        <v>10.501953125</v>
      </c>
      <c r="C1083">
        <v>1.7523990245536001</v>
      </c>
      <c r="D1083">
        <v>48.629046875</v>
      </c>
      <c r="E1083" s="5">
        <f t="shared" si="128"/>
        <v>48629.046875</v>
      </c>
      <c r="F1083" s="5">
        <v>0.45168391079641901</v>
      </c>
      <c r="G1083">
        <f t="shared" si="129"/>
        <v>972.5809375</v>
      </c>
      <c r="H1083">
        <f t="shared" si="130"/>
        <v>4.5168391079641899E-2</v>
      </c>
      <c r="I1083">
        <f t="shared" si="131"/>
        <v>4.6178012224284047E-2</v>
      </c>
      <c r="J1083">
        <f t="shared" si="132"/>
        <v>4835.0625478867678</v>
      </c>
      <c r="K1083" s="5">
        <f t="shared" si="133"/>
        <v>1016.5108536416047</v>
      </c>
      <c r="L1083" s="5">
        <f t="shared" si="134"/>
        <v>4.4178012224284045E-2</v>
      </c>
    </row>
    <row r="1084" spans="2:12">
      <c r="B1084">
        <v>10.51171875</v>
      </c>
      <c r="C1084">
        <v>1.75339286215603</v>
      </c>
      <c r="D1084">
        <v>48.633640624999998</v>
      </c>
      <c r="E1084" s="5">
        <f t="shared" si="128"/>
        <v>48633.640625</v>
      </c>
      <c r="F1084" s="5">
        <v>0.45241042971611001</v>
      </c>
      <c r="G1084">
        <f t="shared" si="129"/>
        <v>972.67281249999996</v>
      </c>
      <c r="H1084">
        <f t="shared" si="130"/>
        <v>4.5241042971611002E-2</v>
      </c>
      <c r="I1084">
        <f t="shared" si="131"/>
        <v>4.6247521948852781E-2</v>
      </c>
      <c r="J1084">
        <f t="shared" si="132"/>
        <v>4842.6700396921924</v>
      </c>
      <c r="K1084" s="5">
        <f t="shared" si="133"/>
        <v>1016.6775450076302</v>
      </c>
      <c r="L1084" s="5">
        <f t="shared" si="134"/>
        <v>4.4247521948852779E-2</v>
      </c>
    </row>
    <row r="1085" spans="2:12">
      <c r="B1085">
        <v>10.521484375</v>
      </c>
      <c r="C1085">
        <v>1.7552361823618401</v>
      </c>
      <c r="D1085">
        <v>48.651515625000002</v>
      </c>
      <c r="E1085" s="5">
        <f t="shared" si="128"/>
        <v>48651.515625</v>
      </c>
      <c r="F1085" s="5">
        <v>0.45328805572353298</v>
      </c>
      <c r="G1085">
        <f t="shared" si="129"/>
        <v>973.03031250000004</v>
      </c>
      <c r="H1085">
        <f t="shared" si="130"/>
        <v>4.5328805572353296E-2</v>
      </c>
      <c r="I1085">
        <f t="shared" si="131"/>
        <v>4.6331482406672411E-2</v>
      </c>
      <c r="J1085">
        <f t="shared" si="132"/>
        <v>4851.8590919982616</v>
      </c>
      <c r="K1085" s="5">
        <f t="shared" si="133"/>
        <v>1017.1366143513187</v>
      </c>
      <c r="L1085" s="5">
        <f t="shared" si="134"/>
        <v>4.4331482406672409E-2</v>
      </c>
    </row>
    <row r="1086" spans="2:12">
      <c r="B1086">
        <v>10.53125</v>
      </c>
      <c r="C1086">
        <v>1.75851886160672</v>
      </c>
      <c r="D1086">
        <v>48.663828125000002</v>
      </c>
      <c r="E1086" s="5">
        <f t="shared" si="128"/>
        <v>48663.828125</v>
      </c>
      <c r="F1086" s="5">
        <v>0.45403069816529801</v>
      </c>
      <c r="G1086">
        <f t="shared" si="129"/>
        <v>973.27656249999995</v>
      </c>
      <c r="H1086">
        <f t="shared" si="130"/>
        <v>4.5403069816529799E-2</v>
      </c>
      <c r="I1086">
        <f t="shared" si="131"/>
        <v>4.6402523791827424E-2</v>
      </c>
      <c r="J1086">
        <f t="shared" si="132"/>
        <v>4859.6342163965519</v>
      </c>
      <c r="K1086" s="5">
        <f t="shared" si="133"/>
        <v>1017.4663062179795</v>
      </c>
      <c r="L1086" s="5">
        <f t="shared" si="134"/>
        <v>4.4402523791827422E-2</v>
      </c>
    </row>
    <row r="1087" spans="2:12">
      <c r="B1087">
        <v>10.541015625</v>
      </c>
      <c r="C1087">
        <v>1.7576307291165001</v>
      </c>
      <c r="D1087">
        <v>48.660257812499999</v>
      </c>
      <c r="E1087" s="5">
        <f t="shared" si="128"/>
        <v>48660.2578125</v>
      </c>
      <c r="F1087" s="5">
        <v>0.45476306695491098</v>
      </c>
      <c r="G1087">
        <f t="shared" si="129"/>
        <v>973.20515624999996</v>
      </c>
      <c r="H1087">
        <f t="shared" si="130"/>
        <v>4.5476306695491096E-2</v>
      </c>
      <c r="I1087">
        <f t="shared" si="131"/>
        <v>4.6472577454237593E-2</v>
      </c>
      <c r="J1087">
        <f t="shared" si="132"/>
        <v>4867.301239479033</v>
      </c>
      <c r="K1087" s="5">
        <f t="shared" si="133"/>
        <v>1017.4629324132583</v>
      </c>
      <c r="L1087" s="5">
        <f t="shared" si="134"/>
        <v>4.4472577454237591E-2</v>
      </c>
    </row>
    <row r="1088" spans="2:12">
      <c r="B1088">
        <v>10.55078125</v>
      </c>
      <c r="C1088">
        <v>1.76062132231891</v>
      </c>
      <c r="D1088">
        <v>48.653691406249997</v>
      </c>
      <c r="E1088" s="5">
        <f t="shared" si="128"/>
        <v>48653.69140625</v>
      </c>
      <c r="F1088" s="5">
        <v>0.45553760719485598</v>
      </c>
      <c r="G1088">
        <f t="shared" si="129"/>
        <v>973.07382812499998</v>
      </c>
      <c r="H1088">
        <f t="shared" si="130"/>
        <v>4.5553760719485595E-2</v>
      </c>
      <c r="I1088">
        <f t="shared" si="131"/>
        <v>4.6546659625734704E-2</v>
      </c>
      <c r="J1088">
        <f t="shared" si="132"/>
        <v>4875.4091627385342</v>
      </c>
      <c r="K1088" s="5">
        <f t="shared" si="133"/>
        <v>1017.4010004538001</v>
      </c>
      <c r="L1088" s="5">
        <f t="shared" si="134"/>
        <v>4.4546659625734703E-2</v>
      </c>
    </row>
    <row r="1089" spans="2:12">
      <c r="B1089">
        <v>10.560546875</v>
      </c>
      <c r="C1089">
        <v>1.7627372872084399</v>
      </c>
      <c r="D1089">
        <v>48.670148437500004</v>
      </c>
      <c r="E1089" s="5">
        <f t="shared" si="128"/>
        <v>48670.1484375</v>
      </c>
      <c r="F1089" s="5">
        <v>0.456284848041832</v>
      </c>
      <c r="G1089">
        <f t="shared" si="129"/>
        <v>973.40296875000001</v>
      </c>
      <c r="H1089">
        <f t="shared" si="130"/>
        <v>4.5628484804183203E-2</v>
      </c>
      <c r="I1089">
        <f t="shared" si="131"/>
        <v>4.6618125500972905E-2</v>
      </c>
      <c r="J1089">
        <f t="shared" si="132"/>
        <v>4883.2307454539796</v>
      </c>
      <c r="K1089" s="5">
        <f t="shared" si="133"/>
        <v>1017.8178713179562</v>
      </c>
      <c r="L1089" s="5">
        <f t="shared" si="134"/>
        <v>4.4618125500972904E-2</v>
      </c>
    </row>
    <row r="1090" spans="2:12">
      <c r="B1090">
        <v>10.5703125</v>
      </c>
      <c r="C1090">
        <v>1.76134705543518</v>
      </c>
      <c r="D1090">
        <v>48.666140624999997</v>
      </c>
      <c r="E1090" s="5">
        <f t="shared" si="128"/>
        <v>48666.140625</v>
      </c>
      <c r="F1090" s="5">
        <v>0.45712606515735399</v>
      </c>
      <c r="G1090">
        <f t="shared" si="129"/>
        <v>973.32281250000005</v>
      </c>
      <c r="H1090">
        <f t="shared" si="130"/>
        <v>4.5712606515735402E-2</v>
      </c>
      <c r="I1090">
        <f t="shared" si="131"/>
        <v>4.6698573125654175E-2</v>
      </c>
      <c r="J1090">
        <f t="shared" si="132"/>
        <v>4892.0353357372205</v>
      </c>
      <c r="K1090" s="5">
        <f t="shared" si="133"/>
        <v>1017.8159352406014</v>
      </c>
      <c r="L1090" s="5">
        <f t="shared" si="134"/>
        <v>4.4698573125654173E-2</v>
      </c>
    </row>
    <row r="1091" spans="2:12">
      <c r="B1091">
        <v>10.580078125</v>
      </c>
      <c r="C1091">
        <v>1.76575046498328</v>
      </c>
      <c r="D1091">
        <v>48.671894531249997</v>
      </c>
      <c r="E1091" s="5">
        <f t="shared" si="128"/>
        <v>48671.89453125</v>
      </c>
      <c r="F1091" s="5">
        <v>0.45789167052134899</v>
      </c>
      <c r="G1091">
        <f t="shared" si="129"/>
        <v>973.43789062500002</v>
      </c>
      <c r="H1091">
        <f t="shared" si="130"/>
        <v>4.5789167052134899E-2</v>
      </c>
      <c r="I1091">
        <f t="shared" si="131"/>
        <v>4.677178419092913E-2</v>
      </c>
      <c r="J1091">
        <f t="shared" si="132"/>
        <v>4900.0479207762382</v>
      </c>
      <c r="K1091" s="5">
        <f t="shared" si="133"/>
        <v>1018.0108008137059</v>
      </c>
      <c r="L1091" s="5">
        <f t="shared" si="134"/>
        <v>4.4771784190929129E-2</v>
      </c>
    </row>
    <row r="1092" spans="2:12">
      <c r="B1092">
        <v>10.58984375</v>
      </c>
      <c r="C1092">
        <v>1.7676770221442</v>
      </c>
      <c r="D1092">
        <v>48.696386718749999</v>
      </c>
      <c r="E1092" s="5">
        <f t="shared" si="128"/>
        <v>48696.38671875</v>
      </c>
      <c r="F1092" s="5">
        <v>0.458693335531279</v>
      </c>
      <c r="G1092">
        <f t="shared" si="129"/>
        <v>973.927734375</v>
      </c>
      <c r="H1092">
        <f t="shared" si="130"/>
        <v>4.5869333553127903E-2</v>
      </c>
      <c r="I1092">
        <f t="shared" si="131"/>
        <v>4.684843771827036E-2</v>
      </c>
      <c r="J1092">
        <f t="shared" si="132"/>
        <v>4908.4372660760991</v>
      </c>
      <c r="K1092" s="5">
        <f t="shared" si="133"/>
        <v>1018.6011504796891</v>
      </c>
      <c r="L1092" s="5">
        <f t="shared" si="134"/>
        <v>4.4848437718270358E-2</v>
      </c>
    </row>
    <row r="1093" spans="2:12">
      <c r="B1093">
        <v>10.599609375</v>
      </c>
      <c r="C1093">
        <v>1.76777539309114</v>
      </c>
      <c r="D1093">
        <v>48.686636718750002</v>
      </c>
      <c r="E1093" s="5">
        <f t="shared" si="128"/>
        <v>48686.63671875</v>
      </c>
      <c r="F1093" s="5">
        <v>0.45952436630614102</v>
      </c>
      <c r="G1093">
        <f t="shared" si="129"/>
        <v>973.73273437499995</v>
      </c>
      <c r="H1093">
        <f t="shared" si="130"/>
        <v>4.5952436630614102E-2</v>
      </c>
      <c r="I1093">
        <f t="shared" si="131"/>
        <v>4.6927892936410261E-2</v>
      </c>
      <c r="J1093">
        <f t="shared" si="132"/>
        <v>4917.1332424254206</v>
      </c>
      <c r="K1093" s="5">
        <f t="shared" si="133"/>
        <v>1018.4781261465217</v>
      </c>
      <c r="L1093" s="5">
        <f t="shared" si="134"/>
        <v>4.4927892936410259E-2</v>
      </c>
    </row>
    <row r="1094" spans="2:12">
      <c r="B1094">
        <v>10.609375</v>
      </c>
      <c r="C1094">
        <v>1.76982278935611</v>
      </c>
      <c r="D1094">
        <v>48.694968750000001</v>
      </c>
      <c r="E1094" s="5">
        <f t="shared" si="128"/>
        <v>48694.96875</v>
      </c>
      <c r="F1094" s="5">
        <v>0.46027626376599101</v>
      </c>
      <c r="G1094">
        <f t="shared" si="129"/>
        <v>973.89937499999996</v>
      </c>
      <c r="H1094">
        <f t="shared" si="130"/>
        <v>4.6027626376599101E-2</v>
      </c>
      <c r="I1094">
        <f t="shared" si="131"/>
        <v>4.6999776743858468E-2</v>
      </c>
      <c r="J1094">
        <f t="shared" si="132"/>
        <v>4925.0005657315896</v>
      </c>
      <c r="K1094" s="5">
        <f t="shared" si="133"/>
        <v>1018.7256515609033</v>
      </c>
      <c r="L1094" s="5">
        <f t="shared" si="134"/>
        <v>4.4999776743858466E-2</v>
      </c>
    </row>
    <row r="1095" spans="2:12">
      <c r="B1095">
        <v>10.619140625</v>
      </c>
      <c r="C1095">
        <v>1.77291035652161</v>
      </c>
      <c r="D1095">
        <v>48.699628906249998</v>
      </c>
      <c r="E1095" s="5">
        <f t="shared" si="128"/>
        <v>48699.62890625</v>
      </c>
      <c r="F1095" s="5">
        <v>0.46107074012979898</v>
      </c>
      <c r="G1095">
        <f t="shared" si="129"/>
        <v>973.99257812500002</v>
      </c>
      <c r="H1095">
        <f t="shared" si="130"/>
        <v>4.61070740129799E-2</v>
      </c>
      <c r="I1095">
        <f t="shared" si="131"/>
        <v>4.7075725616944113E-2</v>
      </c>
      <c r="J1095">
        <f t="shared" si="132"/>
        <v>4933.3127901464486</v>
      </c>
      <c r="K1095" s="5">
        <f t="shared" si="133"/>
        <v>1018.9005260127025</v>
      </c>
      <c r="L1095" s="5">
        <f t="shared" si="134"/>
        <v>4.5075725616944111E-2</v>
      </c>
    </row>
    <row r="1096" spans="2:12">
      <c r="B1096">
        <v>10.62890625</v>
      </c>
      <c r="C1096">
        <v>1.7730921972542999</v>
      </c>
      <c r="D1096">
        <v>48.679222656249998</v>
      </c>
      <c r="E1096" s="5">
        <f t="shared" si="128"/>
        <v>48679.22265625</v>
      </c>
      <c r="F1096" s="5">
        <v>0.46187857515178599</v>
      </c>
      <c r="G1096">
        <f t="shared" si="129"/>
        <v>973.58445312499998</v>
      </c>
      <c r="H1096">
        <f t="shared" si="130"/>
        <v>4.61878575151786E-2</v>
      </c>
      <c r="I1096">
        <f t="shared" si="131"/>
        <v>4.715294561210024E-2</v>
      </c>
      <c r="J1096">
        <f t="shared" si="132"/>
        <v>4941.7641325163104</v>
      </c>
      <c r="K1096" s="5">
        <f t="shared" si="133"/>
        <v>1018.5522331249306</v>
      </c>
      <c r="L1096" s="5">
        <f t="shared" si="134"/>
        <v>4.5152945612100238E-2</v>
      </c>
    </row>
    <row r="1097" spans="2:12">
      <c r="B1097">
        <v>10.638671875</v>
      </c>
      <c r="C1097">
        <v>1.77640176843852</v>
      </c>
      <c r="D1097">
        <v>48.689816406250003</v>
      </c>
      <c r="E1097" s="5">
        <f t="shared" ref="E1097:E1160" si="135" xml:space="preserve"> D1097*R$3</f>
        <v>48689.81640625</v>
      </c>
      <c r="F1097" s="5">
        <v>0.46261391253210599</v>
      </c>
      <c r="G1097">
        <f t="shared" ref="G1097:G1160" si="136" xml:space="preserve"> E1097/C$3</f>
        <v>973.79632812499995</v>
      </c>
      <c r="H1097">
        <f t="shared" ref="H1097:H1160" si="137" xml:space="preserve"> F1097/C$4</f>
        <v>4.6261391253210597E-2</v>
      </c>
      <c r="I1097">
        <f t="shared" ref="I1097:I1160" si="138">L1097+0.002</f>
        <v>4.7223230459491915E-2</v>
      </c>
      <c r="J1097">
        <f t="shared" ref="J1097:J1160" si="139">L1097*G$2</f>
        <v>4949.4564576390922</v>
      </c>
      <c r="K1097" s="5">
        <f t="shared" ref="K1097:K1160" si="140" xml:space="preserve"> G1097 * (1 + H1097)</f>
        <v>1018.8455010613304</v>
      </c>
      <c r="L1097" s="5">
        <f t="shared" ref="L1097:L1160" si="141">LN(1 + H1097)</f>
        <v>4.5223230459491913E-2</v>
      </c>
    </row>
    <row r="1098" spans="2:12">
      <c r="B1098">
        <v>10.6484375</v>
      </c>
      <c r="C1098">
        <v>1.77815253846347</v>
      </c>
      <c r="D1098">
        <v>48.675484375000003</v>
      </c>
      <c r="E1098" s="5">
        <f t="shared" si="135"/>
        <v>48675.484375</v>
      </c>
      <c r="F1098" s="5">
        <v>0.463437027065083</v>
      </c>
      <c r="G1098">
        <f t="shared" si="136"/>
        <v>973.50968750000004</v>
      </c>
      <c r="H1098">
        <f t="shared" si="137"/>
        <v>4.6343702706508297E-2</v>
      </c>
      <c r="I1098">
        <f t="shared" si="138"/>
        <v>4.7301899343150641E-2</v>
      </c>
      <c r="J1098">
        <f t="shared" si="139"/>
        <v>4958.0663736111219</v>
      </c>
      <c r="K1098" s="5">
        <f t="shared" si="140"/>
        <v>1018.6257310394059</v>
      </c>
      <c r="L1098" s="5">
        <f t="shared" si="141"/>
        <v>4.5301899343150639E-2</v>
      </c>
    </row>
    <row r="1099" spans="2:12">
      <c r="B1099">
        <v>10.658203125</v>
      </c>
      <c r="C1099">
        <v>1.7788276309147499</v>
      </c>
      <c r="D1099">
        <v>48.672863281250002</v>
      </c>
      <c r="E1099" s="5">
        <f t="shared" si="135"/>
        <v>48672.86328125</v>
      </c>
      <c r="F1099" s="5">
        <v>0.46413516975008001</v>
      </c>
      <c r="G1099">
        <f t="shared" si="136"/>
        <v>973.45726562499999</v>
      </c>
      <c r="H1099">
        <f t="shared" si="137"/>
        <v>4.6413516975008E-2</v>
      </c>
      <c r="I1099">
        <f t="shared" si="138"/>
        <v>4.736861923580607E-2</v>
      </c>
      <c r="J1099">
        <f t="shared" si="139"/>
        <v>4965.3685322627953</v>
      </c>
      <c r="K1099" s="5">
        <f t="shared" si="140"/>
        <v>1018.6388409475308</v>
      </c>
      <c r="L1099" s="5">
        <f t="shared" si="141"/>
        <v>4.5368619235806068E-2</v>
      </c>
    </row>
    <row r="1100" spans="2:12">
      <c r="B1100">
        <v>10.66796875</v>
      </c>
      <c r="C1100">
        <v>1.7800583736971001</v>
      </c>
      <c r="D1100">
        <v>48.69708984375</v>
      </c>
      <c r="E1100" s="5">
        <f t="shared" si="135"/>
        <v>48697.08984375</v>
      </c>
      <c r="F1100" s="5">
        <v>0.46492501860484498</v>
      </c>
      <c r="G1100">
        <f t="shared" si="136"/>
        <v>973.94179687500002</v>
      </c>
      <c r="H1100">
        <f t="shared" si="137"/>
        <v>4.6492501860484495E-2</v>
      </c>
      <c r="I1100">
        <f t="shared" si="138"/>
        <v>4.7444097909767717E-2</v>
      </c>
      <c r="J1100">
        <f t="shared" si="139"/>
        <v>4973.6292957345277</v>
      </c>
      <c r="K1100" s="5">
        <f t="shared" si="140"/>
        <v>1019.2227876782146</v>
      </c>
      <c r="L1100" s="5">
        <f t="shared" si="141"/>
        <v>4.5444097909767715E-2</v>
      </c>
    </row>
    <row r="1101" spans="2:12">
      <c r="B1101">
        <v>10.677734375</v>
      </c>
      <c r="C1101">
        <v>1.7824977403506601</v>
      </c>
      <c r="D1101">
        <v>48.693507812500002</v>
      </c>
      <c r="E1101" s="5">
        <f t="shared" si="135"/>
        <v>48693.5078125</v>
      </c>
      <c r="F1101" s="5">
        <v>0.46576955355703797</v>
      </c>
      <c r="G1101">
        <f t="shared" si="136"/>
        <v>973.87015625000004</v>
      </c>
      <c r="H1101">
        <f t="shared" si="137"/>
        <v>4.6576955355703796E-2</v>
      </c>
      <c r="I1101">
        <f t="shared" si="138"/>
        <v>4.7524796135021558E-2</v>
      </c>
      <c r="J1101">
        <f t="shared" si="139"/>
        <v>4982.4613129974341</v>
      </c>
      <c r="K1101" s="5">
        <f t="shared" si="140"/>
        <v>1019.2300630399086</v>
      </c>
      <c r="L1101" s="5">
        <f t="shared" si="141"/>
        <v>4.5524796135021556E-2</v>
      </c>
    </row>
    <row r="1102" spans="2:12">
      <c r="B1102">
        <v>10.6875</v>
      </c>
      <c r="C1102">
        <v>1.7844333779066801</v>
      </c>
      <c r="D1102">
        <v>48.694140625000003</v>
      </c>
      <c r="E1102" s="5">
        <f t="shared" si="135"/>
        <v>48694.140625</v>
      </c>
      <c r="F1102" s="5">
        <v>0.46658416977152201</v>
      </c>
      <c r="G1102">
        <f t="shared" si="136"/>
        <v>973.8828125</v>
      </c>
      <c r="H1102">
        <f t="shared" si="137"/>
        <v>4.6658416977152201E-2</v>
      </c>
      <c r="I1102">
        <f t="shared" si="138"/>
        <v>4.760262935202738E-2</v>
      </c>
      <c r="J1102">
        <f t="shared" si="139"/>
        <v>4990.9797694326362</v>
      </c>
      <c r="K1102" s="5">
        <f t="shared" si="140"/>
        <v>1019.3226428525068</v>
      </c>
      <c r="L1102" s="5">
        <f t="shared" si="141"/>
        <v>4.5602629352027378E-2</v>
      </c>
    </row>
    <row r="1103" spans="2:12">
      <c r="B1103">
        <v>10.697265625</v>
      </c>
      <c r="C1103">
        <v>1.78491475526243</v>
      </c>
      <c r="D1103">
        <v>48.678382812499997</v>
      </c>
      <c r="E1103" s="5">
        <f t="shared" si="135"/>
        <v>48678.3828125</v>
      </c>
      <c r="F1103" s="5">
        <v>0.46733210911042999</v>
      </c>
      <c r="G1103">
        <f t="shared" si="136"/>
        <v>973.56765625000003</v>
      </c>
      <c r="H1103">
        <f t="shared" si="137"/>
        <v>4.6733210911043002E-2</v>
      </c>
      <c r="I1103">
        <f t="shared" si="138"/>
        <v>4.7674086534645457E-2</v>
      </c>
      <c r="J1103">
        <f t="shared" si="139"/>
        <v>4998.8004007842719</v>
      </c>
      <c r="K1103" s="5">
        <f t="shared" si="140"/>
        <v>1019.0655988657011</v>
      </c>
      <c r="L1103" s="5">
        <f t="shared" si="141"/>
        <v>4.5674086534645456E-2</v>
      </c>
    </row>
    <row r="1104" spans="2:12">
      <c r="B1104">
        <v>10.70703125</v>
      </c>
      <c r="C1104">
        <v>1.7869174480438199</v>
      </c>
      <c r="D1104">
        <v>48.678332031250001</v>
      </c>
      <c r="E1104" s="5">
        <f t="shared" si="135"/>
        <v>48678.33203125</v>
      </c>
      <c r="F1104" s="5">
        <v>0.46815251698717503</v>
      </c>
      <c r="G1104">
        <f t="shared" si="136"/>
        <v>973.56664062499999</v>
      </c>
      <c r="H1104">
        <f t="shared" si="137"/>
        <v>4.6815251698717503E-2</v>
      </c>
      <c r="I1104">
        <f t="shared" si="138"/>
        <v>4.7752461398358155E-2</v>
      </c>
      <c r="J1104">
        <f t="shared" si="139"/>
        <v>5007.3781377433079</v>
      </c>
      <c r="K1104" s="5">
        <f t="shared" si="140"/>
        <v>1019.1444079513342</v>
      </c>
      <c r="L1104" s="5">
        <f t="shared" si="141"/>
        <v>4.5752461398358153E-2</v>
      </c>
    </row>
    <row r="1105" spans="2:12">
      <c r="B1105">
        <v>10.716796875</v>
      </c>
      <c r="C1105">
        <v>1.7877400387078499</v>
      </c>
      <c r="D1105">
        <v>48.69901171875</v>
      </c>
      <c r="E1105" s="5">
        <f t="shared" si="135"/>
        <v>48699.01171875</v>
      </c>
      <c r="F1105" s="5">
        <v>0.46890755766071401</v>
      </c>
      <c r="G1105">
        <f t="shared" si="136"/>
        <v>973.98023437500001</v>
      </c>
      <c r="H1105">
        <f t="shared" si="137"/>
        <v>4.68907557660714E-2</v>
      </c>
      <c r="I1105">
        <f t="shared" si="138"/>
        <v>4.7824586202048297E-2</v>
      </c>
      <c r="J1105">
        <f t="shared" si="139"/>
        <v>5015.2718368831756</v>
      </c>
      <c r="K1105" s="5">
        <f t="shared" si="140"/>
        <v>1019.6509036660591</v>
      </c>
      <c r="L1105" s="5">
        <f t="shared" si="141"/>
        <v>4.5824586202048295E-2</v>
      </c>
    </row>
    <row r="1106" spans="2:12">
      <c r="B1106">
        <v>10.7265625</v>
      </c>
      <c r="C1106">
        <v>1.7922312254086099</v>
      </c>
      <c r="D1106">
        <v>48.693441406250003</v>
      </c>
      <c r="E1106" s="5">
        <f t="shared" si="135"/>
        <v>48693.44140625</v>
      </c>
      <c r="F1106" s="5">
        <v>0.46968777314759802</v>
      </c>
      <c r="G1106">
        <f t="shared" si="136"/>
        <v>973.86882812500005</v>
      </c>
      <c r="H1106">
        <f t="shared" si="137"/>
        <v>4.6968777314759805E-2</v>
      </c>
      <c r="I1106">
        <f t="shared" si="138"/>
        <v>4.7899110349911955E-2</v>
      </c>
      <c r="J1106">
        <f t="shared" si="139"/>
        <v>5023.4281322461138</v>
      </c>
      <c r="K1106" s="5">
        <f t="shared" si="140"/>
        <v>1019.6102562469893</v>
      </c>
      <c r="L1106" s="5">
        <f t="shared" si="141"/>
        <v>4.5899110349911953E-2</v>
      </c>
    </row>
    <row r="1107" spans="2:12">
      <c r="B1107">
        <v>10.736328125</v>
      </c>
      <c r="C1107">
        <v>1.7914563650265301</v>
      </c>
      <c r="D1107">
        <v>48.687484374999997</v>
      </c>
      <c r="E1107" s="5">
        <f t="shared" si="135"/>
        <v>48687.484375</v>
      </c>
      <c r="F1107" s="5">
        <v>0.47051938599906901</v>
      </c>
      <c r="G1107">
        <f t="shared" si="136"/>
        <v>973.74968750000005</v>
      </c>
      <c r="H1107">
        <f t="shared" si="137"/>
        <v>4.7051938599906903E-2</v>
      </c>
      <c r="I1107">
        <f t="shared" si="138"/>
        <v>4.7978537725733753E-2</v>
      </c>
      <c r="J1107">
        <f t="shared" si="139"/>
        <v>5032.1210613929306</v>
      </c>
      <c r="K1107" s="5">
        <f t="shared" si="140"/>
        <v>1019.5664980079285</v>
      </c>
      <c r="L1107" s="5">
        <f t="shared" si="141"/>
        <v>4.5978537725733751E-2</v>
      </c>
    </row>
    <row r="1108" spans="2:12">
      <c r="B1108">
        <v>10.74609375</v>
      </c>
      <c r="C1108">
        <v>1.7927705775946401</v>
      </c>
      <c r="D1108">
        <v>48.675074218749998</v>
      </c>
      <c r="E1108" s="5">
        <f t="shared" si="135"/>
        <v>48675.07421875</v>
      </c>
      <c r="F1108" s="5">
        <v>0.47122087562456699</v>
      </c>
      <c r="G1108">
        <f t="shared" si="136"/>
        <v>973.50148437500002</v>
      </c>
      <c r="H1108">
        <f t="shared" si="137"/>
        <v>4.7122087562456699E-2</v>
      </c>
      <c r="I1108">
        <f t="shared" si="138"/>
        <v>4.8045532122283165E-2</v>
      </c>
      <c r="J1108">
        <f t="shared" si="139"/>
        <v>5039.4532631232805</v>
      </c>
      <c r="K1108" s="5">
        <f t="shared" si="140"/>
        <v>1019.3749065639004</v>
      </c>
      <c r="L1108" s="5">
        <f t="shared" si="141"/>
        <v>4.6045532122283163E-2</v>
      </c>
    </row>
    <row r="1109" spans="2:12">
      <c r="B1109">
        <v>10.755859375</v>
      </c>
      <c r="C1109">
        <v>1.79580587428063</v>
      </c>
      <c r="D1109">
        <v>48.669132812500003</v>
      </c>
      <c r="E1109" s="5">
        <f t="shared" si="135"/>
        <v>48669.1328125</v>
      </c>
      <c r="F1109" s="5">
        <v>0.472024257760495</v>
      </c>
      <c r="G1109">
        <f t="shared" si="136"/>
        <v>973.38265624999997</v>
      </c>
      <c r="H1109">
        <f t="shared" si="137"/>
        <v>4.7202425776049502E-2</v>
      </c>
      <c r="I1109">
        <f t="shared" si="138"/>
        <v>4.8122252050948E-2</v>
      </c>
      <c r="J1109">
        <f t="shared" si="139"/>
        <v>5047.8498757160032</v>
      </c>
      <c r="K1109" s="5">
        <f t="shared" si="140"/>
        <v>1019.3286788333345</v>
      </c>
      <c r="L1109" s="5">
        <f t="shared" si="141"/>
        <v>4.6122252050947998E-2</v>
      </c>
    </row>
    <row r="1110" spans="2:12">
      <c r="B1110">
        <v>10.765625</v>
      </c>
      <c r="C1110">
        <v>1.7973214853555</v>
      </c>
      <c r="D1110">
        <v>48.69604296875</v>
      </c>
      <c r="E1110" s="5">
        <f t="shared" si="135"/>
        <v>48696.04296875</v>
      </c>
      <c r="F1110" s="5">
        <v>0.47284987522289201</v>
      </c>
      <c r="G1110">
        <f t="shared" si="136"/>
        <v>973.92085937499996</v>
      </c>
      <c r="H1110">
        <f t="shared" si="137"/>
        <v>4.7284987522289199E-2</v>
      </c>
      <c r="I1110">
        <f t="shared" si="138"/>
        <v>4.8201089236369336E-2</v>
      </c>
      <c r="J1110">
        <f t="shared" si="139"/>
        <v>5056.4782114744421</v>
      </c>
      <c r="K1110" s="5">
        <f t="shared" si="140"/>
        <v>1019.972695058244</v>
      </c>
      <c r="L1110" s="5">
        <f t="shared" si="141"/>
        <v>4.6201089236369335E-2</v>
      </c>
    </row>
    <row r="1111" spans="2:12">
      <c r="B1111">
        <v>10.775390625</v>
      </c>
      <c r="C1111">
        <v>1.7980128759518299</v>
      </c>
      <c r="D1111">
        <v>48.689683593749997</v>
      </c>
      <c r="E1111" s="5">
        <f t="shared" si="135"/>
        <v>48689.68359375</v>
      </c>
      <c r="F1111" s="5">
        <v>0.47358724987134299</v>
      </c>
      <c r="G1111">
        <f t="shared" si="136"/>
        <v>973.79367187499997</v>
      </c>
      <c r="H1111">
        <f t="shared" si="137"/>
        <v>4.7358724987134296E-2</v>
      </c>
      <c r="I1111">
        <f t="shared" si="138"/>
        <v>4.8271494971182632E-2</v>
      </c>
      <c r="J1111">
        <f t="shared" si="139"/>
        <v>5064.1837671210833</v>
      </c>
      <c r="K1111" s="5">
        <f t="shared" si="140"/>
        <v>1019.9112985755398</v>
      </c>
      <c r="L1111" s="5">
        <f t="shared" si="141"/>
        <v>4.6271494971182631E-2</v>
      </c>
    </row>
    <row r="1112" spans="2:12">
      <c r="B1112">
        <v>10.78515625</v>
      </c>
      <c r="C1112">
        <v>1.80019286926836</v>
      </c>
      <c r="D1112">
        <v>48.69182421875</v>
      </c>
      <c r="E1112" s="5">
        <f t="shared" si="135"/>
        <v>48691.82421875</v>
      </c>
      <c r="F1112" s="5">
        <v>0.47441644710488601</v>
      </c>
      <c r="G1112">
        <f t="shared" si="136"/>
        <v>973.83648437500005</v>
      </c>
      <c r="H1112">
        <f t="shared" si="137"/>
        <v>4.7441644710488604E-2</v>
      </c>
      <c r="I1112">
        <f t="shared" si="138"/>
        <v>4.8350662155413705E-2</v>
      </c>
      <c r="J1112">
        <f t="shared" si="139"/>
        <v>5072.8482195992528</v>
      </c>
      <c r="K1112" s="5">
        <f t="shared" si="140"/>
        <v>1020.0368888728301</v>
      </c>
      <c r="L1112" s="5">
        <f t="shared" si="141"/>
        <v>4.6350662155413704E-2</v>
      </c>
    </row>
    <row r="1113" spans="2:12">
      <c r="B1113">
        <v>10.794921875</v>
      </c>
      <c r="C1113">
        <v>1.8018231494352199</v>
      </c>
      <c r="D1113">
        <v>48.697812499999998</v>
      </c>
      <c r="E1113" s="5">
        <f t="shared" si="135"/>
        <v>48697.8125</v>
      </c>
      <c r="F1113" s="5">
        <v>0.47514907782897398</v>
      </c>
      <c r="G1113">
        <f t="shared" si="136"/>
        <v>973.95624999999995</v>
      </c>
      <c r="H1113">
        <f t="shared" si="137"/>
        <v>4.7514907782897395E-2</v>
      </c>
      <c r="I1113">
        <f t="shared" si="138"/>
        <v>4.8420604486534041E-2</v>
      </c>
      <c r="J1113">
        <f t="shared" si="139"/>
        <v>5080.5030580287175</v>
      </c>
      <c r="K1113" s="5">
        <f t="shared" si="140"/>
        <v>1020.2336914033265</v>
      </c>
      <c r="L1113" s="5">
        <f t="shared" si="141"/>
        <v>4.6420604486534039E-2</v>
      </c>
    </row>
    <row r="1114" spans="2:12">
      <c r="B1114">
        <v>10.8046875</v>
      </c>
      <c r="C1114">
        <v>1.80408218875527</v>
      </c>
      <c r="D1114">
        <v>48.665421875</v>
      </c>
      <c r="E1114" s="5">
        <f t="shared" si="135"/>
        <v>48665.421875</v>
      </c>
      <c r="F1114" s="5">
        <v>0.47595225623808801</v>
      </c>
      <c r="G1114">
        <f t="shared" si="136"/>
        <v>973.30843749999997</v>
      </c>
      <c r="H1114">
        <f t="shared" si="137"/>
        <v>4.7595225623808801E-2</v>
      </c>
      <c r="I1114">
        <f t="shared" si="138"/>
        <v>4.8497276199080432E-2</v>
      </c>
      <c r="J1114">
        <f t="shared" si="139"/>
        <v>5088.8943936083579</v>
      </c>
      <c r="K1114" s="5">
        <f t="shared" si="140"/>
        <v>1019.6332721843693</v>
      </c>
      <c r="L1114" s="5">
        <f t="shared" si="141"/>
        <v>4.649727619908043E-2</v>
      </c>
    </row>
    <row r="1115" spans="2:12">
      <c r="B1115">
        <v>10.814453125</v>
      </c>
      <c r="C1115">
        <v>1.8049806822091301</v>
      </c>
      <c r="D1115">
        <v>48.673996093749999</v>
      </c>
      <c r="E1115" s="5">
        <f t="shared" si="135"/>
        <v>48673.99609375</v>
      </c>
      <c r="F1115" s="5">
        <v>0.476739922305569</v>
      </c>
      <c r="G1115">
        <f t="shared" si="136"/>
        <v>973.47992187499995</v>
      </c>
      <c r="H1115">
        <f t="shared" si="137"/>
        <v>4.7673992230556898E-2</v>
      </c>
      <c r="I1115">
        <f t="shared" si="138"/>
        <v>4.8572461388758224E-2</v>
      </c>
      <c r="J1115">
        <f t="shared" si="139"/>
        <v>5097.1230366926438</v>
      </c>
      <c r="K1115" s="5">
        <f t="shared" si="140"/>
        <v>1019.8895961070718</v>
      </c>
      <c r="L1115" s="5">
        <f t="shared" si="141"/>
        <v>4.6572461388758223E-2</v>
      </c>
    </row>
    <row r="1116" spans="2:12">
      <c r="B1116">
        <v>10.82421875</v>
      </c>
      <c r="C1116">
        <v>1.80720235221088</v>
      </c>
      <c r="D1116">
        <v>48.676406249999999</v>
      </c>
      <c r="E1116" s="5">
        <f t="shared" si="135"/>
        <v>48676.40625</v>
      </c>
      <c r="F1116" s="5">
        <v>0.47749877558089798</v>
      </c>
      <c r="G1116">
        <f t="shared" si="136"/>
        <v>973.52812500000005</v>
      </c>
      <c r="H1116">
        <f t="shared" si="137"/>
        <v>4.77498775580898E-2</v>
      </c>
      <c r="I1116">
        <f t="shared" si="138"/>
        <v>4.8644890961275895E-2</v>
      </c>
      <c r="J1116">
        <f t="shared" si="139"/>
        <v>5105.0500912568405</v>
      </c>
      <c r="K1116" s="5">
        <f t="shared" si="140"/>
        <v>1020.0139737681068</v>
      </c>
      <c r="L1116" s="5">
        <f t="shared" si="141"/>
        <v>4.6644890961275894E-2</v>
      </c>
    </row>
    <row r="1117" spans="2:12">
      <c r="B1117">
        <v>10.833984375</v>
      </c>
      <c r="C1117">
        <v>1.80927221663296</v>
      </c>
      <c r="D1117">
        <v>48.68348828125</v>
      </c>
      <c r="E1117" s="5">
        <f t="shared" si="135"/>
        <v>48683.48828125</v>
      </c>
      <c r="F1117" s="5">
        <v>0.478385452879593</v>
      </c>
      <c r="G1117">
        <f t="shared" si="136"/>
        <v>973.66976562499997</v>
      </c>
      <c r="H1117">
        <f t="shared" si="137"/>
        <v>4.7838545287959298E-2</v>
      </c>
      <c r="I1117">
        <f t="shared" si="138"/>
        <v>4.872951419068082E-2</v>
      </c>
      <c r="J1117">
        <f t="shared" si="139"/>
        <v>5114.3116805990621</v>
      </c>
      <c r="K1117" s="5">
        <f t="shared" si="140"/>
        <v>1020.2487108033682</v>
      </c>
      <c r="L1117" s="5">
        <f t="shared" si="141"/>
        <v>4.6729514190680818E-2</v>
      </c>
    </row>
    <row r="1118" spans="2:12">
      <c r="B1118">
        <v>10.84375</v>
      </c>
      <c r="C1118">
        <v>1.8104448681697201</v>
      </c>
      <c r="D1118">
        <v>48.691921874999998</v>
      </c>
      <c r="E1118" s="5">
        <f t="shared" si="135"/>
        <v>48691.921875</v>
      </c>
      <c r="F1118" s="5">
        <v>0.47910635476000601</v>
      </c>
      <c r="G1118">
        <f t="shared" si="136"/>
        <v>973.83843750000005</v>
      </c>
      <c r="H1118">
        <f t="shared" si="137"/>
        <v>4.79106354760006E-2</v>
      </c>
      <c r="I1118">
        <f t="shared" si="138"/>
        <v>4.8798310770664197E-2</v>
      </c>
      <c r="J1118">
        <f t="shared" si="139"/>
        <v>5121.8411222953428</v>
      </c>
      <c r="K1118" s="5">
        <f t="shared" si="140"/>
        <v>1020.4956558915806</v>
      </c>
      <c r="L1118" s="5">
        <f t="shared" si="141"/>
        <v>4.6798310770664195E-2</v>
      </c>
    </row>
    <row r="1119" spans="2:12">
      <c r="B1119">
        <v>10.853515625</v>
      </c>
      <c r="C1119">
        <v>1.8126160139217999</v>
      </c>
      <c r="D1119">
        <v>48.683761718749999</v>
      </c>
      <c r="E1119" s="5">
        <f t="shared" si="135"/>
        <v>48683.76171875</v>
      </c>
      <c r="F1119" s="5">
        <v>0.47986340359784702</v>
      </c>
      <c r="G1119">
        <f t="shared" si="136"/>
        <v>973.67523437499995</v>
      </c>
      <c r="H1119">
        <f t="shared" si="137"/>
        <v>4.7986340359784704E-2</v>
      </c>
      <c r="I1119">
        <f t="shared" si="138"/>
        <v>4.887055180606794E-2</v>
      </c>
      <c r="J1119">
        <f t="shared" si="139"/>
        <v>5129.7475424151053</v>
      </c>
      <c r="K1119" s="5">
        <f t="shared" si="140"/>
        <v>1020.3983455716118</v>
      </c>
      <c r="L1119" s="5">
        <f t="shared" si="141"/>
        <v>4.6870551806067938E-2</v>
      </c>
    </row>
    <row r="1120" spans="2:12">
      <c r="B1120">
        <v>10.86328125</v>
      </c>
      <c r="C1120">
        <v>1.81296921800822</v>
      </c>
      <c r="D1120">
        <v>48.673574218749998</v>
      </c>
      <c r="E1120" s="5">
        <f t="shared" si="135"/>
        <v>48673.57421875</v>
      </c>
      <c r="F1120" s="5">
        <v>0.48062860150821501</v>
      </c>
      <c r="G1120">
        <f t="shared" si="136"/>
        <v>973.47148437500005</v>
      </c>
      <c r="H1120">
        <f t="shared" si="137"/>
        <v>4.80628601508215E-2</v>
      </c>
      <c r="I1120">
        <f t="shared" si="138"/>
        <v>4.8943565160002762E-2</v>
      </c>
      <c r="J1120">
        <f t="shared" si="139"/>
        <v>5137.7384889365021</v>
      </c>
      <c r="K1120" s="5">
        <f t="shared" si="140"/>
        <v>1020.2593081893283</v>
      </c>
      <c r="L1120" s="5">
        <f t="shared" si="141"/>
        <v>4.6943565160002761E-2</v>
      </c>
    </row>
    <row r="1121" spans="2:12">
      <c r="B1121">
        <v>10.873046875</v>
      </c>
      <c r="C1121">
        <v>1.81487342342734</v>
      </c>
      <c r="D1121">
        <v>48.674441406249997</v>
      </c>
      <c r="E1121" s="5">
        <f t="shared" si="135"/>
        <v>48674.44140625</v>
      </c>
      <c r="F1121" s="5">
        <v>0.48129490460269198</v>
      </c>
      <c r="G1121">
        <f t="shared" si="136"/>
        <v>973.48882812500005</v>
      </c>
      <c r="H1121">
        <f t="shared" si="137"/>
        <v>4.8129490460269195E-2</v>
      </c>
      <c r="I1121">
        <f t="shared" si="138"/>
        <v>4.9007137865485308E-2</v>
      </c>
      <c r="J1121">
        <f t="shared" si="139"/>
        <v>5144.6962036880395</v>
      </c>
      <c r="K1121" s="5">
        <f t="shared" si="140"/>
        <v>1020.3423493914208</v>
      </c>
      <c r="L1121" s="5">
        <f t="shared" si="141"/>
        <v>4.7007137865485306E-2</v>
      </c>
    </row>
    <row r="1122" spans="2:12">
      <c r="B1122">
        <v>10.8828125</v>
      </c>
      <c r="C1122">
        <v>1.8160297768190501</v>
      </c>
      <c r="D1122">
        <v>48.66329296875</v>
      </c>
      <c r="E1122" s="5">
        <f t="shared" si="135"/>
        <v>48663.29296875</v>
      </c>
      <c r="F1122" s="5">
        <v>0.48219127347692797</v>
      </c>
      <c r="G1122">
        <f t="shared" si="136"/>
        <v>973.26585937499999</v>
      </c>
      <c r="H1122">
        <f t="shared" si="137"/>
        <v>4.8219127347692799E-2</v>
      </c>
      <c r="I1122">
        <f t="shared" si="138"/>
        <v>4.9092655023000885E-2</v>
      </c>
      <c r="J1122">
        <f t="shared" si="139"/>
        <v>5154.0556289923315</v>
      </c>
      <c r="K1122" s="5">
        <f t="shared" si="140"/>
        <v>1020.1958897913648</v>
      </c>
      <c r="L1122" s="5">
        <f t="shared" si="141"/>
        <v>4.7092655023000883E-2</v>
      </c>
    </row>
    <row r="1123" spans="2:12">
      <c r="B1123">
        <v>10.892578125</v>
      </c>
      <c r="C1123">
        <v>1.8178269965574101</v>
      </c>
      <c r="D1123">
        <v>48.671726562499998</v>
      </c>
      <c r="E1123" s="5">
        <f t="shared" si="135"/>
        <v>48671.7265625</v>
      </c>
      <c r="F1123" s="5">
        <v>0.48292748397216201</v>
      </c>
      <c r="G1123">
        <f t="shared" si="136"/>
        <v>973.43453124999996</v>
      </c>
      <c r="H1123">
        <f t="shared" si="137"/>
        <v>4.8292748397216201E-2</v>
      </c>
      <c r="I1123">
        <f t="shared" si="138"/>
        <v>4.9162886964355813E-2</v>
      </c>
      <c r="J1123">
        <f t="shared" si="139"/>
        <v>5161.7421638139222</v>
      </c>
      <c r="K1123" s="5">
        <f t="shared" si="140"/>
        <v>1020.4443601488183</v>
      </c>
      <c r="L1123" s="5">
        <f t="shared" si="141"/>
        <v>4.7162886964355812E-2</v>
      </c>
    </row>
    <row r="1124" spans="2:12">
      <c r="B1124">
        <v>10.90234375</v>
      </c>
      <c r="C1124">
        <v>1.81836937554181</v>
      </c>
      <c r="D1124">
        <v>48.672320312499998</v>
      </c>
      <c r="E1124" s="5">
        <f t="shared" si="135"/>
        <v>48672.3203125</v>
      </c>
      <c r="F1124" s="5">
        <v>0.48365077236667298</v>
      </c>
      <c r="G1124">
        <f t="shared" si="136"/>
        <v>973.44640625</v>
      </c>
      <c r="H1124">
        <f t="shared" si="137"/>
        <v>4.8365077236667296E-2</v>
      </c>
      <c r="I1124">
        <f t="shared" si="138"/>
        <v>4.9231881378795285E-2</v>
      </c>
      <c r="J1124">
        <f t="shared" si="139"/>
        <v>5169.2932575022496</v>
      </c>
      <c r="K1124" s="5">
        <f t="shared" si="140"/>
        <v>1020.5272168740374</v>
      </c>
      <c r="L1124" s="5">
        <f t="shared" si="141"/>
        <v>4.7231881378795283E-2</v>
      </c>
    </row>
    <row r="1125" spans="2:12">
      <c r="B1125">
        <v>10.912109375</v>
      </c>
      <c r="C1125">
        <v>1.8211782444268501</v>
      </c>
      <c r="D1125">
        <v>48.694777343749998</v>
      </c>
      <c r="E1125" s="5">
        <f t="shared" si="135"/>
        <v>48694.77734375</v>
      </c>
      <c r="F1125" s="5">
        <v>0.48447956214658899</v>
      </c>
      <c r="G1125">
        <f t="shared" si="136"/>
        <v>973.89554687500004</v>
      </c>
      <c r="H1125">
        <f t="shared" si="137"/>
        <v>4.8447956214658902E-2</v>
      </c>
      <c r="I1125">
        <f t="shared" si="138"/>
        <v>4.93109337088911E-2</v>
      </c>
      <c r="J1125">
        <f t="shared" si="139"/>
        <v>5177.9451397695866</v>
      </c>
      <c r="K1125" s="5">
        <f t="shared" si="140"/>
        <v>1021.0787956876513</v>
      </c>
      <c r="L1125" s="5">
        <f t="shared" si="141"/>
        <v>4.7310933708891098E-2</v>
      </c>
    </row>
    <row r="1126" spans="2:12">
      <c r="B1126">
        <v>10.921875</v>
      </c>
      <c r="C1126">
        <v>1.8231034046039001</v>
      </c>
      <c r="D1126">
        <v>48.695656249999999</v>
      </c>
      <c r="E1126" s="5">
        <f t="shared" si="135"/>
        <v>48695.65625</v>
      </c>
      <c r="F1126" s="5">
        <v>0.485237949760631</v>
      </c>
      <c r="G1126">
        <f t="shared" si="136"/>
        <v>973.91312500000004</v>
      </c>
      <c r="H1126">
        <f t="shared" si="137"/>
        <v>4.85237949760631E-2</v>
      </c>
      <c r="I1126">
        <f t="shared" si="138"/>
        <v>4.9383265404722633E-2</v>
      </c>
      <c r="J1126">
        <f t="shared" si="139"/>
        <v>5185.8614822198688</v>
      </c>
      <c r="K1126" s="5">
        <f t="shared" si="140"/>
        <v>1021.1710858019969</v>
      </c>
      <c r="L1126" s="5">
        <f t="shared" si="141"/>
        <v>4.7383265404722631E-2</v>
      </c>
    </row>
    <row r="1127" spans="2:12">
      <c r="B1127">
        <v>10.931640625</v>
      </c>
      <c r="C1127">
        <v>1.82551145553589</v>
      </c>
      <c r="D1127">
        <v>48.703738281249997</v>
      </c>
      <c r="E1127" s="5">
        <f t="shared" si="135"/>
        <v>48703.73828125</v>
      </c>
      <c r="F1127" s="5">
        <v>0.48608411452733002</v>
      </c>
      <c r="G1127">
        <f t="shared" si="136"/>
        <v>974.07476562500005</v>
      </c>
      <c r="H1127">
        <f t="shared" si="137"/>
        <v>4.8608411452733001E-2</v>
      </c>
      <c r="I1127">
        <f t="shared" si="138"/>
        <v>4.9463962726957668E-2</v>
      </c>
      <c r="J1127">
        <f t="shared" si="139"/>
        <v>5194.6934006518813</v>
      </c>
      <c r="K1127" s="5">
        <f t="shared" si="140"/>
        <v>1021.4229926182245</v>
      </c>
      <c r="L1127" s="5">
        <f t="shared" si="141"/>
        <v>4.7463962726957666E-2</v>
      </c>
    </row>
    <row r="1128" spans="2:12">
      <c r="B1128">
        <v>10.94140625</v>
      </c>
      <c r="C1128">
        <v>1.8267884152010101</v>
      </c>
      <c r="D1128">
        <v>48.692839843750001</v>
      </c>
      <c r="E1128" s="5">
        <f t="shared" si="135"/>
        <v>48692.83984375</v>
      </c>
      <c r="F1128" s="5">
        <v>0.48683726345188899</v>
      </c>
      <c r="G1128">
        <f t="shared" si="136"/>
        <v>973.85679687499999</v>
      </c>
      <c r="H1128">
        <f t="shared" si="137"/>
        <v>4.8683726345188902E-2</v>
      </c>
      <c r="I1128">
        <f t="shared" si="138"/>
        <v>4.9535783806273194E-2</v>
      </c>
      <c r="J1128">
        <f t="shared" si="139"/>
        <v>5202.5538586775692</v>
      </c>
      <c r="K1128" s="5">
        <f t="shared" si="140"/>
        <v>1021.2677746734647</v>
      </c>
      <c r="L1128" s="5">
        <f t="shared" si="141"/>
        <v>4.7535783806273192E-2</v>
      </c>
    </row>
    <row r="1129" spans="2:12">
      <c r="B1129">
        <v>10.951171875</v>
      </c>
      <c r="C1129">
        <v>1.8266678089276001</v>
      </c>
      <c r="D1129">
        <v>48.701812500000003</v>
      </c>
      <c r="E1129" s="5">
        <f t="shared" si="135"/>
        <v>48701.8125</v>
      </c>
      <c r="F1129" s="5">
        <v>0.48765071551315498</v>
      </c>
      <c r="G1129">
        <f t="shared" si="136"/>
        <v>974.03625</v>
      </c>
      <c r="H1129">
        <f t="shared" si="137"/>
        <v>4.87650715513155E-2</v>
      </c>
      <c r="I1129">
        <f t="shared" si="138"/>
        <v>4.9613349662706911E-2</v>
      </c>
      <c r="J1129">
        <f t="shared" si="139"/>
        <v>5211.0430538349574</v>
      </c>
      <c r="K1129" s="5">
        <f t="shared" si="140"/>
        <v>1021.535197424825</v>
      </c>
      <c r="L1129" s="5">
        <f t="shared" si="141"/>
        <v>4.7613349662706909E-2</v>
      </c>
    </row>
    <row r="1130" spans="2:12">
      <c r="B1130">
        <v>10.9609375</v>
      </c>
      <c r="C1130">
        <v>1.8308222061023101</v>
      </c>
      <c r="D1130">
        <v>48.682749999999999</v>
      </c>
      <c r="E1130" s="5">
        <f t="shared" si="135"/>
        <v>48682.75</v>
      </c>
      <c r="F1130" s="5">
        <v>0.48842147225514099</v>
      </c>
      <c r="G1130">
        <f t="shared" si="136"/>
        <v>973.65499999999997</v>
      </c>
      <c r="H1130">
        <f t="shared" si="137"/>
        <v>4.8842147225514096E-2</v>
      </c>
      <c r="I1130">
        <f t="shared" si="138"/>
        <v>4.9686838801706157E-2</v>
      </c>
      <c r="J1130">
        <f t="shared" si="139"/>
        <v>5219.0860726527299</v>
      </c>
      <c r="K1130" s="5">
        <f t="shared" si="140"/>
        <v>1021.2104008568579</v>
      </c>
      <c r="L1130" s="5">
        <f t="shared" si="141"/>
        <v>4.7686838801706155E-2</v>
      </c>
    </row>
    <row r="1131" spans="2:12">
      <c r="B1131">
        <v>10.970703125</v>
      </c>
      <c r="C1131">
        <v>1.8315911293029801</v>
      </c>
      <c r="D1131">
        <v>48.694320312499997</v>
      </c>
      <c r="E1131" s="5">
        <f t="shared" si="135"/>
        <v>48694.3203125</v>
      </c>
      <c r="F1131" s="5">
        <v>0.48920069821178902</v>
      </c>
      <c r="G1131">
        <f t="shared" si="136"/>
        <v>973.88640625000005</v>
      </c>
      <c r="H1131">
        <f t="shared" si="137"/>
        <v>4.8920069821178899E-2</v>
      </c>
      <c r="I1131">
        <f t="shared" si="138"/>
        <v>4.9761129963085161E-2</v>
      </c>
      <c r="J1131">
        <f t="shared" si="139"/>
        <v>5227.2168688098554</v>
      </c>
      <c r="K1131" s="5">
        <f t="shared" si="140"/>
        <v>1021.5289972416471</v>
      </c>
      <c r="L1131" s="5">
        <f t="shared" si="141"/>
        <v>4.776112996308516E-2</v>
      </c>
    </row>
    <row r="1132" spans="2:12">
      <c r="B1132">
        <v>10.98046875</v>
      </c>
      <c r="C1132">
        <v>1.8344892887398601</v>
      </c>
      <c r="D1132">
        <v>48.6944765625</v>
      </c>
      <c r="E1132" s="5">
        <f t="shared" si="135"/>
        <v>48694.4765625</v>
      </c>
      <c r="F1132" s="5">
        <v>0.48993324162438501</v>
      </c>
      <c r="G1132">
        <f t="shared" si="136"/>
        <v>973.88953125</v>
      </c>
      <c r="H1132">
        <f t="shared" si="137"/>
        <v>4.8993324162438498E-2</v>
      </c>
      <c r="I1132">
        <f t="shared" si="138"/>
        <v>4.9830965392421232E-2</v>
      </c>
      <c r="J1132">
        <f t="shared" si="139"/>
        <v>5234.8600073735415</v>
      </c>
      <c r="K1132" s="5">
        <f t="shared" si="140"/>
        <v>1021.6036167529365</v>
      </c>
      <c r="L1132" s="5">
        <f t="shared" si="141"/>
        <v>4.7830965392421231E-2</v>
      </c>
    </row>
    <row r="1133" spans="2:12">
      <c r="B1133">
        <v>10.990234375</v>
      </c>
      <c r="C1133">
        <v>1.83711794670671</v>
      </c>
      <c r="D1133">
        <v>48.695582031249998</v>
      </c>
      <c r="E1133" s="5">
        <f t="shared" si="135"/>
        <v>48695.58203125</v>
      </c>
      <c r="F1133" s="5">
        <v>0.49065885832533201</v>
      </c>
      <c r="G1133">
        <f t="shared" si="136"/>
        <v>973.91164062500002</v>
      </c>
      <c r="H1133">
        <f t="shared" si="137"/>
        <v>4.9065885832533199E-2</v>
      </c>
      <c r="I1133">
        <f t="shared" si="138"/>
        <v>4.9900135671103532E-2</v>
      </c>
      <c r="J1133">
        <f t="shared" si="139"/>
        <v>5242.4303485239261</v>
      </c>
      <c r="K1133" s="5">
        <f t="shared" si="140"/>
        <v>1021.6974779948814</v>
      </c>
      <c r="L1133" s="5">
        <f t="shared" si="141"/>
        <v>4.790013567110353E-2</v>
      </c>
    </row>
    <row r="1134" spans="2:12">
      <c r="B1134" t="s">
        <v>9</v>
      </c>
      <c r="C1134">
        <v>1.8352852202951899</v>
      </c>
      <c r="D1134">
        <v>48.699699218749998</v>
      </c>
      <c r="E1134" s="5">
        <f t="shared" si="135"/>
        <v>48699.69921875</v>
      </c>
      <c r="F1134" s="5">
        <v>0.491499144118279</v>
      </c>
      <c r="G1134">
        <f t="shared" si="136"/>
        <v>973.99398437499997</v>
      </c>
      <c r="H1134">
        <f t="shared" si="137"/>
        <v>4.9149914411827901E-2</v>
      </c>
      <c r="I1134">
        <f t="shared" si="138"/>
        <v>4.9980230939978942E-2</v>
      </c>
      <c r="J1134">
        <f t="shared" si="139"/>
        <v>5251.1963752259953</v>
      </c>
      <c r="K1134" s="5">
        <f t="shared" si="140"/>
        <v>1021.8657053446665</v>
      </c>
      <c r="L1134" s="5">
        <f t="shared" si="141"/>
        <v>4.7980230939978941E-2</v>
      </c>
    </row>
    <row r="1135" spans="2:12">
      <c r="B1135">
        <v>11.009765625</v>
      </c>
      <c r="C1135">
        <v>1.83957081753761</v>
      </c>
      <c r="D1135">
        <v>48.6953125</v>
      </c>
      <c r="E1135" s="5">
        <f t="shared" si="135"/>
        <v>48695.3125</v>
      </c>
      <c r="F1135" s="5">
        <v>0.49229949945583901</v>
      </c>
      <c r="G1135">
        <f t="shared" si="136"/>
        <v>973.90625</v>
      </c>
      <c r="H1135">
        <f t="shared" si="137"/>
        <v>4.9229949945583898E-2</v>
      </c>
      <c r="I1135">
        <f t="shared" si="138"/>
        <v>5.0056514109822779E-2</v>
      </c>
      <c r="J1135">
        <f t="shared" si="139"/>
        <v>5259.545186749554</v>
      </c>
      <c r="K1135" s="5">
        <f t="shared" si="140"/>
        <v>1021.8516059391914</v>
      </c>
      <c r="L1135" s="5">
        <f t="shared" si="141"/>
        <v>4.8056514109822777E-2</v>
      </c>
    </row>
    <row r="1136" spans="2:12">
      <c r="B1136">
        <v>11.01953125</v>
      </c>
      <c r="C1136">
        <v>1.8397003877908</v>
      </c>
      <c r="D1136">
        <v>48.683187500000003</v>
      </c>
      <c r="E1136" s="5">
        <f t="shared" si="135"/>
        <v>48683.1875</v>
      </c>
      <c r="F1136" s="5">
        <v>0.49300986574962702</v>
      </c>
      <c r="G1136">
        <f t="shared" si="136"/>
        <v>973.66375000000005</v>
      </c>
      <c r="H1136">
        <f t="shared" si="137"/>
        <v>4.93009865749627E-2</v>
      </c>
      <c r="I1136">
        <f t="shared" si="138"/>
        <v>5.012421540330355E-2</v>
      </c>
      <c r="J1136">
        <f t="shared" si="139"/>
        <v>5266.9547548145565</v>
      </c>
      <c r="K1136" s="5">
        <f t="shared" si="140"/>
        <v>1021.6663334672779</v>
      </c>
      <c r="L1136" s="5">
        <f t="shared" si="141"/>
        <v>4.8124215403303548E-2</v>
      </c>
    </row>
    <row r="1137" spans="2:12">
      <c r="B1137">
        <v>11.029296875</v>
      </c>
      <c r="C1137">
        <v>1.8408000469207799</v>
      </c>
      <c r="D1137">
        <v>48.697777343749998</v>
      </c>
      <c r="E1137" s="5">
        <f t="shared" si="135"/>
        <v>48697.77734375</v>
      </c>
      <c r="F1137" s="5">
        <v>0.49386714817956101</v>
      </c>
      <c r="G1137">
        <f t="shared" si="136"/>
        <v>973.95554687499998</v>
      </c>
      <c r="H1137">
        <f t="shared" si="137"/>
        <v>4.9386714817956104E-2</v>
      </c>
      <c r="I1137">
        <f t="shared" si="138"/>
        <v>5.0205912401846152E-2</v>
      </c>
      <c r="J1137">
        <f t="shared" si="139"/>
        <v>5275.8960828200516</v>
      </c>
      <c r="K1137" s="5">
        <f t="shared" si="140"/>
        <v>1022.0560117138821</v>
      </c>
      <c r="L1137" s="5">
        <f t="shared" si="141"/>
        <v>4.820591240184615E-2</v>
      </c>
    </row>
    <row r="1138" spans="2:12">
      <c r="B1138">
        <v>11.0390625</v>
      </c>
      <c r="C1138">
        <v>1.8419757252559099</v>
      </c>
      <c r="D1138">
        <v>48.668007812500001</v>
      </c>
      <c r="E1138" s="5">
        <f t="shared" si="135"/>
        <v>48668.0078125</v>
      </c>
      <c r="F1138" s="5">
        <v>0.49448554636910602</v>
      </c>
      <c r="G1138">
        <f t="shared" si="136"/>
        <v>973.36015625000005</v>
      </c>
      <c r="H1138">
        <f t="shared" si="137"/>
        <v>4.9448554636910599E-2</v>
      </c>
      <c r="I1138">
        <f t="shared" si="138"/>
        <v>5.0264840150843267E-2</v>
      </c>
      <c r="J1138">
        <f t="shared" si="139"/>
        <v>5282.3454303090411</v>
      </c>
      <c r="K1138" s="5">
        <f t="shared" si="140"/>
        <v>1021.49140911772</v>
      </c>
      <c r="L1138" s="5">
        <f t="shared" si="141"/>
        <v>4.8264840150843265E-2</v>
      </c>
    </row>
    <row r="1139" spans="2:12">
      <c r="B1139">
        <v>11.048828125</v>
      </c>
      <c r="C1139">
        <v>1.8436282407492399</v>
      </c>
      <c r="D1139">
        <v>48.671273437499998</v>
      </c>
      <c r="E1139" s="5">
        <f t="shared" si="135"/>
        <v>48671.2734375</v>
      </c>
      <c r="F1139" s="5">
        <v>0.49530970863997897</v>
      </c>
      <c r="G1139">
        <f t="shared" si="136"/>
        <v>973.42546875000005</v>
      </c>
      <c r="H1139">
        <f t="shared" si="137"/>
        <v>4.9530970863997895E-2</v>
      </c>
      <c r="I1139">
        <f t="shared" si="138"/>
        <v>5.034336995652116E-2</v>
      </c>
      <c r="J1139">
        <f t="shared" si="139"/>
        <v>5290.9401248914583</v>
      </c>
      <c r="K1139" s="5">
        <f t="shared" si="140"/>
        <v>1021.6401772809298</v>
      </c>
      <c r="L1139" s="5">
        <f t="shared" si="141"/>
        <v>4.8343369956521158E-2</v>
      </c>
    </row>
    <row r="1140" spans="2:12">
      <c r="B1140">
        <v>11.05859375</v>
      </c>
      <c r="C1140">
        <v>1.8447980983182799</v>
      </c>
      <c r="D1140">
        <v>48.676359374999997</v>
      </c>
      <c r="E1140" s="5">
        <f t="shared" si="135"/>
        <v>48676.359375</v>
      </c>
      <c r="F1140" s="5">
        <v>0.49609807319939098</v>
      </c>
      <c r="G1140">
        <f t="shared" si="136"/>
        <v>973.52718749999997</v>
      </c>
      <c r="H1140">
        <f t="shared" si="137"/>
        <v>4.9609807319939095E-2</v>
      </c>
      <c r="I1140">
        <f t="shared" si="138"/>
        <v>5.0418483028305199E-2</v>
      </c>
      <c r="J1140">
        <f t="shared" si="139"/>
        <v>5299.1608750328624</v>
      </c>
      <c r="K1140" s="5">
        <f t="shared" si="140"/>
        <v>1021.8236836925972</v>
      </c>
      <c r="L1140" s="5">
        <f t="shared" si="141"/>
        <v>4.8418483028305197E-2</v>
      </c>
    </row>
    <row r="1141" spans="2:12">
      <c r="B1141">
        <v>11.068359375</v>
      </c>
      <c r="C1141">
        <v>1.8469319911673701</v>
      </c>
      <c r="D1141">
        <v>48.671140625</v>
      </c>
      <c r="E1141" s="5">
        <f t="shared" si="135"/>
        <v>48671.140625</v>
      </c>
      <c r="F1141" s="5">
        <v>0.49684388795867601</v>
      </c>
      <c r="G1141">
        <f t="shared" si="136"/>
        <v>973.42281249999996</v>
      </c>
      <c r="H1141">
        <f t="shared" si="137"/>
        <v>4.9684388795867604E-2</v>
      </c>
      <c r="I1141">
        <f t="shared" si="138"/>
        <v>5.0489536886404549E-2</v>
      </c>
      <c r="J1141">
        <f t="shared" si="139"/>
        <v>5306.9373645325459</v>
      </c>
      <c r="K1141" s="5">
        <f t="shared" si="140"/>
        <v>1021.7867299790169</v>
      </c>
      <c r="L1141" s="5">
        <f t="shared" si="141"/>
        <v>4.8489536886404547E-2</v>
      </c>
    </row>
    <row r="1142" spans="2:12">
      <c r="B1142">
        <v>11.078125</v>
      </c>
      <c r="C1142">
        <v>1.8486724002286801</v>
      </c>
      <c r="D1142">
        <v>48.67860546875</v>
      </c>
      <c r="E1142" s="5">
        <f t="shared" si="135"/>
        <v>48678.60546875</v>
      </c>
      <c r="F1142" s="5">
        <v>0.49763871356844902</v>
      </c>
      <c r="G1142">
        <f t="shared" si="136"/>
        <v>973.57210937499997</v>
      </c>
      <c r="H1142">
        <f t="shared" si="137"/>
        <v>4.9763871356844902E-2</v>
      </c>
      <c r="I1142">
        <f t="shared" si="138"/>
        <v>5.056525445708622E-2</v>
      </c>
      <c r="J1142">
        <f t="shared" si="139"/>
        <v>5315.2242740558013</v>
      </c>
      <c r="K1142" s="5">
        <f t="shared" si="140"/>
        <v>1022.0208265825496</v>
      </c>
      <c r="L1142" s="5">
        <f t="shared" si="141"/>
        <v>4.8565254457086218E-2</v>
      </c>
    </row>
    <row r="1143" spans="2:12">
      <c r="B1143">
        <v>11.087890625</v>
      </c>
      <c r="C1143">
        <v>1.8502741586417</v>
      </c>
      <c r="D1143">
        <v>48.684624999999997</v>
      </c>
      <c r="E1143" s="5">
        <f t="shared" si="135"/>
        <v>48684.625</v>
      </c>
      <c r="F1143" s="5">
        <v>0.49835903337225301</v>
      </c>
      <c r="G1143">
        <f t="shared" si="136"/>
        <v>973.6925</v>
      </c>
      <c r="H1143">
        <f t="shared" si="137"/>
        <v>4.9835903337225304E-2</v>
      </c>
      <c r="I1143">
        <f t="shared" si="138"/>
        <v>5.0633869420068083E-2</v>
      </c>
      <c r="J1143">
        <f t="shared" si="139"/>
        <v>5322.7338386793508</v>
      </c>
      <c r="K1143" s="5">
        <f t="shared" si="140"/>
        <v>1022.2173453101813</v>
      </c>
      <c r="L1143" s="5">
        <f t="shared" si="141"/>
        <v>4.8633869420068081E-2</v>
      </c>
    </row>
    <row r="1144" spans="2:12">
      <c r="B1144">
        <v>11.09765625</v>
      </c>
      <c r="C1144">
        <v>1.8526285421103199</v>
      </c>
      <c r="D1144">
        <v>48.699339843750003</v>
      </c>
      <c r="E1144" s="5">
        <f t="shared" si="135"/>
        <v>48699.33984375</v>
      </c>
      <c r="F1144" s="5">
        <v>0.49914518604055003</v>
      </c>
      <c r="G1144">
        <f t="shared" si="136"/>
        <v>973.98679687499998</v>
      </c>
      <c r="H1144">
        <f t="shared" si="137"/>
        <v>4.9914518604055005E-2</v>
      </c>
      <c r="I1144">
        <f t="shared" si="138"/>
        <v>5.0708750002107714E-2</v>
      </c>
      <c r="J1144">
        <f t="shared" si="139"/>
        <v>5330.9291439806784</v>
      </c>
      <c r="K1144" s="5">
        <f t="shared" si="140"/>
        <v>1022.6028789677212</v>
      </c>
      <c r="L1144" s="5">
        <f t="shared" si="141"/>
        <v>4.8708750002107712E-2</v>
      </c>
    </row>
    <row r="1145" spans="2:12">
      <c r="B1145">
        <v>11.107421875</v>
      </c>
      <c r="C1145">
        <v>1.8538922304287599</v>
      </c>
      <c r="D1145">
        <v>48.703632812499997</v>
      </c>
      <c r="E1145" s="5">
        <f t="shared" si="135"/>
        <v>48703.6328125</v>
      </c>
      <c r="F1145" s="5">
        <v>0.50003302749246403</v>
      </c>
      <c r="G1145">
        <f t="shared" si="136"/>
        <v>974.07265625000002</v>
      </c>
      <c r="H1145">
        <f t="shared" si="137"/>
        <v>5.0003302749246401E-2</v>
      </c>
      <c r="I1145">
        <f t="shared" si="138"/>
        <v>5.0793309639957727E-2</v>
      </c>
      <c r="J1145">
        <f t="shared" si="139"/>
        <v>5340.1837735451736</v>
      </c>
      <c r="K1145" s="5">
        <f t="shared" si="140"/>
        <v>1022.7795061802314</v>
      </c>
      <c r="L1145" s="5">
        <f t="shared" si="141"/>
        <v>4.8793309639957726E-2</v>
      </c>
    </row>
    <row r="1146" spans="2:12">
      <c r="B1146">
        <v>11.1171875</v>
      </c>
      <c r="C1146">
        <v>1.85463286470622</v>
      </c>
      <c r="D1146">
        <v>48.686214843750001</v>
      </c>
      <c r="E1146" s="5">
        <f t="shared" si="135"/>
        <v>48686.21484375</v>
      </c>
      <c r="F1146" s="5">
        <v>0.50067738629877601</v>
      </c>
      <c r="G1146">
        <f t="shared" si="136"/>
        <v>973.72429687500005</v>
      </c>
      <c r="H1146">
        <f t="shared" si="137"/>
        <v>5.0067738629877602E-2</v>
      </c>
      <c r="I1146">
        <f t="shared" si="138"/>
        <v>5.0854675069394929E-2</v>
      </c>
      <c r="J1146">
        <f t="shared" si="139"/>
        <v>5346.8999129699278</v>
      </c>
      <c r="K1146" s="5">
        <f t="shared" si="140"/>
        <v>1022.4764704684989</v>
      </c>
      <c r="L1146" s="5">
        <f t="shared" si="141"/>
        <v>4.8854675069394927E-2</v>
      </c>
    </row>
    <row r="1147" spans="2:12">
      <c r="B1147">
        <v>11.126953125</v>
      </c>
      <c r="C1147">
        <v>1.8568382365629099</v>
      </c>
      <c r="D1147">
        <v>48.680656249999998</v>
      </c>
      <c r="E1147" s="5">
        <f t="shared" si="135"/>
        <v>48680.65625</v>
      </c>
      <c r="F1147" s="5">
        <v>0.50147215370088805</v>
      </c>
      <c r="G1147">
        <f t="shared" si="136"/>
        <v>973.61312499999997</v>
      </c>
      <c r="H1147">
        <f t="shared" si="137"/>
        <v>5.0147215370088802E-2</v>
      </c>
      <c r="I1147">
        <f t="shared" si="138"/>
        <v>5.0930359455983856E-2</v>
      </c>
      <c r="J1147">
        <f t="shared" si="139"/>
        <v>5355.1831906601528</v>
      </c>
      <c r="K1147" s="5">
        <f t="shared" si="140"/>
        <v>1022.4371120665202</v>
      </c>
      <c r="L1147" s="5">
        <f t="shared" si="141"/>
        <v>4.8930359455983854E-2</v>
      </c>
    </row>
    <row r="1148" spans="2:12">
      <c r="B1148">
        <v>11.13671875</v>
      </c>
      <c r="C1148">
        <v>1.8599868053570401</v>
      </c>
      <c r="D1148">
        <v>48.6910234375</v>
      </c>
      <c r="E1148" s="5">
        <f t="shared" si="135"/>
        <v>48691.0234375</v>
      </c>
      <c r="F1148" s="5">
        <v>0.50229876069351997</v>
      </c>
      <c r="G1148">
        <f t="shared" si="136"/>
        <v>973.82046875000003</v>
      </c>
      <c r="H1148">
        <f t="shared" si="137"/>
        <v>5.0229876069351996E-2</v>
      </c>
      <c r="I1148">
        <f t="shared" si="138"/>
        <v>5.1009069797705628E-2</v>
      </c>
      <c r="J1148">
        <f t="shared" si="139"/>
        <v>5363.7976440098919</v>
      </c>
      <c r="K1148" s="5">
        <f t="shared" si="140"/>
        <v>1022.7353502091108</v>
      </c>
      <c r="L1148" s="5">
        <f t="shared" si="141"/>
        <v>4.9009069797705626E-2</v>
      </c>
    </row>
    <row r="1149" spans="2:12">
      <c r="B1149">
        <v>11.146484375</v>
      </c>
      <c r="C1149">
        <v>1.8611147534102199</v>
      </c>
      <c r="D1149">
        <v>48.703304687500001</v>
      </c>
      <c r="E1149" s="5">
        <f t="shared" si="135"/>
        <v>48703.3046875</v>
      </c>
      <c r="F1149" s="5">
        <v>0.50311017548665404</v>
      </c>
      <c r="G1149">
        <f t="shared" si="136"/>
        <v>974.06609375000005</v>
      </c>
      <c r="H1149">
        <f t="shared" si="137"/>
        <v>5.0311017548665404E-2</v>
      </c>
      <c r="I1149">
        <f t="shared" si="138"/>
        <v>5.1086327497948704E-2</v>
      </c>
      <c r="J1149">
        <f t="shared" si="139"/>
        <v>5372.2531130129955</v>
      </c>
      <c r="K1149" s="5">
        <f t="shared" si="140"/>
        <v>1023.0723500862163</v>
      </c>
      <c r="L1149" s="5">
        <f t="shared" si="141"/>
        <v>4.9086327497948702E-2</v>
      </c>
    </row>
    <row r="1150" spans="2:12">
      <c r="B1150">
        <v>11.15625</v>
      </c>
      <c r="C1150">
        <v>1.8610551487654401</v>
      </c>
      <c r="D1150">
        <v>48.68875390625</v>
      </c>
      <c r="E1150" s="5">
        <f t="shared" si="135"/>
        <v>48688.75390625</v>
      </c>
      <c r="F1150" s="5">
        <v>0.50383695634082004</v>
      </c>
      <c r="G1150">
        <f t="shared" si="136"/>
        <v>973.77507812500005</v>
      </c>
      <c r="H1150">
        <f t="shared" si="137"/>
        <v>5.0383695634082001E-2</v>
      </c>
      <c r="I1150">
        <f t="shared" si="138"/>
        <v>5.1155521831603629E-2</v>
      </c>
      <c r="J1150">
        <f t="shared" si="139"/>
        <v>5379.8260868598591</v>
      </c>
      <c r="K1150" s="5">
        <f t="shared" si="140"/>
        <v>1022.8374652773044</v>
      </c>
      <c r="L1150" s="5">
        <f t="shared" si="141"/>
        <v>4.9155521831603627E-2</v>
      </c>
    </row>
    <row r="1151" spans="2:12">
      <c r="B1151">
        <v>11.166015625</v>
      </c>
      <c r="C1151">
        <v>1.86288054101169</v>
      </c>
      <c r="D1151">
        <v>48.682535156249997</v>
      </c>
      <c r="E1151" s="5">
        <f t="shared" si="135"/>
        <v>48682.53515625</v>
      </c>
      <c r="F1151" s="5">
        <v>0.50451949937269103</v>
      </c>
      <c r="G1151">
        <f t="shared" si="136"/>
        <v>973.65070312499995</v>
      </c>
      <c r="H1151">
        <f t="shared" si="137"/>
        <v>5.0451949937269105E-2</v>
      </c>
      <c r="I1151">
        <f t="shared" si="138"/>
        <v>5.1220500073338088E-2</v>
      </c>
      <c r="J1151">
        <f t="shared" si="139"/>
        <v>5386.9376305264868</v>
      </c>
      <c r="K1151" s="5">
        <f t="shared" si="140"/>
        <v>1022.7732796554493</v>
      </c>
      <c r="L1151" s="5">
        <f t="shared" si="141"/>
        <v>4.9220500073338086E-2</v>
      </c>
    </row>
    <row r="1152" spans="2:12">
      <c r="B1152">
        <v>11.17578125</v>
      </c>
      <c r="C1152">
        <v>1.8649265402927999</v>
      </c>
      <c r="D1152">
        <v>48.690984374999999</v>
      </c>
      <c r="E1152" s="5">
        <f t="shared" si="135"/>
        <v>48690.984375</v>
      </c>
      <c r="F1152" s="5">
        <v>0.50536426715552796</v>
      </c>
      <c r="G1152">
        <f t="shared" si="136"/>
        <v>973.81968749999999</v>
      </c>
      <c r="H1152">
        <f t="shared" si="137"/>
        <v>5.0536426715552793E-2</v>
      </c>
      <c r="I1152">
        <f t="shared" si="138"/>
        <v>5.1300916299594247E-2</v>
      </c>
      <c r="J1152">
        <f t="shared" si="139"/>
        <v>5395.7387844090917</v>
      </c>
      <c r="K1152" s="5">
        <f t="shared" si="140"/>
        <v>1023.0330547715063</v>
      </c>
      <c r="L1152" s="5">
        <f t="shared" si="141"/>
        <v>4.9300916299594245E-2</v>
      </c>
    </row>
    <row r="1153" spans="2:12">
      <c r="B1153">
        <v>11.185546875</v>
      </c>
      <c r="C1153">
        <v>1.8669232958927799</v>
      </c>
      <c r="D1153">
        <v>48.705500000000001</v>
      </c>
      <c r="E1153" s="5">
        <f t="shared" si="135"/>
        <v>48705.5</v>
      </c>
      <c r="F1153" s="5">
        <v>0.50612376071512699</v>
      </c>
      <c r="G1153">
        <f t="shared" si="136"/>
        <v>974.11</v>
      </c>
      <c r="H1153">
        <f t="shared" si="137"/>
        <v>5.0612376071512699E-2</v>
      </c>
      <c r="I1153">
        <f t="shared" si="138"/>
        <v>5.1373209471683938E-2</v>
      </c>
      <c r="J1153">
        <f t="shared" si="139"/>
        <v>5403.6509106284484</v>
      </c>
      <c r="K1153" s="5">
        <f t="shared" si="140"/>
        <v>1023.4120216550212</v>
      </c>
      <c r="L1153" s="5">
        <f t="shared" si="141"/>
        <v>4.9373209471683936E-2</v>
      </c>
    </row>
    <row r="1154" spans="2:12">
      <c r="B1154">
        <v>11.1953125</v>
      </c>
      <c r="C1154">
        <v>1.86753133311868</v>
      </c>
      <c r="D1154">
        <v>48.700820312499999</v>
      </c>
      <c r="E1154" s="5">
        <f t="shared" si="135"/>
        <v>48700.8203125</v>
      </c>
      <c r="F1154" s="5">
        <v>0.50691259093582597</v>
      </c>
      <c r="G1154">
        <f t="shared" si="136"/>
        <v>974.01640625000005</v>
      </c>
      <c r="H1154">
        <f t="shared" si="137"/>
        <v>5.0691259093582595E-2</v>
      </c>
      <c r="I1154">
        <f t="shared" si="138"/>
        <v>5.1448289551294414E-2</v>
      </c>
      <c r="J1154">
        <f t="shared" si="139"/>
        <v>5411.8680499414168</v>
      </c>
      <c r="K1154" s="5">
        <f t="shared" si="140"/>
        <v>1023.390524260619</v>
      </c>
      <c r="L1154" s="5">
        <f t="shared" si="141"/>
        <v>4.9448289551294412E-2</v>
      </c>
    </row>
    <row r="1155" spans="2:12">
      <c r="B1155">
        <v>11.205078125</v>
      </c>
      <c r="C1155">
        <v>1.8694892060011601</v>
      </c>
      <c r="D1155">
        <v>48.701816406250003</v>
      </c>
      <c r="E1155" s="5">
        <f t="shared" si="135"/>
        <v>48701.81640625</v>
      </c>
      <c r="F1155" s="5">
        <v>0.50780014134943496</v>
      </c>
      <c r="G1155">
        <f t="shared" si="136"/>
        <v>974.03632812499995</v>
      </c>
      <c r="H1155">
        <f t="shared" si="137"/>
        <v>5.0780014134943499E-2</v>
      </c>
      <c r="I1155">
        <f t="shared" si="138"/>
        <v>5.153275898234904E-2</v>
      </c>
      <c r="J1155">
        <f t="shared" si="139"/>
        <v>5421.1128068231901</v>
      </c>
      <c r="K1155" s="5">
        <f t="shared" si="140"/>
        <v>1023.4979066351359</v>
      </c>
      <c r="L1155" s="5">
        <f t="shared" si="141"/>
        <v>4.9532758982349039E-2</v>
      </c>
    </row>
    <row r="1156" spans="2:12">
      <c r="B1156">
        <v>11.21484375</v>
      </c>
      <c r="C1156">
        <v>1.8715633777901499</v>
      </c>
      <c r="D1156">
        <v>48.709964843750001</v>
      </c>
      <c r="E1156" s="5">
        <f t="shared" si="135"/>
        <v>48709.96484375</v>
      </c>
      <c r="F1156" s="5">
        <v>0.50850398838520094</v>
      </c>
      <c r="G1156">
        <f t="shared" si="136"/>
        <v>974.19929687499996</v>
      </c>
      <c r="H1156">
        <f t="shared" si="137"/>
        <v>5.0850398838520092E-2</v>
      </c>
      <c r="I1156">
        <f t="shared" si="138"/>
        <v>5.1599740030175902E-2</v>
      </c>
      <c r="J1156">
        <f t="shared" si="139"/>
        <v>5428.443547602601</v>
      </c>
      <c r="K1156" s="5">
        <f t="shared" si="140"/>
        <v>1023.7377196692995</v>
      </c>
      <c r="L1156" s="5">
        <f t="shared" si="141"/>
        <v>4.95997400301759E-2</v>
      </c>
    </row>
    <row r="1157" spans="2:12">
      <c r="B1157">
        <v>11.224609375</v>
      </c>
      <c r="C1157">
        <v>1.8732652533799401</v>
      </c>
      <c r="D1157">
        <v>48.726976562499999</v>
      </c>
      <c r="E1157" s="5">
        <f t="shared" si="135"/>
        <v>48726.9765625</v>
      </c>
      <c r="F1157" s="5">
        <v>0.509414297994226</v>
      </c>
      <c r="G1157">
        <f t="shared" si="136"/>
        <v>974.53953124999998</v>
      </c>
      <c r="H1157">
        <f t="shared" si="137"/>
        <v>5.0941429799422601E-2</v>
      </c>
      <c r="I1157">
        <f t="shared" si="138"/>
        <v>5.1686362272892E-2</v>
      </c>
      <c r="J1157">
        <f t="shared" si="139"/>
        <v>5437.9239189566651</v>
      </c>
      <c r="K1157" s="5">
        <f t="shared" si="140"/>
        <v>1024.1839683679341</v>
      </c>
      <c r="L1157" s="5">
        <f t="shared" si="141"/>
        <v>4.9686362272891998E-2</v>
      </c>
    </row>
    <row r="1158" spans="2:12">
      <c r="B1158">
        <v>11.234375</v>
      </c>
      <c r="C1158">
        <v>1.87549588736147</v>
      </c>
      <c r="D1158">
        <v>48.756132812499999</v>
      </c>
      <c r="E1158" s="5">
        <f t="shared" si="135"/>
        <v>48756.1328125</v>
      </c>
      <c r="F1158" s="5">
        <v>0.51025801803916704</v>
      </c>
      <c r="G1158">
        <f t="shared" si="136"/>
        <v>975.12265624999998</v>
      </c>
      <c r="H1158">
        <f t="shared" si="137"/>
        <v>5.1025801803916707E-2</v>
      </c>
      <c r="I1158">
        <f t="shared" si="138"/>
        <v>5.1766641359331442E-2</v>
      </c>
      <c r="J1158">
        <f t="shared" si="139"/>
        <v>5446.7100635720299</v>
      </c>
      <c r="K1158" s="5">
        <f t="shared" si="140"/>
        <v>1024.8790716423212</v>
      </c>
      <c r="L1158" s="5">
        <f t="shared" si="141"/>
        <v>4.976664135933144E-2</v>
      </c>
    </row>
    <row r="1159" spans="2:12">
      <c r="B1159">
        <v>11.244140625</v>
      </c>
      <c r="C1159">
        <v>1.8772870535031001</v>
      </c>
      <c r="D1159">
        <v>48.742324218749999</v>
      </c>
      <c r="E1159" s="5">
        <f t="shared" si="135"/>
        <v>48742.32421875</v>
      </c>
      <c r="F1159" s="5">
        <v>0.51104254089295897</v>
      </c>
      <c r="G1159">
        <f t="shared" si="136"/>
        <v>974.84648437500005</v>
      </c>
      <c r="H1159">
        <f t="shared" si="137"/>
        <v>5.1104254089295899E-2</v>
      </c>
      <c r="I1159">
        <f t="shared" si="138"/>
        <v>5.1841282112595644E-2</v>
      </c>
      <c r="J1159">
        <f t="shared" si="139"/>
        <v>5454.8791208130297</v>
      </c>
      <c r="K1159" s="5">
        <f t="shared" si="140"/>
        <v>1024.6652868105568</v>
      </c>
      <c r="L1159" s="5">
        <f t="shared" si="141"/>
        <v>4.9841282112595642E-2</v>
      </c>
    </row>
    <row r="1160" spans="2:12">
      <c r="B1160">
        <v>11.25390625</v>
      </c>
      <c r="C1160">
        <v>1.8782987026497699</v>
      </c>
      <c r="D1160">
        <v>48.709246093749996</v>
      </c>
      <c r="E1160" s="5">
        <f t="shared" si="135"/>
        <v>48709.24609375</v>
      </c>
      <c r="F1160" s="5">
        <v>0.51185768097639095</v>
      </c>
      <c r="G1160">
        <f t="shared" si="136"/>
        <v>974.18492187499999</v>
      </c>
      <c r="H1160">
        <f t="shared" si="137"/>
        <v>5.1185768097639098E-2</v>
      </c>
      <c r="I1160">
        <f t="shared" si="138"/>
        <v>5.1918829936657786E-2</v>
      </c>
      <c r="J1160">
        <f t="shared" si="139"/>
        <v>5463.3663424175111</v>
      </c>
      <c r="K1160" s="5">
        <f t="shared" si="140"/>
        <v>1024.0493253703103</v>
      </c>
      <c r="L1160" s="5">
        <f t="shared" si="141"/>
        <v>4.9918829936657784E-2</v>
      </c>
    </row>
    <row r="1161" spans="2:12">
      <c r="B1161">
        <v>11.263671875</v>
      </c>
      <c r="C1161">
        <v>1.88016437459737</v>
      </c>
      <c r="D1161">
        <v>48.710464843750003</v>
      </c>
      <c r="E1161" s="5">
        <f t="shared" ref="E1161:E1224" si="142" xml:space="preserve"> D1161*R$3</f>
        <v>48710.46484375</v>
      </c>
      <c r="F1161" s="5">
        <v>0.51263015484437302</v>
      </c>
      <c r="G1161">
        <f t="shared" ref="G1161:G1224" si="143" xml:space="preserve"> E1161/C$3</f>
        <v>974.20929687499995</v>
      </c>
      <c r="H1161">
        <f t="shared" ref="H1161:H1224" si="144" xml:space="preserve"> F1161/C$4</f>
        <v>5.1263015484437305E-2</v>
      </c>
      <c r="I1161">
        <f t="shared" ref="I1161:I1224" si="145">L1161+0.002</f>
        <v>5.1992313188603083E-2</v>
      </c>
      <c r="J1161">
        <f t="shared" ref="J1161:J1224" si="146">L1161*G$2</f>
        <v>5471.4087169266641</v>
      </c>
      <c r="K1161" s="5">
        <f t="shared" ref="K1161:K1224" si="147" xml:space="preserve"> G1161 * (1 + H1161)</f>
        <v>1024.1502031457858</v>
      </c>
      <c r="L1161" s="5">
        <f t="shared" ref="L1161:L1224" si="148">LN(1 + H1161)</f>
        <v>4.9992313188603081E-2</v>
      </c>
    </row>
    <row r="1162" spans="2:12">
      <c r="B1162">
        <v>11.2734375</v>
      </c>
      <c r="C1162">
        <v>1.88025971874595</v>
      </c>
      <c r="D1162">
        <v>48.711929687500003</v>
      </c>
      <c r="E1162" s="5">
        <f t="shared" si="142"/>
        <v>48711.9296875</v>
      </c>
      <c r="F1162" s="5">
        <v>0.51343382801860604</v>
      </c>
      <c r="G1162">
        <f t="shared" si="143"/>
        <v>974.23859374999995</v>
      </c>
      <c r="H1162">
        <f t="shared" si="144"/>
        <v>5.1343382801860606E-2</v>
      </c>
      <c r="I1162">
        <f t="shared" si="145"/>
        <v>5.2068758611320203E-2</v>
      </c>
      <c r="J1162">
        <f t="shared" si="146"/>
        <v>5479.7752862159396</v>
      </c>
      <c r="K1162" s="5">
        <f t="shared" si="147"/>
        <v>1024.2592988092524</v>
      </c>
      <c r="L1162" s="5">
        <f t="shared" si="148"/>
        <v>5.0068758611320201E-2</v>
      </c>
    </row>
    <row r="1163" spans="2:12">
      <c r="B1163">
        <v>11.283203125</v>
      </c>
      <c r="C1163">
        <v>1.88240269199014</v>
      </c>
      <c r="D1163">
        <v>48.726503906250002</v>
      </c>
      <c r="E1163" s="5">
        <f t="shared" si="142"/>
        <v>48726.50390625</v>
      </c>
      <c r="F1163" s="5">
        <v>0.51425304263830196</v>
      </c>
      <c r="G1163">
        <f t="shared" si="143"/>
        <v>974.53007812500005</v>
      </c>
      <c r="H1163">
        <f t="shared" si="144"/>
        <v>5.1425304263830199E-2</v>
      </c>
      <c r="I1163">
        <f t="shared" si="145"/>
        <v>5.2146676322873516E-2</v>
      </c>
      <c r="J1163">
        <f t="shared" si="146"/>
        <v>5488.3029901568916</v>
      </c>
      <c r="K1163" s="5">
        <f t="shared" si="147"/>
        <v>1024.6455839068324</v>
      </c>
      <c r="L1163" s="5">
        <f t="shared" si="148"/>
        <v>5.0146676322873514E-2</v>
      </c>
    </row>
    <row r="1164" spans="2:12">
      <c r="B1164">
        <v>11.29296875</v>
      </c>
      <c r="C1164">
        <v>1.88549305312335</v>
      </c>
      <c r="D1164">
        <v>48.721914062499998</v>
      </c>
      <c r="E1164" s="5">
        <f t="shared" si="142"/>
        <v>48721.9140625</v>
      </c>
      <c r="F1164" s="5">
        <v>0.51497895037755403</v>
      </c>
      <c r="G1164">
        <f t="shared" si="143"/>
        <v>974.43828125000005</v>
      </c>
      <c r="H1164">
        <f t="shared" si="144"/>
        <v>5.1497895037755405E-2</v>
      </c>
      <c r="I1164">
        <f t="shared" si="145"/>
        <v>5.2215714292475186E-2</v>
      </c>
      <c r="J1164">
        <f t="shared" si="146"/>
        <v>5495.8588507399463</v>
      </c>
      <c r="K1164" s="5">
        <f t="shared" si="147"/>
        <v>1024.6198015785833</v>
      </c>
      <c r="L1164" s="5">
        <f t="shared" si="148"/>
        <v>5.0215714292475185E-2</v>
      </c>
    </row>
    <row r="1165" spans="2:12">
      <c r="B1165">
        <v>11.302734375</v>
      </c>
      <c r="C1165">
        <v>1.8862426513806001</v>
      </c>
      <c r="D1165">
        <v>48.714312499999998</v>
      </c>
      <c r="E1165" s="5">
        <f t="shared" si="142"/>
        <v>48714.3125</v>
      </c>
      <c r="F1165" s="5">
        <v>0.51586376503109899</v>
      </c>
      <c r="G1165">
        <f t="shared" si="143"/>
        <v>974.28625</v>
      </c>
      <c r="H1165">
        <f t="shared" si="144"/>
        <v>5.1586376503109897E-2</v>
      </c>
      <c r="I1165">
        <f t="shared" si="145"/>
        <v>5.2299858771708958E-2</v>
      </c>
      <c r="J1165">
        <f t="shared" si="146"/>
        <v>5505.0680432696863</v>
      </c>
      <c r="K1165" s="5">
        <f t="shared" si="147"/>
        <v>1024.546147314303</v>
      </c>
      <c r="L1165" s="5">
        <f t="shared" si="148"/>
        <v>5.0299858771708957E-2</v>
      </c>
    </row>
    <row r="1166" spans="2:12">
      <c r="B1166">
        <v>11.3125</v>
      </c>
      <c r="C1166">
        <v>1.88774173147976</v>
      </c>
      <c r="D1166">
        <v>48.710316406250001</v>
      </c>
      <c r="E1166" s="5">
        <f t="shared" si="142"/>
        <v>48710.31640625</v>
      </c>
      <c r="F1166" s="5">
        <v>0.51662995247170296</v>
      </c>
      <c r="G1166">
        <f t="shared" si="143"/>
        <v>974.20632812500003</v>
      </c>
      <c r="H1166">
        <f t="shared" si="144"/>
        <v>5.1662995247170294E-2</v>
      </c>
      <c r="I1166">
        <f t="shared" si="145"/>
        <v>5.2372716270323617E-2</v>
      </c>
      <c r="J1166">
        <f t="shared" si="146"/>
        <v>5513.0419322055677</v>
      </c>
      <c r="K1166" s="5">
        <f t="shared" si="147"/>
        <v>1024.5367450246852</v>
      </c>
      <c r="L1166" s="5">
        <f t="shared" si="148"/>
        <v>5.0372716270323616E-2</v>
      </c>
    </row>
    <row r="1167" spans="2:12">
      <c r="B1167">
        <v>11.322265625</v>
      </c>
      <c r="C1167">
        <v>1.8901496659964301</v>
      </c>
      <c r="D1167">
        <v>48.715980468749997</v>
      </c>
      <c r="E1167" s="5">
        <f t="shared" si="142"/>
        <v>48715.98046875</v>
      </c>
      <c r="F1167" s="5">
        <v>0.51739206537604299</v>
      </c>
      <c r="G1167">
        <f t="shared" si="143"/>
        <v>974.31960937500003</v>
      </c>
      <c r="H1167">
        <f t="shared" si="144"/>
        <v>5.1739206537604297E-2</v>
      </c>
      <c r="I1167">
        <f t="shared" si="145"/>
        <v>5.244518105181209E-2</v>
      </c>
      <c r="J1167">
        <f t="shared" si="146"/>
        <v>5520.9728402155743</v>
      </c>
      <c r="K1167" s="5">
        <f t="shared" si="147"/>
        <v>1024.7301328780911</v>
      </c>
      <c r="L1167" s="5">
        <f t="shared" si="148"/>
        <v>5.0445181051812088E-2</v>
      </c>
    </row>
    <row r="1168" spans="2:12">
      <c r="B1168">
        <v>11.33203125</v>
      </c>
      <c r="C1168">
        <v>1.89147889614105</v>
      </c>
      <c r="D1168">
        <v>48.727277343750004</v>
      </c>
      <c r="E1168" s="5">
        <f t="shared" si="142"/>
        <v>48727.27734375</v>
      </c>
      <c r="F1168" s="5">
        <v>0.51825382979586698</v>
      </c>
      <c r="G1168">
        <f t="shared" si="143"/>
        <v>974.54554687500001</v>
      </c>
      <c r="H1168">
        <f t="shared" si="144"/>
        <v>5.18253829795867E-2</v>
      </c>
      <c r="I1168">
        <f t="shared" si="145"/>
        <v>5.252711477750803E-2</v>
      </c>
      <c r="J1168">
        <f t="shared" si="146"/>
        <v>5529.9400768243659</v>
      </c>
      <c r="K1168" s="5">
        <f t="shared" si="147"/>
        <v>1025.0517430728478</v>
      </c>
      <c r="L1168" s="5">
        <f t="shared" si="148"/>
        <v>5.0527114777508028E-2</v>
      </c>
    </row>
    <row r="1169" spans="2:12">
      <c r="B1169">
        <v>11.341796875</v>
      </c>
      <c r="C1169">
        <v>1.89358450006694</v>
      </c>
      <c r="D1169">
        <v>48.72775</v>
      </c>
      <c r="E1169" s="5">
        <f t="shared" si="142"/>
        <v>48727.75</v>
      </c>
      <c r="F1169" s="5">
        <v>0.51898049423471104</v>
      </c>
      <c r="G1169">
        <f t="shared" si="143"/>
        <v>974.55499999999995</v>
      </c>
      <c r="H1169">
        <f t="shared" si="144"/>
        <v>5.1898049423471107E-2</v>
      </c>
      <c r="I1169">
        <f t="shared" si="145"/>
        <v>5.2596198424905795E-2</v>
      </c>
      <c r="J1169">
        <f t="shared" si="146"/>
        <v>5537.5009366138147</v>
      </c>
      <c r="K1169" s="5">
        <f t="shared" si="147"/>
        <v>1025.1325035558907</v>
      </c>
      <c r="L1169" s="5">
        <f t="shared" si="148"/>
        <v>5.0596198424905793E-2</v>
      </c>
    </row>
    <row r="1170" spans="2:12">
      <c r="B1170">
        <v>11.3515625</v>
      </c>
      <c r="C1170">
        <v>1.8945231568068299</v>
      </c>
      <c r="D1170">
        <v>48.71895703125</v>
      </c>
      <c r="E1170" s="5">
        <f t="shared" si="142"/>
        <v>48718.95703125</v>
      </c>
      <c r="F1170" s="5">
        <v>0.51981670549139403</v>
      </c>
      <c r="G1170">
        <f t="shared" si="143"/>
        <v>974.37914062499999</v>
      </c>
      <c r="H1170">
        <f t="shared" si="144"/>
        <v>5.1981670549139401E-2</v>
      </c>
      <c r="I1170">
        <f t="shared" si="145"/>
        <v>5.2675690731351345E-2</v>
      </c>
      <c r="J1170">
        <f t="shared" si="146"/>
        <v>5546.2009720927481</v>
      </c>
      <c r="K1170" s="5">
        <f t="shared" si="147"/>
        <v>1025.0289961029223</v>
      </c>
      <c r="L1170" s="5">
        <f t="shared" si="148"/>
        <v>5.0675690731351343E-2</v>
      </c>
    </row>
    <row r="1171" spans="2:12">
      <c r="B1171">
        <v>11.361328125</v>
      </c>
      <c r="C1171">
        <v>1.89469754695892</v>
      </c>
      <c r="D1171">
        <v>48.707093749999999</v>
      </c>
      <c r="E1171" s="5">
        <f t="shared" si="142"/>
        <v>48707.09375</v>
      </c>
      <c r="F1171" s="5">
        <v>0.52060297457501303</v>
      </c>
      <c r="G1171">
        <f t="shared" si="143"/>
        <v>974.14187500000003</v>
      </c>
      <c r="H1171">
        <f t="shared" si="144"/>
        <v>5.2060297457501306E-2</v>
      </c>
      <c r="I1171">
        <f t="shared" si="145"/>
        <v>5.2750429647774197E-2</v>
      </c>
      <c r="J1171">
        <f t="shared" si="146"/>
        <v>5554.3807728006468</v>
      </c>
      <c r="K1171" s="5">
        <f t="shared" si="147"/>
        <v>1024.8559907783081</v>
      </c>
      <c r="L1171" s="5">
        <f t="shared" si="148"/>
        <v>5.0750429647774195E-2</v>
      </c>
    </row>
    <row r="1172" spans="2:12">
      <c r="B1172">
        <v>11.37109375</v>
      </c>
      <c r="C1172">
        <v>1.8981621833518101</v>
      </c>
      <c r="D1172">
        <v>48.721878906249998</v>
      </c>
      <c r="E1172" s="5">
        <f t="shared" si="142"/>
        <v>48721.87890625</v>
      </c>
      <c r="F1172" s="5">
        <v>0.52146549569442902</v>
      </c>
      <c r="G1172">
        <f t="shared" si="143"/>
        <v>974.43757812499996</v>
      </c>
      <c r="H1172">
        <f t="shared" si="144"/>
        <v>5.2146549569442903E-2</v>
      </c>
      <c r="I1172">
        <f t="shared" si="145"/>
        <v>5.2832410287759042E-2</v>
      </c>
      <c r="J1172">
        <f t="shared" si="146"/>
        <v>5563.3531439437884</v>
      </c>
      <c r="K1172" s="5">
        <f t="shared" si="147"/>
        <v>1025.251135595023</v>
      </c>
      <c r="L1172" s="5">
        <f t="shared" si="148"/>
        <v>5.083241028775904E-2</v>
      </c>
    </row>
    <row r="1173" spans="2:12">
      <c r="B1173">
        <v>11.380859375</v>
      </c>
      <c r="C1173">
        <v>1.89910235349089</v>
      </c>
      <c r="D1173">
        <v>48.716515625</v>
      </c>
      <c r="E1173" s="5">
        <f t="shared" si="142"/>
        <v>48716.515625</v>
      </c>
      <c r="F1173" s="5">
        <v>0.52222667727619398</v>
      </c>
      <c r="G1173">
        <f t="shared" si="143"/>
        <v>974.33031249999999</v>
      </c>
      <c r="H1173">
        <f t="shared" si="144"/>
        <v>5.2222667727619396E-2</v>
      </c>
      <c r="I1173">
        <f t="shared" si="145"/>
        <v>5.2904753256458714E-2</v>
      </c>
      <c r="J1173">
        <f t="shared" si="146"/>
        <v>5571.2707201531239</v>
      </c>
      <c r="K1173" s="5">
        <f t="shared" si="147"/>
        <v>1025.2124406666351</v>
      </c>
      <c r="L1173" s="5">
        <f t="shared" si="148"/>
        <v>5.0904753256458712E-2</v>
      </c>
    </row>
    <row r="1174" spans="2:12">
      <c r="B1174">
        <v>11.390625</v>
      </c>
      <c r="C1174">
        <v>1.9014745485037601</v>
      </c>
      <c r="D1174">
        <v>48.72450390625</v>
      </c>
      <c r="E1174" s="5">
        <f t="shared" si="142"/>
        <v>48724.50390625</v>
      </c>
      <c r="F1174" s="5">
        <v>0.52306876750662901</v>
      </c>
      <c r="G1174">
        <f t="shared" si="143"/>
        <v>974.49007812499997</v>
      </c>
      <c r="H1174">
        <f t="shared" si="144"/>
        <v>5.2306876750662902E-2</v>
      </c>
      <c r="I1174">
        <f t="shared" si="145"/>
        <v>5.2984779714922457E-2</v>
      </c>
      <c r="J1174">
        <f t="shared" si="146"/>
        <v>5580.0292158996881</v>
      </c>
      <c r="K1174" s="5">
        <f t="shared" si="147"/>
        <v>1025.4626105362281</v>
      </c>
      <c r="L1174" s="5">
        <f t="shared" si="148"/>
        <v>5.0984779714922455E-2</v>
      </c>
    </row>
    <row r="1175" spans="2:12">
      <c r="B1175">
        <v>11.400390625</v>
      </c>
      <c r="C1175">
        <v>1.90187687985599</v>
      </c>
      <c r="D1175">
        <v>48.729792968749997</v>
      </c>
      <c r="E1175" s="5">
        <f t="shared" si="142"/>
        <v>48729.79296875</v>
      </c>
      <c r="F1175" s="5">
        <v>0.52387814503163099</v>
      </c>
      <c r="G1175">
        <f t="shared" si="143"/>
        <v>974.59585937500003</v>
      </c>
      <c r="H1175">
        <f t="shared" si="144"/>
        <v>5.2387814503163099E-2</v>
      </c>
      <c r="I1175">
        <f t="shared" si="145"/>
        <v>5.306169134764184E-2</v>
      </c>
      <c r="J1175">
        <f t="shared" si="146"/>
        <v>5588.446809542661</v>
      </c>
      <c r="K1175" s="5">
        <f t="shared" si="147"/>
        <v>1025.6528064714885</v>
      </c>
      <c r="L1175" s="5">
        <f t="shared" si="148"/>
        <v>5.1061691347641838E-2</v>
      </c>
    </row>
    <row r="1176" spans="2:12">
      <c r="B1176">
        <v>11.41015625</v>
      </c>
      <c r="C1176">
        <v>1.90191273577511</v>
      </c>
      <c r="D1176">
        <v>48.747921875000003</v>
      </c>
      <c r="E1176" s="5">
        <f t="shared" si="142"/>
        <v>48747.921875</v>
      </c>
      <c r="F1176" s="5">
        <v>0.52476563723757896</v>
      </c>
      <c r="G1176">
        <f t="shared" si="143"/>
        <v>974.95843749999995</v>
      </c>
      <c r="H1176">
        <f t="shared" si="144"/>
        <v>5.2476563723757898E-2</v>
      </c>
      <c r="I1176">
        <f t="shared" si="145"/>
        <v>5.3146019080644875E-2</v>
      </c>
      <c r="J1176">
        <f t="shared" si="146"/>
        <v>5597.6760582811785</v>
      </c>
      <c r="K1176" s="5">
        <f t="shared" si="147"/>
        <v>1026.1209060734841</v>
      </c>
      <c r="L1176" s="5">
        <f t="shared" si="148"/>
        <v>5.1146019080644874E-2</v>
      </c>
    </row>
    <row r="1177" spans="2:12">
      <c r="B1177">
        <v>11.419921875</v>
      </c>
      <c r="C1177">
        <v>1.90817122347653</v>
      </c>
      <c r="D1177">
        <v>48.760152343750001</v>
      </c>
      <c r="E1177" s="5">
        <f t="shared" si="142"/>
        <v>48760.15234375</v>
      </c>
      <c r="F1177" s="5">
        <v>0.525644863955677</v>
      </c>
      <c r="G1177">
        <f t="shared" si="143"/>
        <v>975.20304687500004</v>
      </c>
      <c r="H1177">
        <f t="shared" si="144"/>
        <v>5.2564486395567697E-2</v>
      </c>
      <c r="I1177">
        <f t="shared" si="145"/>
        <v>5.3229554431992003E-2</v>
      </c>
      <c r="J1177">
        <f t="shared" si="146"/>
        <v>5606.8185848093644</v>
      </c>
      <c r="K1177" s="5">
        <f t="shared" si="147"/>
        <v>1026.4640941653772</v>
      </c>
      <c r="L1177" s="5">
        <f t="shared" si="148"/>
        <v>5.1229554431992001E-2</v>
      </c>
    </row>
    <row r="1178" spans="2:12">
      <c r="B1178">
        <v>11.4296875</v>
      </c>
      <c r="C1178">
        <v>1.91003677900881</v>
      </c>
      <c r="D1178">
        <v>48.733066406250003</v>
      </c>
      <c r="E1178" s="5">
        <f t="shared" si="142"/>
        <v>48733.06640625</v>
      </c>
      <c r="F1178" s="5">
        <v>0.52636250620707903</v>
      </c>
      <c r="G1178">
        <f t="shared" si="143"/>
        <v>974.66132812499995</v>
      </c>
      <c r="H1178">
        <f t="shared" si="144"/>
        <v>5.2636250620707904E-2</v>
      </c>
      <c r="I1178">
        <f t="shared" si="145"/>
        <v>5.3297732467374723E-2</v>
      </c>
      <c r="J1178">
        <f t="shared" si="146"/>
        <v>5614.2803298918261</v>
      </c>
      <c r="K1178" s="5">
        <f t="shared" si="147"/>
        <v>1025.9638460624994</v>
      </c>
      <c r="L1178" s="5">
        <f t="shared" si="148"/>
        <v>5.1297732467374721E-2</v>
      </c>
    </row>
    <row r="1179" spans="2:12">
      <c r="B1179">
        <v>11.439453125</v>
      </c>
      <c r="C1179">
        <v>1.9096403848379899</v>
      </c>
      <c r="D1179">
        <v>48.729976562499999</v>
      </c>
      <c r="E1179" s="5">
        <f t="shared" si="142"/>
        <v>48729.9765625</v>
      </c>
      <c r="F1179" s="5">
        <v>0.52719662198796902</v>
      </c>
      <c r="G1179">
        <f t="shared" si="143"/>
        <v>974.59953125000004</v>
      </c>
      <c r="H1179">
        <f t="shared" si="144"/>
        <v>5.2719662198796903E-2</v>
      </c>
      <c r="I1179">
        <f t="shared" si="145"/>
        <v>5.3376969975507907E-2</v>
      </c>
      <c r="J1179">
        <f t="shared" si="146"/>
        <v>5622.9524789694624</v>
      </c>
      <c r="K1179" s="5">
        <f t="shared" si="147"/>
        <v>1025.9800893166059</v>
      </c>
      <c r="L1179" s="5">
        <f t="shared" si="148"/>
        <v>5.1376969975507905E-2</v>
      </c>
    </row>
    <row r="1180" spans="2:12">
      <c r="B1180">
        <v>11.44921875</v>
      </c>
      <c r="C1180">
        <v>1.9113824237138</v>
      </c>
      <c r="D1180">
        <v>48.748929687500002</v>
      </c>
      <c r="E1180" s="5">
        <f t="shared" si="142"/>
        <v>48748.9296875</v>
      </c>
      <c r="F1180" s="5">
        <v>0.52805634913966104</v>
      </c>
      <c r="G1180">
        <f t="shared" si="143"/>
        <v>974.97859374999996</v>
      </c>
      <c r="H1180">
        <f t="shared" si="144"/>
        <v>5.2805634913966101E-2</v>
      </c>
      <c r="I1180">
        <f t="shared" si="145"/>
        <v>5.3458633886489991E-2</v>
      </c>
      <c r="J1180">
        <f t="shared" si="146"/>
        <v>5631.8901857068968</v>
      </c>
      <c r="K1180" s="5">
        <f t="shared" si="147"/>
        <v>1026.4629574204944</v>
      </c>
      <c r="L1180" s="5">
        <f t="shared" si="148"/>
        <v>5.1458633886489989E-2</v>
      </c>
    </row>
    <row r="1181" spans="2:12">
      <c r="B1181">
        <v>11.458984375</v>
      </c>
      <c r="C1181">
        <v>1.91317347344011</v>
      </c>
      <c r="D1181">
        <v>48.736316406249998</v>
      </c>
      <c r="E1181" s="5">
        <f t="shared" si="142"/>
        <v>48736.31640625</v>
      </c>
      <c r="F1181" s="5">
        <v>0.52879267605021596</v>
      </c>
      <c r="G1181">
        <f t="shared" si="143"/>
        <v>974.72632812500001</v>
      </c>
      <c r="H1181">
        <f t="shared" si="144"/>
        <v>5.2879267605021596E-2</v>
      </c>
      <c r="I1181">
        <f t="shared" si="145"/>
        <v>5.3528570932623969E-2</v>
      </c>
      <c r="J1181">
        <f t="shared" si="146"/>
        <v>5639.5444457210297</v>
      </c>
      <c r="K1181" s="5">
        <f t="shared" si="147"/>
        <v>1026.269142471582</v>
      </c>
      <c r="L1181" s="5">
        <f t="shared" si="148"/>
        <v>5.1528570932623967E-2</v>
      </c>
    </row>
    <row r="1182" spans="2:12">
      <c r="B1182">
        <v>11.46875</v>
      </c>
      <c r="C1182">
        <v>1.9153177272528401</v>
      </c>
      <c r="D1182">
        <v>48.752875000000003</v>
      </c>
      <c r="E1182" s="5">
        <f t="shared" si="142"/>
        <v>48752.875</v>
      </c>
      <c r="F1182" s="5">
        <v>0.52976154256612096</v>
      </c>
      <c r="G1182">
        <f t="shared" si="143"/>
        <v>975.0575</v>
      </c>
      <c r="H1182">
        <f t="shared" si="144"/>
        <v>5.2976154256612097E-2</v>
      </c>
      <c r="I1182">
        <f t="shared" si="145"/>
        <v>5.3620587365141616E-2</v>
      </c>
      <c r="J1182">
        <f t="shared" si="146"/>
        <v>5649.6151841779238</v>
      </c>
      <c r="K1182" s="5">
        <f t="shared" si="147"/>
        <v>1026.7122965290666</v>
      </c>
      <c r="L1182" s="5">
        <f t="shared" si="148"/>
        <v>5.1620587365141614E-2</v>
      </c>
    </row>
    <row r="1183" spans="2:12">
      <c r="B1183">
        <v>11.478515625</v>
      </c>
      <c r="C1183">
        <v>1.9157796632498501</v>
      </c>
      <c r="D1183">
        <v>48.734488281250002</v>
      </c>
      <c r="E1183" s="5">
        <f t="shared" si="142"/>
        <v>48734.48828125</v>
      </c>
      <c r="F1183" s="5">
        <v>0.53047400433570102</v>
      </c>
      <c r="G1183">
        <f t="shared" si="143"/>
        <v>974.68976562499995</v>
      </c>
      <c r="H1183">
        <f t="shared" si="144"/>
        <v>5.3047400433570105E-2</v>
      </c>
      <c r="I1183">
        <f t="shared" si="145"/>
        <v>5.3688246795470969E-2</v>
      </c>
      <c r="J1183">
        <f t="shared" si="146"/>
        <v>5657.0201705303198</v>
      </c>
      <c r="K1183" s="5">
        <f t="shared" si="147"/>
        <v>1026.3945239206118</v>
      </c>
      <c r="L1183" s="5">
        <f t="shared" si="148"/>
        <v>5.1688246795470967E-2</v>
      </c>
    </row>
    <row r="1184" spans="2:12">
      <c r="B1184">
        <v>11.48828125</v>
      </c>
      <c r="C1184">
        <v>1.9177228678017899</v>
      </c>
      <c r="D1184">
        <v>48.737667968750003</v>
      </c>
      <c r="E1184" s="5">
        <f t="shared" si="142"/>
        <v>48737.66796875</v>
      </c>
      <c r="F1184" s="5">
        <v>0.53136184578761503</v>
      </c>
      <c r="G1184">
        <f t="shared" si="143"/>
        <v>974.75335937499995</v>
      </c>
      <c r="H1184">
        <f t="shared" si="144"/>
        <v>5.31361845787615E-2</v>
      </c>
      <c r="I1184">
        <f t="shared" si="145"/>
        <v>5.377255487371798E-2</v>
      </c>
      <c r="J1184">
        <f t="shared" si="146"/>
        <v>5666.2472681540639</v>
      </c>
      <c r="K1184" s="5">
        <f t="shared" si="147"/>
        <v>1026.5480337975177</v>
      </c>
      <c r="L1184" s="5">
        <f t="shared" si="148"/>
        <v>5.1772554873717978E-2</v>
      </c>
    </row>
    <row r="1185" spans="2:12">
      <c r="B1185">
        <v>11.498046875</v>
      </c>
      <c r="C1185">
        <v>1.9193768966942999</v>
      </c>
      <c r="D1185">
        <v>48.733394531249999</v>
      </c>
      <c r="E1185" s="5">
        <f t="shared" si="142"/>
        <v>48733.39453125</v>
      </c>
      <c r="F1185" s="5">
        <v>0.53210812620818604</v>
      </c>
      <c r="G1185">
        <f t="shared" si="143"/>
        <v>974.66789062500004</v>
      </c>
      <c r="H1185">
        <f t="shared" si="144"/>
        <v>5.3210812620818601E-2</v>
      </c>
      <c r="I1185">
        <f t="shared" si="145"/>
        <v>5.3843415033214589E-2</v>
      </c>
      <c r="J1185">
        <f t="shared" si="146"/>
        <v>5674.0025583101706</v>
      </c>
      <c r="K1185" s="5">
        <f t="shared" si="147"/>
        <v>1026.5307611205756</v>
      </c>
      <c r="L1185" s="5">
        <f t="shared" si="148"/>
        <v>5.1843415033214588E-2</v>
      </c>
    </row>
    <row r="1186" spans="2:12">
      <c r="B1186">
        <v>11.5078125</v>
      </c>
      <c r="C1186">
        <v>1.9205346470698701</v>
      </c>
      <c r="D1186">
        <v>48.726714843750003</v>
      </c>
      <c r="E1186" s="5">
        <f t="shared" si="142"/>
        <v>48726.71484375</v>
      </c>
      <c r="F1186" s="5">
        <v>0.53295132238417897</v>
      </c>
      <c r="G1186">
        <f t="shared" si="143"/>
        <v>974.534296875</v>
      </c>
      <c r="H1186">
        <f t="shared" si="144"/>
        <v>5.3295132238417899E-2</v>
      </c>
      <c r="I1186">
        <f t="shared" si="145"/>
        <v>5.3923471410790985E-2</v>
      </c>
      <c r="J1186">
        <f t="shared" si="146"/>
        <v>5682.7643285540189</v>
      </c>
      <c r="K1186" s="5">
        <f t="shared" si="147"/>
        <v>1026.4722310978266</v>
      </c>
      <c r="L1186" s="5">
        <f t="shared" si="148"/>
        <v>5.1923471410790983E-2</v>
      </c>
    </row>
    <row r="1187" spans="2:12">
      <c r="B1187">
        <v>11.517578125</v>
      </c>
      <c r="C1187">
        <v>1.92234222777188</v>
      </c>
      <c r="D1187">
        <v>48.720363281250002</v>
      </c>
      <c r="E1187" s="5">
        <f t="shared" si="142"/>
        <v>48720.36328125</v>
      </c>
      <c r="F1187" s="5">
        <v>0.53380796452984203</v>
      </c>
      <c r="G1187">
        <f t="shared" si="143"/>
        <v>974.40726562500004</v>
      </c>
      <c r="H1187">
        <f t="shared" si="144"/>
        <v>5.33807964529842E-2</v>
      </c>
      <c r="I1187">
        <f t="shared" si="145"/>
        <v>5.4004797839262375E-2</v>
      </c>
      <c r="J1187">
        <f t="shared" si="146"/>
        <v>5691.6650995180707</v>
      </c>
      <c r="K1187" s="5">
        <f t="shared" si="147"/>
        <v>1026.4219015336371</v>
      </c>
      <c r="L1187" s="5">
        <f t="shared" si="148"/>
        <v>5.2004797839262373E-2</v>
      </c>
    </row>
    <row r="1188" spans="2:12">
      <c r="B1188">
        <v>11.52734375</v>
      </c>
      <c r="C1188">
        <v>1.9244700670242301</v>
      </c>
      <c r="D1188">
        <v>48.735445312499998</v>
      </c>
      <c r="E1188" s="5">
        <f t="shared" si="142"/>
        <v>48735.4453125</v>
      </c>
      <c r="F1188" s="5">
        <v>0.53461897186934904</v>
      </c>
      <c r="G1188">
        <f t="shared" si="143"/>
        <v>974.70890625000004</v>
      </c>
      <c r="H1188">
        <f t="shared" si="144"/>
        <v>5.3461897186934906E-2</v>
      </c>
      <c r="I1188">
        <f t="shared" si="145"/>
        <v>5.4081785774086004E-2</v>
      </c>
      <c r="J1188">
        <f t="shared" si="146"/>
        <v>5700.0910440448424</v>
      </c>
      <c r="K1188" s="5">
        <f t="shared" si="147"/>
        <v>1026.8186935831275</v>
      </c>
      <c r="L1188" s="5">
        <f t="shared" si="148"/>
        <v>5.2081785774086002E-2</v>
      </c>
    </row>
    <row r="1189" spans="2:12">
      <c r="B1189">
        <v>11.537109375</v>
      </c>
      <c r="C1189">
        <v>1.9259526161477001</v>
      </c>
      <c r="D1189">
        <v>48.72405078125</v>
      </c>
      <c r="E1189" s="5">
        <f t="shared" si="142"/>
        <v>48724.05078125</v>
      </c>
      <c r="F1189" s="5">
        <v>0.53540966473519802</v>
      </c>
      <c r="G1189">
        <f t="shared" si="143"/>
        <v>974.48101562500005</v>
      </c>
      <c r="H1189">
        <f t="shared" si="144"/>
        <v>5.3540966473519802E-2</v>
      </c>
      <c r="I1189">
        <f t="shared" si="145"/>
        <v>5.4156839574900119E-2</v>
      </c>
      <c r="J1189">
        <f t="shared" si="146"/>
        <v>5708.3053072749435</v>
      </c>
      <c r="K1189" s="5">
        <f t="shared" si="147"/>
        <v>1026.6556710116597</v>
      </c>
      <c r="L1189" s="5">
        <f t="shared" si="148"/>
        <v>5.2156839574900117E-2</v>
      </c>
    </row>
    <row r="1190" spans="2:12">
      <c r="B1190">
        <v>11.546875</v>
      </c>
      <c r="C1190">
        <v>1.92763807717711</v>
      </c>
      <c r="D1190">
        <v>48.735023437499997</v>
      </c>
      <c r="E1190" s="5">
        <f t="shared" si="142"/>
        <v>48735.0234375</v>
      </c>
      <c r="F1190" s="5">
        <v>0.53626962471753403</v>
      </c>
      <c r="G1190">
        <f t="shared" si="143"/>
        <v>974.70046875000003</v>
      </c>
      <c r="H1190">
        <f t="shared" si="144"/>
        <v>5.36269624717534E-2</v>
      </c>
      <c r="I1190">
        <f t="shared" si="145"/>
        <v>5.4238461924120615E-2</v>
      </c>
      <c r="J1190">
        <f t="shared" si="146"/>
        <v>5717.2384652853807</v>
      </c>
      <c r="K1190" s="5">
        <f t="shared" si="147"/>
        <v>1026.9706942088567</v>
      </c>
      <c r="L1190" s="5">
        <f t="shared" si="148"/>
        <v>5.2238461924120613E-2</v>
      </c>
    </row>
    <row r="1191" spans="2:12">
      <c r="B1191">
        <v>11.556640625</v>
      </c>
      <c r="C1191">
        <v>1.9276529783383001</v>
      </c>
      <c r="D1191">
        <v>48.74815234375</v>
      </c>
      <c r="E1191" s="5">
        <f t="shared" si="142"/>
        <v>48748.15234375</v>
      </c>
      <c r="F1191" s="5">
        <v>0.53702219156548403</v>
      </c>
      <c r="G1191">
        <f t="shared" si="143"/>
        <v>974.96304687500003</v>
      </c>
      <c r="H1191">
        <f t="shared" si="144"/>
        <v>5.3702219156548402E-2</v>
      </c>
      <c r="I1191">
        <f t="shared" si="145"/>
        <v>5.43098856821961E-2</v>
      </c>
      <c r="J1191">
        <f t="shared" si="146"/>
        <v>5725.0554384879524</v>
      </c>
      <c r="K1191" s="5">
        <f t="shared" si="147"/>
        <v>1027.3207260878175</v>
      </c>
      <c r="L1191" s="5">
        <f t="shared" si="148"/>
        <v>5.2309885682196099E-2</v>
      </c>
    </row>
    <row r="1192" spans="2:12">
      <c r="B1192">
        <v>11.56640625</v>
      </c>
      <c r="C1192">
        <v>1.9317626720294401</v>
      </c>
      <c r="D1192">
        <v>48.727636718749999</v>
      </c>
      <c r="E1192" s="5">
        <f t="shared" si="142"/>
        <v>48727.63671875</v>
      </c>
      <c r="F1192" s="5">
        <v>0.53788034711033095</v>
      </c>
      <c r="G1192">
        <f t="shared" si="143"/>
        <v>974.552734375</v>
      </c>
      <c r="H1192">
        <f t="shared" si="144"/>
        <v>5.3788034711033092E-2</v>
      </c>
      <c r="I1192">
        <f t="shared" si="145"/>
        <v>5.4391324307475314E-2</v>
      </c>
      <c r="J1192">
        <f t="shared" si="146"/>
        <v>5733.9684888316351</v>
      </c>
      <c r="K1192" s="5">
        <f t="shared" si="147"/>
        <v>1026.9720106792947</v>
      </c>
      <c r="L1192" s="5">
        <f t="shared" si="148"/>
        <v>5.2391324307475312E-2</v>
      </c>
    </row>
    <row r="1193" spans="2:12">
      <c r="B1193">
        <v>11.576171875</v>
      </c>
      <c r="C1193">
        <v>1.9338474376127099</v>
      </c>
      <c r="D1193">
        <v>48.720402343750003</v>
      </c>
      <c r="E1193" s="5">
        <f t="shared" si="142"/>
        <v>48720.40234375</v>
      </c>
      <c r="F1193" s="5">
        <v>0.53866190137341596</v>
      </c>
      <c r="G1193">
        <f t="shared" si="143"/>
        <v>974.40804687499997</v>
      </c>
      <c r="H1193">
        <f t="shared" si="144"/>
        <v>5.3866190137341598E-2</v>
      </c>
      <c r="I1193">
        <f t="shared" si="145"/>
        <v>5.4465487730889751E-2</v>
      </c>
      <c r="J1193">
        <f t="shared" si="146"/>
        <v>5742.0853047072287</v>
      </c>
      <c r="K1193" s="5">
        <f t="shared" si="147"/>
        <v>1026.8956959993243</v>
      </c>
      <c r="L1193" s="5">
        <f t="shared" si="148"/>
        <v>5.246548773088975E-2</v>
      </c>
    </row>
    <row r="1194" spans="2:12">
      <c r="B1194">
        <v>11.5859375</v>
      </c>
      <c r="C1194">
        <v>1.93440320435911</v>
      </c>
      <c r="D1194">
        <v>48.707656249999999</v>
      </c>
      <c r="E1194" s="5">
        <f t="shared" si="142"/>
        <v>48707.65625</v>
      </c>
      <c r="F1194" s="5">
        <v>0.53940759971737895</v>
      </c>
      <c r="G1194">
        <f t="shared" si="143"/>
        <v>974.15312500000005</v>
      </c>
      <c r="H1194">
        <f t="shared" si="144"/>
        <v>5.3940759971737896E-2</v>
      </c>
      <c r="I1194">
        <f t="shared" si="145"/>
        <v>5.45362435792121E-2</v>
      </c>
      <c r="J1194">
        <f t="shared" si="146"/>
        <v>5749.8291785268684</v>
      </c>
      <c r="K1194" s="5">
        <f t="shared" si="147"/>
        <v>1026.6996848913434</v>
      </c>
      <c r="L1194" s="5">
        <f t="shared" si="148"/>
        <v>5.2536243579212098E-2</v>
      </c>
    </row>
    <row r="1195" spans="2:12">
      <c r="B1195">
        <v>11.595703125</v>
      </c>
      <c r="C1195">
        <v>1.9349529175087801</v>
      </c>
      <c r="D1195">
        <v>48.702269531250003</v>
      </c>
      <c r="E1195" s="5">
        <f t="shared" si="142"/>
        <v>48702.26953125</v>
      </c>
      <c r="F1195" s="5">
        <v>0.54018176160752795</v>
      </c>
      <c r="G1195">
        <f t="shared" si="143"/>
        <v>974.04539062499998</v>
      </c>
      <c r="H1195">
        <f t="shared" si="144"/>
        <v>5.4018176160752794E-2</v>
      </c>
      <c r="I1195">
        <f t="shared" si="145"/>
        <v>5.460969490477896E-2</v>
      </c>
      <c r="J1195">
        <f t="shared" si="146"/>
        <v>5757.8680588535335</v>
      </c>
      <c r="K1195" s="5">
        <f t="shared" si="147"/>
        <v>1026.6615461243505</v>
      </c>
      <c r="L1195" s="5">
        <f t="shared" si="148"/>
        <v>5.2609694904778959E-2</v>
      </c>
    </row>
    <row r="1196" spans="2:12">
      <c r="B1196">
        <v>11.60546875</v>
      </c>
      <c r="C1196">
        <v>1.93692150060087</v>
      </c>
      <c r="D1196">
        <v>48.715390624999998</v>
      </c>
      <c r="E1196" s="5">
        <f t="shared" si="142"/>
        <v>48715.390625</v>
      </c>
      <c r="F1196" s="5">
        <v>0.54099393310025301</v>
      </c>
      <c r="G1196">
        <f t="shared" si="143"/>
        <v>974.30781249999995</v>
      </c>
      <c r="H1196">
        <f t="shared" si="144"/>
        <v>5.40993933100253E-2</v>
      </c>
      <c r="I1196">
        <f t="shared" si="145"/>
        <v>5.4686746726260747E-2</v>
      </c>
      <c r="J1196">
        <f t="shared" si="146"/>
        <v>5766.3009954556073</v>
      </c>
      <c r="K1196" s="5">
        <f t="shared" si="147"/>
        <v>1027.0172740534679</v>
      </c>
      <c r="L1196" s="5">
        <f t="shared" si="148"/>
        <v>5.2686746726260746E-2</v>
      </c>
    </row>
    <row r="1197" spans="2:12">
      <c r="B1197">
        <v>11.615234375</v>
      </c>
      <c r="C1197">
        <v>1.9391715759411501</v>
      </c>
      <c r="D1197">
        <v>48.709316406249997</v>
      </c>
      <c r="E1197" s="5">
        <f t="shared" si="142"/>
        <v>48709.31640625</v>
      </c>
      <c r="F1197" s="5">
        <v>0.541827525012195</v>
      </c>
      <c r="G1197">
        <f t="shared" si="143"/>
        <v>974.18632812500005</v>
      </c>
      <c r="H1197">
        <f t="shared" si="144"/>
        <v>5.4182752501219497E-2</v>
      </c>
      <c r="I1197">
        <f t="shared" si="145"/>
        <v>5.4765824558801551E-2</v>
      </c>
      <c r="J1197">
        <f t="shared" si="146"/>
        <v>5774.9556688380353</v>
      </c>
      <c r="K1197" s="5">
        <f t="shared" si="147"/>
        <v>1026.9704248318687</v>
      </c>
      <c r="L1197" s="5">
        <f t="shared" si="148"/>
        <v>5.276582455880155E-2</v>
      </c>
    </row>
    <row r="1198" spans="2:12">
      <c r="B1198">
        <v>11.625</v>
      </c>
      <c r="C1198">
        <v>1.94074970204383</v>
      </c>
      <c r="D1198">
        <v>48.720171874999998</v>
      </c>
      <c r="E1198" s="5">
        <f t="shared" si="142"/>
        <v>48720.171875</v>
      </c>
      <c r="F1198" s="5">
        <v>0.54260832257568803</v>
      </c>
      <c r="G1198">
        <f t="shared" si="143"/>
        <v>974.4034375</v>
      </c>
      <c r="H1198">
        <f t="shared" si="144"/>
        <v>5.4260832257568802E-2</v>
      </c>
      <c r="I1198">
        <f t="shared" si="145"/>
        <v>5.4839888438859272E-2</v>
      </c>
      <c r="J1198">
        <f t="shared" si="146"/>
        <v>5783.0615901909532</v>
      </c>
      <c r="K1198" s="5">
        <f t="shared" si="147"/>
        <v>1027.2753789733858</v>
      </c>
      <c r="L1198" s="5">
        <f t="shared" si="148"/>
        <v>5.283988843885927E-2</v>
      </c>
    </row>
    <row r="1199" spans="2:12">
      <c r="B1199">
        <v>11.634765625</v>
      </c>
      <c r="C1199">
        <v>1.94299360737205</v>
      </c>
      <c r="D1199">
        <v>48.714199218749997</v>
      </c>
      <c r="E1199" s="5">
        <f t="shared" si="142"/>
        <v>48714.19921875</v>
      </c>
      <c r="F1199" s="5">
        <v>0.54343556985259101</v>
      </c>
      <c r="G1199">
        <f t="shared" si="143"/>
        <v>974.28398437500005</v>
      </c>
      <c r="H1199">
        <f t="shared" si="144"/>
        <v>5.4343556985259098E-2</v>
      </c>
      <c r="I1199">
        <f t="shared" si="145"/>
        <v>5.4918352401236173E-2</v>
      </c>
      <c r="J1199">
        <f t="shared" si="146"/>
        <v>5791.6490785532924</v>
      </c>
      <c r="K1199" s="5">
        <f t="shared" si="147"/>
        <v>1027.2300415997081</v>
      </c>
      <c r="L1199" s="5">
        <f t="shared" si="148"/>
        <v>5.2918352401236171E-2</v>
      </c>
    </row>
    <row r="1200" spans="2:12">
      <c r="B1200">
        <v>11.64453125</v>
      </c>
      <c r="C1200">
        <v>1.94343621842563</v>
      </c>
      <c r="D1200">
        <v>48.703363281249999</v>
      </c>
      <c r="E1200" s="5">
        <f t="shared" si="142"/>
        <v>48703.36328125</v>
      </c>
      <c r="F1200" s="5">
        <v>0.54428714793175503</v>
      </c>
      <c r="G1200">
        <f t="shared" si="143"/>
        <v>974.067265625</v>
      </c>
      <c r="H1200">
        <f t="shared" si="144"/>
        <v>5.4428714793175501E-2</v>
      </c>
      <c r="I1200">
        <f t="shared" si="145"/>
        <v>5.4999117696856149E-2</v>
      </c>
      <c r="J1200">
        <f t="shared" si="146"/>
        <v>5800.4884363324209</v>
      </c>
      <c r="K1200" s="5">
        <f t="shared" si="147"/>
        <v>1027.0844950150715</v>
      </c>
      <c r="L1200" s="5">
        <f t="shared" si="148"/>
        <v>5.2999117696856148E-2</v>
      </c>
    </row>
    <row r="1201" spans="2:12">
      <c r="B1201">
        <v>11.654296875</v>
      </c>
      <c r="C1201">
        <v>1.9455685978755399</v>
      </c>
      <c r="D1201">
        <v>48.712601562499998</v>
      </c>
      <c r="E1201" s="5">
        <f t="shared" si="142"/>
        <v>48712.6015625</v>
      </c>
      <c r="F1201" s="5">
        <v>0.54501055274158705</v>
      </c>
      <c r="G1201">
        <f t="shared" si="143"/>
        <v>974.25203124999996</v>
      </c>
      <c r="H1201">
        <f t="shared" si="144"/>
        <v>5.4501055274158702E-2</v>
      </c>
      <c r="I1201">
        <f t="shared" si="145"/>
        <v>5.5067721670339173E-2</v>
      </c>
      <c r="J1201">
        <f t="shared" si="146"/>
        <v>5807.9967982102708</v>
      </c>
      <c r="K1201" s="5">
        <f t="shared" si="147"/>
        <v>1027.3497950561175</v>
      </c>
      <c r="L1201" s="5">
        <f t="shared" si="148"/>
        <v>5.3067721670339171E-2</v>
      </c>
    </row>
    <row r="1202" spans="2:12">
      <c r="B1202">
        <v>11.6640625</v>
      </c>
      <c r="C1202">
        <v>1.94642541464418</v>
      </c>
      <c r="D1202">
        <v>48.709324218749998</v>
      </c>
      <c r="E1202" s="5">
        <f t="shared" si="142"/>
        <v>48709.32421875</v>
      </c>
      <c r="F1202" s="5">
        <v>0.54572336375713304</v>
      </c>
      <c r="G1202">
        <f t="shared" si="143"/>
        <v>974.18648437499996</v>
      </c>
      <c r="H1202">
        <f t="shared" si="144"/>
        <v>5.4572336375713307E-2</v>
      </c>
      <c r="I1202">
        <f t="shared" si="145"/>
        <v>5.5135316379811096E-2</v>
      </c>
      <c r="J1202">
        <f t="shared" si="146"/>
        <v>5815.3947011884256</v>
      </c>
      <c r="K1202" s="5">
        <f t="shared" si="147"/>
        <v>1027.3501168929861</v>
      </c>
      <c r="L1202" s="5">
        <f t="shared" si="148"/>
        <v>5.3135316379811094E-2</v>
      </c>
    </row>
    <row r="1203" spans="2:12">
      <c r="B1203">
        <v>11.673828125</v>
      </c>
      <c r="C1203">
        <v>1.9486009841784799</v>
      </c>
      <c r="D1203">
        <v>48.712382812500003</v>
      </c>
      <c r="E1203" s="5">
        <f t="shared" si="142"/>
        <v>48712.3828125</v>
      </c>
      <c r="F1203" s="5">
        <v>0.54662348702549901</v>
      </c>
      <c r="G1203">
        <f t="shared" si="143"/>
        <v>974.24765624999998</v>
      </c>
      <c r="H1203">
        <f t="shared" si="144"/>
        <v>5.46623487025499E-2</v>
      </c>
      <c r="I1203">
        <f t="shared" si="145"/>
        <v>5.5220667078363532E-2</v>
      </c>
      <c r="J1203">
        <f t="shared" si="146"/>
        <v>5824.7359083914962</v>
      </c>
      <c r="K1203" s="5">
        <f t="shared" si="147"/>
        <v>1027.5023213585794</v>
      </c>
      <c r="L1203" s="5">
        <f t="shared" si="148"/>
        <v>5.322066707836353E-2</v>
      </c>
    </row>
    <row r="1204" spans="2:12">
      <c r="B1204">
        <v>11.68359375</v>
      </c>
      <c r="C1204">
        <v>1.95010902825743</v>
      </c>
      <c r="D1204">
        <v>48.70458984375</v>
      </c>
      <c r="E1204" s="5">
        <f t="shared" si="142"/>
        <v>48704.58984375</v>
      </c>
      <c r="F1204" s="5">
        <v>0.54730527335777901</v>
      </c>
      <c r="G1204">
        <f t="shared" si="143"/>
        <v>974.091796875</v>
      </c>
      <c r="H1204">
        <f t="shared" si="144"/>
        <v>5.47305273357779E-2</v>
      </c>
      <c r="I1204">
        <f t="shared" si="145"/>
        <v>5.5285309975403873E-2</v>
      </c>
      <c r="J1204">
        <f t="shared" si="146"/>
        <v>5831.810750258077</v>
      </c>
      <c r="K1204" s="5">
        <f t="shared" si="147"/>
        <v>1027.4043545914242</v>
      </c>
      <c r="L1204" s="5">
        <f t="shared" si="148"/>
        <v>5.3285309975403872E-2</v>
      </c>
    </row>
    <row r="1205" spans="2:12">
      <c r="B1205">
        <v>11.693359375</v>
      </c>
      <c r="C1205">
        <v>1.95139192510396</v>
      </c>
      <c r="D1205">
        <v>48.687125000000002</v>
      </c>
      <c r="E1205" s="5">
        <f t="shared" si="142"/>
        <v>48687.125</v>
      </c>
      <c r="F1205" s="5">
        <v>0.54818816715851404</v>
      </c>
      <c r="G1205">
        <f t="shared" si="143"/>
        <v>973.74249999999995</v>
      </c>
      <c r="H1205">
        <f t="shared" si="144"/>
        <v>5.4818816715851405E-2</v>
      </c>
      <c r="I1205">
        <f t="shared" si="145"/>
        <v>5.5369014469327231E-2</v>
      </c>
      <c r="J1205">
        <f t="shared" si="146"/>
        <v>5840.9717885955188</v>
      </c>
      <c r="K1205" s="5">
        <f t="shared" si="147"/>
        <v>1027.1219116359348</v>
      </c>
      <c r="L1205" s="5">
        <f t="shared" si="148"/>
        <v>5.3369014469327229E-2</v>
      </c>
    </row>
    <row r="1206" spans="2:12">
      <c r="B1206">
        <v>11.703125</v>
      </c>
      <c r="C1206">
        <v>1.95377925410867</v>
      </c>
      <c r="D1206">
        <v>48.70825390625</v>
      </c>
      <c r="E1206" s="5">
        <f t="shared" si="142"/>
        <v>48708.25390625</v>
      </c>
      <c r="F1206" s="5">
        <v>0.54895970970392205</v>
      </c>
      <c r="G1206">
        <f t="shared" si="143"/>
        <v>974.16507812500004</v>
      </c>
      <c r="H1206">
        <f t="shared" si="144"/>
        <v>5.4895970970392206E-2</v>
      </c>
      <c r="I1206">
        <f t="shared" si="145"/>
        <v>5.5442156350898643E-2</v>
      </c>
      <c r="J1206">
        <f t="shared" si="146"/>
        <v>5848.976801824102</v>
      </c>
      <c r="K1206" s="5">
        <f t="shared" si="147"/>
        <v>1027.6428159741199</v>
      </c>
      <c r="L1206" s="5">
        <f t="shared" si="148"/>
        <v>5.3442156350898641E-2</v>
      </c>
    </row>
    <row r="1207" spans="2:12">
      <c r="B1207">
        <v>11.712890625</v>
      </c>
      <c r="C1207">
        <v>1.9540146458894001</v>
      </c>
      <c r="D1207">
        <v>48.7029140625</v>
      </c>
      <c r="E1207" s="5">
        <f t="shared" si="142"/>
        <v>48702.9140625</v>
      </c>
      <c r="F1207" s="5">
        <v>0.54969417396932796</v>
      </c>
      <c r="G1207">
        <f t="shared" si="143"/>
        <v>974.05828125000005</v>
      </c>
      <c r="H1207">
        <f t="shared" si="144"/>
        <v>5.4969417396932799E-2</v>
      </c>
      <c r="I1207">
        <f t="shared" si="145"/>
        <v>5.5511778258509642E-2</v>
      </c>
      <c r="J1207">
        <f t="shared" si="146"/>
        <v>5856.5965715025877</v>
      </c>
      <c r="K1207" s="5">
        <f t="shared" si="147"/>
        <v>1027.6016974809704</v>
      </c>
      <c r="L1207" s="5">
        <f t="shared" si="148"/>
        <v>5.351177825850964E-2</v>
      </c>
    </row>
    <row r="1208" spans="2:12">
      <c r="B1208">
        <v>11.72265625</v>
      </c>
      <c r="C1208">
        <v>1.9553154706955</v>
      </c>
      <c r="D1208">
        <v>48.694820312499999</v>
      </c>
      <c r="E1208" s="5">
        <f t="shared" si="142"/>
        <v>48694.8203125</v>
      </c>
      <c r="F1208" s="5">
        <v>0.550614204257727</v>
      </c>
      <c r="G1208">
        <f t="shared" si="143"/>
        <v>973.89640625000004</v>
      </c>
      <c r="H1208">
        <f t="shared" si="144"/>
        <v>5.5061420425772702E-2</v>
      </c>
      <c r="I1208">
        <f t="shared" si="145"/>
        <v>5.559898364645844E-2</v>
      </c>
      <c r="J1208">
        <f t="shared" si="146"/>
        <v>5866.1407651866439</v>
      </c>
      <c r="K1208" s="5">
        <f t="shared" si="147"/>
        <v>1027.5205257256805</v>
      </c>
      <c r="L1208" s="5">
        <f t="shared" si="148"/>
        <v>5.3598983646458438E-2</v>
      </c>
    </row>
    <row r="1209" spans="2:12">
      <c r="B1209">
        <v>11.732421875</v>
      </c>
      <c r="C1209">
        <v>1.9577518105506899</v>
      </c>
      <c r="D1209">
        <v>48.709207031250003</v>
      </c>
      <c r="E1209" s="5">
        <f t="shared" si="142"/>
        <v>48709.20703125</v>
      </c>
      <c r="F1209" s="5">
        <v>0.55132922716438804</v>
      </c>
      <c r="G1209">
        <f t="shared" si="143"/>
        <v>974.18414062500005</v>
      </c>
      <c r="H1209">
        <f t="shared" si="144"/>
        <v>5.5132922716438805E-2</v>
      </c>
      <c r="I1209">
        <f t="shared" si="145"/>
        <v>5.5666752087716792E-2</v>
      </c>
      <c r="J1209">
        <f t="shared" si="146"/>
        <v>5873.5576822401645</v>
      </c>
      <c r="K1209" s="5">
        <f t="shared" si="147"/>
        <v>1027.8937595616585</v>
      </c>
      <c r="L1209" s="5">
        <f t="shared" si="148"/>
        <v>5.366675208771679E-2</v>
      </c>
    </row>
    <row r="1210" spans="2:12">
      <c r="B1210">
        <v>11.7421875</v>
      </c>
      <c r="C1210">
        <v>1.95926870219409</v>
      </c>
      <c r="D1210">
        <v>48.685875000000003</v>
      </c>
      <c r="E1210" s="5">
        <f t="shared" si="142"/>
        <v>48685.875</v>
      </c>
      <c r="F1210" s="5">
        <v>0.55205175885930702</v>
      </c>
      <c r="G1210">
        <f t="shared" si="143"/>
        <v>973.71749999999997</v>
      </c>
      <c r="H1210">
        <f t="shared" si="144"/>
        <v>5.5205175885930699E-2</v>
      </c>
      <c r="I1210">
        <f t="shared" si="145"/>
        <v>5.5735227532071392E-2</v>
      </c>
      <c r="J1210">
        <f t="shared" si="146"/>
        <v>5881.0519772475536</v>
      </c>
      <c r="K1210" s="5">
        <f t="shared" si="147"/>
        <v>1027.4717458507087</v>
      </c>
      <c r="L1210" s="5">
        <f t="shared" si="148"/>
        <v>5.373522753207139E-2</v>
      </c>
    </row>
    <row r="1211" spans="2:12">
      <c r="B1211">
        <v>11.751953125</v>
      </c>
      <c r="C1211">
        <v>1.96065451018512</v>
      </c>
      <c r="D1211">
        <v>48.711886718750002</v>
      </c>
      <c r="E1211" s="5">
        <f t="shared" si="142"/>
        <v>48711.88671875</v>
      </c>
      <c r="F1211" s="5">
        <v>0.55300863459706295</v>
      </c>
      <c r="G1211">
        <f t="shared" si="143"/>
        <v>974.23773437499995</v>
      </c>
      <c r="H1211">
        <f t="shared" si="144"/>
        <v>5.5300863459706293E-2</v>
      </c>
      <c r="I1211">
        <f t="shared" si="145"/>
        <v>5.5825904907124899E-2</v>
      </c>
      <c r="J1211">
        <f t="shared" si="146"/>
        <v>5890.9761625602841</v>
      </c>
      <c r="K1211" s="5">
        <f t="shared" si="147"/>
        <v>1028.1139223009654</v>
      </c>
      <c r="L1211" s="5">
        <f t="shared" si="148"/>
        <v>5.3825904907124897E-2</v>
      </c>
    </row>
    <row r="1212" spans="2:12">
      <c r="B1212">
        <v>11.76171875</v>
      </c>
      <c r="C1212">
        <v>1.96243217214942</v>
      </c>
      <c r="D1212">
        <v>48.720503906250002</v>
      </c>
      <c r="E1212" s="5">
        <f t="shared" si="142"/>
        <v>48720.50390625</v>
      </c>
      <c r="F1212" s="5">
        <v>0.55377057287842002</v>
      </c>
      <c r="G1212">
        <f t="shared" si="143"/>
        <v>974.41007812500004</v>
      </c>
      <c r="H1212">
        <f t="shared" si="144"/>
        <v>5.5377057287842001E-2</v>
      </c>
      <c r="I1212">
        <f t="shared" si="145"/>
        <v>5.5898103348601784E-2</v>
      </c>
      <c r="J1212">
        <f t="shared" si="146"/>
        <v>5898.8779209877221</v>
      </c>
      <c r="K1212" s="5">
        <f t="shared" si="147"/>
        <v>1028.3700408431789</v>
      </c>
      <c r="L1212" s="5">
        <f t="shared" si="148"/>
        <v>5.3898103348601782E-2</v>
      </c>
    </row>
    <row r="1213" spans="2:12">
      <c r="B1213">
        <v>11.771484375</v>
      </c>
      <c r="C1213">
        <v>1.96511880494654</v>
      </c>
      <c r="D1213">
        <v>48.721449218750003</v>
      </c>
      <c r="E1213" s="5">
        <f t="shared" si="142"/>
        <v>48721.44921875</v>
      </c>
      <c r="F1213" s="5">
        <v>0.55459659779444304</v>
      </c>
      <c r="G1213">
        <f t="shared" si="143"/>
        <v>974.42898437500003</v>
      </c>
      <c r="H1213">
        <f t="shared" si="144"/>
        <v>5.5459659779444302E-2</v>
      </c>
      <c r="I1213">
        <f t="shared" si="145"/>
        <v>5.5976368513288924E-2</v>
      </c>
      <c r="J1213">
        <f t="shared" si="146"/>
        <v>5907.4436519369065</v>
      </c>
      <c r="K1213" s="5">
        <f t="shared" si="147"/>
        <v>1028.470484327667</v>
      </c>
      <c r="L1213" s="5">
        <f t="shared" si="148"/>
        <v>5.3976368513288922E-2</v>
      </c>
    </row>
    <row r="1214" spans="2:12">
      <c r="B1214">
        <v>11.78125</v>
      </c>
      <c r="C1214">
        <v>1.9673735368996901</v>
      </c>
      <c r="D1214">
        <v>48.742960937500001</v>
      </c>
      <c r="E1214" s="5">
        <f t="shared" si="142"/>
        <v>48742.9609375</v>
      </c>
      <c r="F1214" s="5">
        <v>0.55546493967995003</v>
      </c>
      <c r="G1214">
        <f t="shared" si="143"/>
        <v>974.85921874999997</v>
      </c>
      <c r="H1214">
        <f t="shared" si="144"/>
        <v>5.5546493967995006E-2</v>
      </c>
      <c r="I1214">
        <f t="shared" si="145"/>
        <v>5.6058636571527917E-2</v>
      </c>
      <c r="J1214">
        <f t="shared" si="146"/>
        <v>5916.4474795708729</v>
      </c>
      <c r="K1214" s="5">
        <f t="shared" si="147"/>
        <v>1029.0092304639411</v>
      </c>
      <c r="L1214" s="5">
        <f t="shared" si="148"/>
        <v>5.4058636571527915E-2</v>
      </c>
    </row>
    <row r="1215" spans="2:12">
      <c r="B1215">
        <v>11.791015625</v>
      </c>
      <c r="C1215">
        <v>1.96793070062995</v>
      </c>
      <c r="D1215">
        <v>48.732042968750001</v>
      </c>
      <c r="E1215" s="5">
        <f t="shared" si="142"/>
        <v>48732.04296875</v>
      </c>
      <c r="F1215" s="5">
        <v>0.55624102242290996</v>
      </c>
      <c r="G1215">
        <f t="shared" si="143"/>
        <v>974.64085937499999</v>
      </c>
      <c r="H1215">
        <f t="shared" si="144"/>
        <v>5.5624102242290994E-2</v>
      </c>
      <c r="I1215">
        <f t="shared" si="145"/>
        <v>5.6132158128213296E-2</v>
      </c>
      <c r="J1215">
        <f t="shared" si="146"/>
        <v>5924.4940463423036</v>
      </c>
      <c r="K1215" s="5">
        <f t="shared" si="147"/>
        <v>1028.8543821863893</v>
      </c>
      <c r="L1215" s="5">
        <f t="shared" si="148"/>
        <v>5.4132158128213294E-2</v>
      </c>
    </row>
    <row r="1216" spans="2:12">
      <c r="B1216">
        <v>11.80078125</v>
      </c>
      <c r="C1216">
        <v>1.9682243000716</v>
      </c>
      <c r="D1216">
        <v>48.738296875000003</v>
      </c>
      <c r="E1216" s="5">
        <f t="shared" si="142"/>
        <v>48738.296875</v>
      </c>
      <c r="F1216" s="5">
        <v>0.55708305444568396</v>
      </c>
      <c r="G1216">
        <f t="shared" si="143"/>
        <v>974.76593749999995</v>
      </c>
      <c r="H1216">
        <f t="shared" si="144"/>
        <v>5.5708305444568396E-2</v>
      </c>
      <c r="I1216">
        <f t="shared" si="145"/>
        <v>5.6211921221902855E-2</v>
      </c>
      <c r="J1216">
        <f t="shared" si="146"/>
        <v>5933.2237181311575</v>
      </c>
      <c r="K1216" s="5">
        <f t="shared" si="147"/>
        <v>1029.0684960832109</v>
      </c>
      <c r="L1216" s="5">
        <f t="shared" si="148"/>
        <v>5.4211921221902853E-2</v>
      </c>
    </row>
    <row r="1217" spans="2:12">
      <c r="B1217">
        <v>11.810546875</v>
      </c>
      <c r="C1217">
        <v>1.9719183910638101</v>
      </c>
      <c r="D1217">
        <v>48.748863281250003</v>
      </c>
      <c r="E1217" s="5">
        <f t="shared" si="142"/>
        <v>48748.86328125</v>
      </c>
      <c r="F1217" s="5">
        <v>0.55791338672861501</v>
      </c>
      <c r="G1217">
        <f t="shared" si="143"/>
        <v>974.97726562499997</v>
      </c>
      <c r="H1217">
        <f t="shared" si="144"/>
        <v>5.5791338672861499E-2</v>
      </c>
      <c r="I1217">
        <f t="shared" si="145"/>
        <v>5.629056980568755E-2</v>
      </c>
      <c r="J1217">
        <f t="shared" si="146"/>
        <v>5941.8314123834734</v>
      </c>
      <c r="K1217" s="5">
        <f t="shared" si="147"/>
        <v>1029.3725524498248</v>
      </c>
      <c r="L1217" s="5">
        <f t="shared" si="148"/>
        <v>5.4290569805687548E-2</v>
      </c>
    </row>
    <row r="1218" spans="2:12">
      <c r="B1218">
        <v>11.8203125</v>
      </c>
      <c r="C1218">
        <v>1.9726515747606801</v>
      </c>
      <c r="D1218">
        <v>48.736609375</v>
      </c>
      <c r="E1218" s="5">
        <f t="shared" si="142"/>
        <v>48736.609375</v>
      </c>
      <c r="F1218" s="5">
        <v>0.55874168174341299</v>
      </c>
      <c r="G1218">
        <f t="shared" si="143"/>
        <v>974.73218750000001</v>
      </c>
      <c r="H1218">
        <f t="shared" si="144"/>
        <v>5.58741681743413E-2</v>
      </c>
      <c r="I1218">
        <f t="shared" si="145"/>
        <v>5.6369019258267768E-2</v>
      </c>
      <c r="J1218">
        <f t="shared" si="146"/>
        <v>5950.4173127211152</v>
      </c>
      <c r="K1218" s="5">
        <f t="shared" si="147"/>
        <v>1029.1945376693186</v>
      </c>
      <c r="L1218" s="5">
        <f t="shared" si="148"/>
        <v>5.4369019258267766E-2</v>
      </c>
    </row>
    <row r="1219" spans="2:12">
      <c r="B1219">
        <v>11.830078125</v>
      </c>
      <c r="C1219">
        <v>1.97760155424476</v>
      </c>
      <c r="D1219">
        <v>48.728015624999998</v>
      </c>
      <c r="E1219" s="5">
        <f t="shared" si="142"/>
        <v>48728.015625</v>
      </c>
      <c r="F1219" s="5">
        <v>0.55957620497793004</v>
      </c>
      <c r="G1219">
        <f t="shared" si="143"/>
        <v>974.56031250000001</v>
      </c>
      <c r="H1219">
        <f t="shared" si="144"/>
        <v>5.5957620497793001E-2</v>
      </c>
      <c r="I1219">
        <f t="shared" si="145"/>
        <v>5.6448052374392557E-2</v>
      </c>
      <c r="J1219">
        <f t="shared" si="146"/>
        <v>5959.0670921153933</v>
      </c>
      <c r="K1219" s="5">
        <f t="shared" si="147"/>
        <v>1029.0943886190855</v>
      </c>
      <c r="L1219" s="5">
        <f t="shared" si="148"/>
        <v>5.4448052374392555E-2</v>
      </c>
    </row>
    <row r="1220" spans="2:12">
      <c r="B1220">
        <v>11.83984375</v>
      </c>
      <c r="C1220">
        <v>1.9787668716162401</v>
      </c>
      <c r="D1220">
        <v>48.726988281250001</v>
      </c>
      <c r="E1220" s="5">
        <f t="shared" si="142"/>
        <v>48726.98828125</v>
      </c>
      <c r="F1220" s="5">
        <v>0.56035915622487698</v>
      </c>
      <c r="G1220">
        <f t="shared" si="143"/>
        <v>974.53976562499997</v>
      </c>
      <c r="H1220">
        <f t="shared" si="144"/>
        <v>5.6035915622487699E-2</v>
      </c>
      <c r="I1220">
        <f t="shared" si="145"/>
        <v>5.6522195711852199E-2</v>
      </c>
      <c r="J1220">
        <f t="shared" si="146"/>
        <v>5967.1817096836639</v>
      </c>
      <c r="K1220" s="5">
        <f t="shared" si="147"/>
        <v>1029.1489937023214</v>
      </c>
      <c r="L1220" s="5">
        <f t="shared" si="148"/>
        <v>5.4522195711852198E-2</v>
      </c>
    </row>
    <row r="1221" spans="2:12">
      <c r="B1221">
        <v>11.849609375</v>
      </c>
      <c r="C1221">
        <v>1.97831401601434</v>
      </c>
      <c r="D1221">
        <v>48.716863281249999</v>
      </c>
      <c r="E1221" s="5">
        <f t="shared" si="142"/>
        <v>48716.86328125</v>
      </c>
      <c r="F1221" s="5">
        <v>0.56112790480256103</v>
      </c>
      <c r="G1221">
        <f t="shared" si="143"/>
        <v>974.33726562499999</v>
      </c>
      <c r="H1221">
        <f t="shared" si="144"/>
        <v>5.6112790480256101E-2</v>
      </c>
      <c r="I1221">
        <f t="shared" si="145"/>
        <v>5.6594988747285968E-2</v>
      </c>
      <c r="J1221">
        <f t="shared" si="146"/>
        <v>5975.1485434467122</v>
      </c>
      <c r="K1221" s="5">
        <f t="shared" si="147"/>
        <v>1029.0100484681211</v>
      </c>
      <c r="L1221" s="5">
        <f t="shared" si="148"/>
        <v>5.4594988747285966E-2</v>
      </c>
    </row>
    <row r="1222" spans="2:12">
      <c r="B1222">
        <v>11.859375</v>
      </c>
      <c r="C1222">
        <v>1.98005442507565</v>
      </c>
      <c r="D1222">
        <v>48.742039062499998</v>
      </c>
      <c r="E1222" s="5">
        <f t="shared" si="142"/>
        <v>48742.0390625</v>
      </c>
      <c r="F1222" s="5">
        <v>0.56202610721811697</v>
      </c>
      <c r="G1222">
        <f t="shared" si="143"/>
        <v>974.84078124999996</v>
      </c>
      <c r="H1222">
        <f t="shared" si="144"/>
        <v>5.6202610721811694E-2</v>
      </c>
      <c r="I1222">
        <f t="shared" si="145"/>
        <v>5.6680033093938549E-2</v>
      </c>
      <c r="J1222">
        <f t="shared" si="146"/>
        <v>5984.4562219661047</v>
      </c>
      <c r="K1222" s="5">
        <f t="shared" si="147"/>
        <v>1029.6293781943405</v>
      </c>
      <c r="L1222" s="5">
        <f t="shared" si="148"/>
        <v>5.4680033093938547E-2</v>
      </c>
    </row>
    <row r="1223" spans="2:12">
      <c r="B1223">
        <v>11.869140625</v>
      </c>
      <c r="C1223">
        <v>1.9813091494143</v>
      </c>
      <c r="D1223">
        <v>48.733332031250001</v>
      </c>
      <c r="E1223" s="5">
        <f t="shared" si="142"/>
        <v>48733.33203125</v>
      </c>
      <c r="F1223" s="5">
        <v>0.56285120081156503</v>
      </c>
      <c r="G1223">
        <f t="shared" si="143"/>
        <v>974.66664062500001</v>
      </c>
      <c r="H1223">
        <f t="shared" si="144"/>
        <v>5.6285120081156506E-2</v>
      </c>
      <c r="I1223">
        <f t="shared" si="145"/>
        <v>5.67581489174614E-2</v>
      </c>
      <c r="J1223">
        <f t="shared" si="146"/>
        <v>5993.0056082715628</v>
      </c>
      <c r="K1223" s="5">
        <f t="shared" si="147"/>
        <v>1029.5258695316757</v>
      </c>
      <c r="L1223" s="5">
        <f t="shared" si="148"/>
        <v>5.4758148917461398E-2</v>
      </c>
    </row>
    <row r="1224" spans="2:12">
      <c r="B1224">
        <v>11.87890625</v>
      </c>
      <c r="C1224">
        <v>1.9820183515548699</v>
      </c>
      <c r="D1224">
        <v>48.734785156249998</v>
      </c>
      <c r="E1224" s="5">
        <f t="shared" si="142"/>
        <v>48734.78515625</v>
      </c>
      <c r="F1224" s="5">
        <v>0.56368293007835701</v>
      </c>
      <c r="G1224">
        <f t="shared" si="143"/>
        <v>974.69570312500002</v>
      </c>
      <c r="H1224">
        <f t="shared" si="144"/>
        <v>5.6368293007835704E-2</v>
      </c>
      <c r="I1224">
        <f t="shared" si="145"/>
        <v>5.6836886798655659E-2</v>
      </c>
      <c r="J1224">
        <f t="shared" si="146"/>
        <v>6001.6230756788682</v>
      </c>
      <c r="K1224" s="5">
        <f t="shared" si="147"/>
        <v>1029.6376361122286</v>
      </c>
      <c r="L1224" s="5">
        <f t="shared" si="148"/>
        <v>5.4836886798655657E-2</v>
      </c>
    </row>
    <row r="1225" spans="2:12">
      <c r="B1225">
        <v>11.888671875</v>
      </c>
      <c r="C1225">
        <v>1.98419997468591</v>
      </c>
      <c r="D1225">
        <v>48.740886718749998</v>
      </c>
      <c r="E1225" s="5">
        <f t="shared" ref="E1225:E1288" si="149" xml:space="preserve"> D1225*R$3</f>
        <v>48740.88671875</v>
      </c>
      <c r="F1225" s="5">
        <v>0.56453864090144601</v>
      </c>
      <c r="G1225">
        <f t="shared" ref="G1225:G1288" si="150" xml:space="preserve"> E1225/C$3</f>
        <v>974.81773437499999</v>
      </c>
      <c r="H1225">
        <f t="shared" ref="H1225:H1288" si="151" xml:space="preserve"> F1225/C$4</f>
        <v>5.64538640901446E-2</v>
      </c>
      <c r="I1225">
        <f t="shared" ref="I1225:I1288" si="152">L1225+0.002</f>
        <v>5.6917888488332381E-2</v>
      </c>
      <c r="J1225">
        <f t="shared" ref="J1225:J1288" si="153">L1225*G$2</f>
        <v>6010.4883056055369</v>
      </c>
      <c r="K1225" s="5">
        <f t="shared" ref="K1225:K1288" si="154" xml:space="preserve"> G1225 * (1 + H1225)</f>
        <v>1029.8499622640688</v>
      </c>
      <c r="L1225" s="5">
        <f t="shared" ref="L1225:L1288" si="155">LN(1 + H1225)</f>
        <v>5.491788848833238E-2</v>
      </c>
    </row>
    <row r="1226" spans="2:12">
      <c r="B1226">
        <v>11.8984375</v>
      </c>
      <c r="C1226">
        <v>1.9862235058099</v>
      </c>
      <c r="D1226">
        <v>48.737031250000001</v>
      </c>
      <c r="E1226" s="5">
        <f t="shared" si="149"/>
        <v>48737.03125</v>
      </c>
      <c r="F1226" s="5">
        <v>0.56532496819272604</v>
      </c>
      <c r="G1226">
        <f t="shared" si="150"/>
        <v>974.74062500000002</v>
      </c>
      <c r="H1226">
        <f t="shared" si="151"/>
        <v>5.6532496819272603E-2</v>
      </c>
      <c r="I1226">
        <f t="shared" si="152"/>
        <v>5.6992316540135285E-2</v>
      </c>
      <c r="J1226">
        <f t="shared" si="153"/>
        <v>6018.6340837351063</v>
      </c>
      <c r="K1226" s="5">
        <f t="shared" si="154"/>
        <v>1029.8451462824285</v>
      </c>
      <c r="L1226" s="5">
        <f t="shared" si="155"/>
        <v>5.4992316540135283E-2</v>
      </c>
    </row>
    <row r="1227" spans="2:12">
      <c r="B1227">
        <v>11.908203125</v>
      </c>
      <c r="C1227">
        <v>1.9882067572325499</v>
      </c>
      <c r="D1227">
        <v>48.742460937499999</v>
      </c>
      <c r="E1227" s="5">
        <f t="shared" si="149"/>
        <v>48742.4609375</v>
      </c>
      <c r="F1227" s="5">
        <v>0.566185335628688</v>
      </c>
      <c r="G1227">
        <f t="shared" si="150"/>
        <v>974.84921874999998</v>
      </c>
      <c r="H1227">
        <f t="shared" si="151"/>
        <v>5.6618533562868799E-2</v>
      </c>
      <c r="I1227">
        <f t="shared" si="152"/>
        <v>5.7073746350316132E-2</v>
      </c>
      <c r="J1227">
        <f t="shared" si="153"/>
        <v>6027.5461693103489</v>
      </c>
      <c r="K1227" s="5">
        <f t="shared" si="154"/>
        <v>1030.0437519605332</v>
      </c>
      <c r="L1227" s="5">
        <f t="shared" si="155"/>
        <v>5.507374635031613E-2</v>
      </c>
    </row>
    <row r="1228" spans="2:12">
      <c r="B1228">
        <v>11.91796875</v>
      </c>
      <c r="C1228">
        <v>1.98917835950851</v>
      </c>
      <c r="D1228">
        <v>48.737753906249999</v>
      </c>
      <c r="E1228" s="5">
        <f t="shared" si="149"/>
        <v>48737.75390625</v>
      </c>
      <c r="F1228" s="5">
        <v>0.56696875253692303</v>
      </c>
      <c r="G1228">
        <f t="shared" si="150"/>
        <v>974.75507812499995</v>
      </c>
      <c r="H1228">
        <f t="shared" si="151"/>
        <v>5.6696875253692304E-2</v>
      </c>
      <c r="I1228">
        <f t="shared" si="152"/>
        <v>5.7147887380597263E-2</v>
      </c>
      <c r="J1228">
        <f t="shared" si="153"/>
        <v>6035.6605343694673</v>
      </c>
      <c r="K1228" s="5">
        <f t="shared" si="154"/>
        <v>1030.0206451923561</v>
      </c>
      <c r="L1228" s="5">
        <f t="shared" si="155"/>
        <v>5.5147887380597262E-2</v>
      </c>
    </row>
    <row r="1229" spans="2:12">
      <c r="B1229">
        <v>11.927734375</v>
      </c>
      <c r="C1229">
        <v>1.9908801186829801</v>
      </c>
      <c r="D1229">
        <v>48.722398437499997</v>
      </c>
      <c r="E1229" s="5">
        <f t="shared" si="149"/>
        <v>48722.3984375</v>
      </c>
      <c r="F1229" s="5">
        <v>0.56783715263009105</v>
      </c>
      <c r="G1229">
        <f t="shared" si="150"/>
        <v>974.44796874999997</v>
      </c>
      <c r="H1229">
        <f t="shared" si="151"/>
        <v>5.6783715263009106E-2</v>
      </c>
      <c r="I1229">
        <f t="shared" si="152"/>
        <v>5.7230064628645175E-2</v>
      </c>
      <c r="J1229">
        <f t="shared" si="153"/>
        <v>6044.6544232820706</v>
      </c>
      <c r="K1229" s="5">
        <f t="shared" si="154"/>
        <v>1029.7807447461175</v>
      </c>
      <c r="L1229" s="5">
        <f t="shared" si="155"/>
        <v>5.5230064628645173E-2</v>
      </c>
    </row>
    <row r="1230" spans="2:12">
      <c r="B1230">
        <v>11.9375</v>
      </c>
      <c r="C1230">
        <v>1.99235090985894</v>
      </c>
      <c r="D1230">
        <v>48.7228984375</v>
      </c>
      <c r="E1230" s="5">
        <f t="shared" si="149"/>
        <v>48722.8984375</v>
      </c>
      <c r="F1230" s="5">
        <v>0.56866765953600396</v>
      </c>
      <c r="G1230">
        <f t="shared" si="150"/>
        <v>974.45796874999996</v>
      </c>
      <c r="H1230">
        <f t="shared" si="151"/>
        <v>5.6866765953600393E-2</v>
      </c>
      <c r="I1230">
        <f t="shared" si="152"/>
        <v>5.7308649703492816E-2</v>
      </c>
      <c r="J1230">
        <f t="shared" si="153"/>
        <v>6053.2551667987709</v>
      </c>
      <c r="K1230" s="5">
        <f t="shared" si="154"/>
        <v>1029.8722419905271</v>
      </c>
      <c r="L1230" s="5">
        <f t="shared" si="155"/>
        <v>5.5308649703492814E-2</v>
      </c>
    </row>
    <row r="1231" spans="2:12">
      <c r="B1231">
        <v>11.947265625</v>
      </c>
      <c r="C1231">
        <v>1.9939288031309801</v>
      </c>
      <c r="D1231">
        <v>48.709703124999997</v>
      </c>
      <c r="E1231" s="5">
        <f t="shared" si="149"/>
        <v>48709.703125</v>
      </c>
      <c r="F1231" s="5">
        <v>0.56941248476505302</v>
      </c>
      <c r="G1231">
        <f t="shared" si="150"/>
        <v>974.19406249999997</v>
      </c>
      <c r="H1231">
        <f t="shared" si="151"/>
        <v>5.69412484765053E-2</v>
      </c>
      <c r="I1231">
        <f t="shared" si="152"/>
        <v>5.7379122066571427E-2</v>
      </c>
      <c r="J1231">
        <f t="shared" si="153"/>
        <v>6060.9680145759094</v>
      </c>
      <c r="K1231" s="5">
        <f t="shared" si="154"/>
        <v>1029.6658886771486</v>
      </c>
      <c r="L1231" s="5">
        <f t="shared" si="155"/>
        <v>5.5379122066571425E-2</v>
      </c>
    </row>
    <row r="1232" spans="2:12">
      <c r="B1232">
        <v>11.95703125</v>
      </c>
      <c r="C1232">
        <v>1.99554115533829</v>
      </c>
      <c r="D1232">
        <v>48.696667968749999</v>
      </c>
      <c r="E1232" s="5">
        <f t="shared" si="149"/>
        <v>48696.66796875</v>
      </c>
      <c r="F1232" s="5">
        <v>0.57020987151190605</v>
      </c>
      <c r="G1232">
        <f t="shared" si="150"/>
        <v>973.93335937500001</v>
      </c>
      <c r="H1232">
        <f t="shared" si="151"/>
        <v>5.7020987151190604E-2</v>
      </c>
      <c r="I1232">
        <f t="shared" si="152"/>
        <v>5.7454562084731917E-2</v>
      </c>
      <c r="J1232">
        <f t="shared" si="153"/>
        <v>6069.2245473634848</v>
      </c>
      <c r="K1232" s="5">
        <f t="shared" si="154"/>
        <v>1029.4680009460378</v>
      </c>
      <c r="L1232" s="5">
        <f t="shared" si="155"/>
        <v>5.5454562084731915E-2</v>
      </c>
    </row>
    <row r="1233" spans="2:12">
      <c r="B1233">
        <v>11.966796875</v>
      </c>
      <c r="C1233">
        <v>1.9984394311904901</v>
      </c>
      <c r="D1233">
        <v>48.717894531250003</v>
      </c>
      <c r="E1233" s="5">
        <f t="shared" si="149"/>
        <v>48717.89453125</v>
      </c>
      <c r="F1233" s="5">
        <v>0.57097111130133305</v>
      </c>
      <c r="G1233">
        <f t="shared" si="150"/>
        <v>974.35789062499998</v>
      </c>
      <c r="H1233">
        <f t="shared" si="151"/>
        <v>5.7097111130133306E-2</v>
      </c>
      <c r="I1233">
        <f t="shared" si="152"/>
        <v>5.7526576963217106E-2</v>
      </c>
      <c r="J1233">
        <f t="shared" si="153"/>
        <v>6077.1062157392962</v>
      </c>
      <c r="K1233" s="5">
        <f t="shared" si="154"/>
        <v>1029.9909113865378</v>
      </c>
      <c r="L1233" s="5">
        <f t="shared" si="155"/>
        <v>5.5526576963217104E-2</v>
      </c>
    </row>
    <row r="1234" spans="2:12">
      <c r="B1234">
        <v>11.9765625</v>
      </c>
      <c r="C1234">
        <v>1.9982247613370401</v>
      </c>
      <c r="D1234">
        <v>48.728250000000003</v>
      </c>
      <c r="E1234" s="5">
        <f t="shared" si="149"/>
        <v>48728.25</v>
      </c>
      <c r="F1234" s="5">
        <v>0.571826996747404</v>
      </c>
      <c r="G1234">
        <f t="shared" si="150"/>
        <v>974.56500000000005</v>
      </c>
      <c r="H1234">
        <f t="shared" si="151"/>
        <v>5.7182699674740399E-2</v>
      </c>
      <c r="I1234">
        <f t="shared" si="152"/>
        <v>5.7607539326113941E-2</v>
      </c>
      <c r="J1234">
        <f t="shared" si="153"/>
        <v>6085.96714154654</v>
      </c>
      <c r="K1234" s="5">
        <f t="shared" si="154"/>
        <v>1030.2932577085135</v>
      </c>
      <c r="L1234" s="5">
        <f t="shared" si="155"/>
        <v>5.5607539326113939E-2</v>
      </c>
    </row>
    <row r="1235" spans="2:12">
      <c r="B1235">
        <v>11.986328125</v>
      </c>
      <c r="C1235">
        <v>2.00188159942627</v>
      </c>
      <c r="D1235">
        <v>48.750519531249999</v>
      </c>
      <c r="E1235" s="5">
        <f t="shared" si="149"/>
        <v>48750.51953125</v>
      </c>
      <c r="F1235" s="5">
        <v>0.57276186998933598</v>
      </c>
      <c r="G1235">
        <f t="shared" si="150"/>
        <v>975.01039062500001</v>
      </c>
      <c r="H1235">
        <f t="shared" si="151"/>
        <v>5.7276186998933595E-2</v>
      </c>
      <c r="I1235">
        <f t="shared" si="152"/>
        <v>5.7695966038823501E-2</v>
      </c>
      <c r="J1235">
        <f t="shared" si="153"/>
        <v>6095.6450031190379</v>
      </c>
      <c r="K1235" s="5">
        <f t="shared" si="154"/>
        <v>1030.8552680843409</v>
      </c>
      <c r="L1235" s="5">
        <f t="shared" si="155"/>
        <v>5.5695966038823499E-2</v>
      </c>
    </row>
    <row r="1236" spans="2:12">
      <c r="B1236">
        <v>11.99609375</v>
      </c>
      <c r="C1236">
        <v>2.0033807959407599</v>
      </c>
      <c r="D1236">
        <v>48.736890625000001</v>
      </c>
      <c r="E1236" s="5">
        <f t="shared" si="149"/>
        <v>48736.890625</v>
      </c>
      <c r="F1236" s="5">
        <v>0.57352503063157201</v>
      </c>
      <c r="G1236">
        <f t="shared" si="150"/>
        <v>974.73781250000002</v>
      </c>
      <c r="H1236">
        <f t="shared" si="151"/>
        <v>5.7352503063157201E-2</v>
      </c>
      <c r="I1236">
        <f t="shared" si="152"/>
        <v>5.7768145201638643E-2</v>
      </c>
      <c r="J1236">
        <f t="shared" si="153"/>
        <v>6103.5446515933409</v>
      </c>
      <c r="K1236" s="5">
        <f t="shared" si="154"/>
        <v>1030.6414658771814</v>
      </c>
      <c r="L1236" s="5">
        <f t="shared" si="155"/>
        <v>5.5768145201638641E-2</v>
      </c>
    </row>
    <row r="1237" spans="2:12">
      <c r="B1237">
        <v>12.005859375</v>
      </c>
      <c r="C1237">
        <v>2.0045042037963898</v>
      </c>
      <c r="D1237">
        <v>48.727582031250002</v>
      </c>
      <c r="E1237" s="5">
        <f t="shared" si="149"/>
        <v>48727.58203125</v>
      </c>
      <c r="F1237" s="5">
        <v>0.574399426113814</v>
      </c>
      <c r="G1237">
        <f t="shared" si="150"/>
        <v>974.551640625</v>
      </c>
      <c r="H1237">
        <f t="shared" si="151"/>
        <v>5.7439942611381398E-2</v>
      </c>
      <c r="I1237">
        <f t="shared" si="152"/>
        <v>5.785083846872769E-2</v>
      </c>
      <c r="J1237">
        <f t="shared" si="153"/>
        <v>6112.5950162099016</v>
      </c>
      <c r="K1237" s="5">
        <f t="shared" si="154"/>
        <v>1030.5298309343277</v>
      </c>
      <c r="L1237" s="5">
        <f t="shared" si="155"/>
        <v>5.5850838468727688E-2</v>
      </c>
    </row>
    <row r="1238" spans="2:12">
      <c r="B1238">
        <v>12.015625</v>
      </c>
      <c r="C1238">
        <v>2.00404669158161</v>
      </c>
      <c r="D1238">
        <v>48.7282734375</v>
      </c>
      <c r="E1238" s="5">
        <f t="shared" si="149"/>
        <v>48728.2734375</v>
      </c>
      <c r="F1238" s="5">
        <v>0.57522195857018199</v>
      </c>
      <c r="G1238">
        <f t="shared" si="150"/>
        <v>974.56546875000004</v>
      </c>
      <c r="H1238">
        <f t="shared" si="151"/>
        <v>5.7522195857018198E-2</v>
      </c>
      <c r="I1238">
        <f t="shared" si="152"/>
        <v>5.7928620708118377E-2</v>
      </c>
      <c r="J1238">
        <f t="shared" si="153"/>
        <v>6121.1078934000152</v>
      </c>
      <c r="K1238" s="5">
        <f t="shared" si="154"/>
        <v>1030.6246145189243</v>
      </c>
      <c r="L1238" s="5">
        <f t="shared" si="155"/>
        <v>5.5928620708118375E-2</v>
      </c>
    </row>
    <row r="1239" spans="2:12">
      <c r="B1239">
        <v>12.025390625</v>
      </c>
      <c r="C1239">
        <v>2.0060942042618999</v>
      </c>
      <c r="D1239">
        <v>48.747964843749997</v>
      </c>
      <c r="E1239" s="5">
        <f t="shared" si="149"/>
        <v>48747.96484375</v>
      </c>
      <c r="F1239" s="5">
        <v>0.57611119700595703</v>
      </c>
      <c r="G1239">
        <f t="shared" si="150"/>
        <v>974.95929687499995</v>
      </c>
      <c r="H1239">
        <f t="shared" si="151"/>
        <v>5.7611119700595702E-2</v>
      </c>
      <c r="I1239">
        <f t="shared" si="152"/>
        <v>5.80127041490777E-2</v>
      </c>
      <c r="J1239">
        <f t="shared" si="153"/>
        <v>6130.3104055958083</v>
      </c>
      <c r="K1239" s="5">
        <f t="shared" si="154"/>
        <v>1031.1277936304741</v>
      </c>
      <c r="L1239" s="5">
        <f t="shared" si="155"/>
        <v>5.6012704149077698E-2</v>
      </c>
    </row>
    <row r="1240" spans="2:12">
      <c r="B1240">
        <v>12.03515625</v>
      </c>
      <c r="C1240">
        <v>2.0085826981812702</v>
      </c>
      <c r="D1240">
        <v>48.748113281249999</v>
      </c>
      <c r="E1240" s="5">
        <f t="shared" si="149"/>
        <v>48748.11328125</v>
      </c>
      <c r="F1240" s="5">
        <v>0.57693832786753796</v>
      </c>
      <c r="G1240">
        <f t="shared" si="150"/>
        <v>974.96226562499999</v>
      </c>
      <c r="H1240">
        <f t="shared" si="151"/>
        <v>5.7693832786753795E-2</v>
      </c>
      <c r="I1240">
        <f t="shared" si="152"/>
        <v>5.8090908557480316E-2</v>
      </c>
      <c r="J1240">
        <f t="shared" si="153"/>
        <v>6138.8694870734325</v>
      </c>
      <c r="K1240" s="5">
        <f t="shared" si="154"/>
        <v>1031.2115755513632</v>
      </c>
      <c r="L1240" s="5">
        <f t="shared" si="155"/>
        <v>5.6090908557480314E-2</v>
      </c>
    </row>
    <row r="1241" spans="2:12">
      <c r="B1241">
        <v>12.044921875</v>
      </c>
      <c r="C1241">
        <v>2.0110309123992902</v>
      </c>
      <c r="D1241">
        <v>48.76492578125</v>
      </c>
      <c r="E1241" s="5">
        <f t="shared" si="149"/>
        <v>48764.92578125</v>
      </c>
      <c r="F1241" s="5">
        <v>0.57780789211392403</v>
      </c>
      <c r="G1241">
        <f t="shared" si="150"/>
        <v>975.29851562500005</v>
      </c>
      <c r="H1241">
        <f t="shared" si="151"/>
        <v>5.7780789211392403E-2</v>
      </c>
      <c r="I1241">
        <f t="shared" si="152"/>
        <v>5.8173118406545266E-2</v>
      </c>
      <c r="J1241">
        <f t="shared" si="153"/>
        <v>6147.8669440043468</v>
      </c>
      <c r="K1241" s="5">
        <f t="shared" si="154"/>
        <v>1031.6520335745122</v>
      </c>
      <c r="L1241" s="5">
        <f t="shared" si="155"/>
        <v>5.6173118406545264E-2</v>
      </c>
    </row>
    <row r="1242" spans="2:12">
      <c r="B1242">
        <v>12.0546875</v>
      </c>
      <c r="C1242">
        <v>2.0121203269809498</v>
      </c>
      <c r="D1242">
        <v>48.742382812499997</v>
      </c>
      <c r="E1242" s="5">
        <f t="shared" si="149"/>
        <v>48742.3828125</v>
      </c>
      <c r="F1242" s="5">
        <v>0.57862693211063698</v>
      </c>
      <c r="G1242">
        <f t="shared" si="150"/>
        <v>974.84765625</v>
      </c>
      <c r="H1242">
        <f t="shared" si="151"/>
        <v>5.7862693211063701E-2</v>
      </c>
      <c r="I1242">
        <f t="shared" si="152"/>
        <v>5.8250545440346323E-2</v>
      </c>
      <c r="J1242">
        <f t="shared" si="153"/>
        <v>6156.3409457187026</v>
      </c>
      <c r="K1242" s="5">
        <f t="shared" si="154"/>
        <v>1031.2549671111183</v>
      </c>
      <c r="L1242" s="5">
        <f t="shared" si="155"/>
        <v>5.6250545440346321E-2</v>
      </c>
    </row>
    <row r="1243" spans="2:12">
      <c r="B1243">
        <v>12.064453125</v>
      </c>
      <c r="C1243">
        <v>2.01273406855762</v>
      </c>
      <c r="D1243">
        <v>48.721511718750001</v>
      </c>
      <c r="E1243" s="5">
        <f t="shared" si="149"/>
        <v>48721.51171875</v>
      </c>
      <c r="F1243" s="5">
        <v>0.57941075647249796</v>
      </c>
      <c r="G1243">
        <f t="shared" si="150"/>
        <v>974.43023437500005</v>
      </c>
      <c r="H1243">
        <f t="shared" si="151"/>
        <v>5.7941075647249797E-2</v>
      </c>
      <c r="I1243">
        <f t="shared" si="152"/>
        <v>5.8324637789906916E-2</v>
      </c>
      <c r="J1243">
        <f t="shared" si="153"/>
        <v>6164.4499829163624</v>
      </c>
      <c r="K1243" s="5">
        <f t="shared" si="154"/>
        <v>1030.8897702978893</v>
      </c>
      <c r="L1243" s="5">
        <f t="shared" si="155"/>
        <v>5.6324637789906914E-2</v>
      </c>
    </row>
    <row r="1244" spans="2:12">
      <c r="B1244">
        <v>12.07421875</v>
      </c>
      <c r="C1244">
        <v>2.0141692366450998</v>
      </c>
      <c r="D1244">
        <v>48.7198671875</v>
      </c>
      <c r="E1244" s="5">
        <f t="shared" si="149"/>
        <v>48719.8671875</v>
      </c>
      <c r="F1244" s="5">
        <v>0.58023096062242996</v>
      </c>
      <c r="G1244">
        <f t="shared" si="150"/>
        <v>974.39734375</v>
      </c>
      <c r="H1244">
        <f t="shared" si="151"/>
        <v>5.8023096062242999E-2</v>
      </c>
      <c r="I1244">
        <f t="shared" si="152"/>
        <v>5.8402163124343917E-2</v>
      </c>
      <c r="J1244">
        <f t="shared" si="153"/>
        <v>6172.93474314382</v>
      </c>
      <c r="K1244" s="5">
        <f t="shared" si="154"/>
        <v>1030.9348944292008</v>
      </c>
      <c r="L1244" s="5">
        <f t="shared" si="155"/>
        <v>5.6402163124343915E-2</v>
      </c>
    </row>
    <row r="1245" spans="2:12">
      <c r="B1245">
        <v>12.083984375</v>
      </c>
      <c r="C1245">
        <v>2.01653107069433</v>
      </c>
      <c r="D1245">
        <v>48.711371093750003</v>
      </c>
      <c r="E1245" s="5">
        <f t="shared" si="149"/>
        <v>48711.37109375</v>
      </c>
      <c r="F1245" s="5">
        <v>0.58104022173211001</v>
      </c>
      <c r="G1245">
        <f t="shared" si="150"/>
        <v>974.227421875</v>
      </c>
      <c r="H1245">
        <f t="shared" si="151"/>
        <v>5.8104022173210999E-2</v>
      </c>
      <c r="I1245">
        <f t="shared" si="152"/>
        <v>5.8478648237464084E-2</v>
      </c>
      <c r="J1245">
        <f t="shared" si="153"/>
        <v>6181.3056563492564</v>
      </c>
      <c r="K1245" s="5">
        <f t="shared" si="154"/>
        <v>1030.8339535973753</v>
      </c>
      <c r="L1245" s="5">
        <f t="shared" si="155"/>
        <v>5.6478648237464082E-2</v>
      </c>
    </row>
    <row r="1246" spans="2:12">
      <c r="B1246">
        <v>12.09375</v>
      </c>
      <c r="C1246">
        <v>2.0181986037641799</v>
      </c>
      <c r="D1246">
        <v>48.729222656250002</v>
      </c>
      <c r="E1246" s="5">
        <f t="shared" si="149"/>
        <v>48729.22265625</v>
      </c>
      <c r="F1246" s="5">
        <v>0.581858039367944</v>
      </c>
      <c r="G1246">
        <f t="shared" si="150"/>
        <v>974.58445312499998</v>
      </c>
      <c r="H1246">
        <f t="shared" si="151"/>
        <v>5.81858039367944E-2</v>
      </c>
      <c r="I1246">
        <f t="shared" si="152"/>
        <v>5.8555936104763867E-2</v>
      </c>
      <c r="J1246">
        <f t="shared" si="153"/>
        <v>6189.7644269858811</v>
      </c>
      <c r="K1246" s="5">
        <f t="shared" si="154"/>
        <v>1031.2914330343792</v>
      </c>
      <c r="L1246" s="5">
        <f t="shared" si="155"/>
        <v>5.6555936104763865E-2</v>
      </c>
    </row>
    <row r="1247" spans="2:12">
      <c r="B1247">
        <v>12.103515625</v>
      </c>
      <c r="C1247">
        <v>2.0203650929033801</v>
      </c>
      <c r="D1247">
        <v>48.741757812499998</v>
      </c>
      <c r="E1247" s="5">
        <f t="shared" si="149"/>
        <v>48741.7578125</v>
      </c>
      <c r="F1247" s="5">
        <v>0.582710606977344</v>
      </c>
      <c r="G1247">
        <f t="shared" si="150"/>
        <v>974.83515624999995</v>
      </c>
      <c r="H1247">
        <f t="shared" si="151"/>
        <v>5.8271060697734398E-2</v>
      </c>
      <c r="I1247">
        <f t="shared" si="152"/>
        <v>5.8636501659782438E-2</v>
      </c>
      <c r="J1247">
        <f t="shared" si="153"/>
        <v>6198.5819241548888</v>
      </c>
      <c r="K1247" s="5">
        <f t="shared" si="154"/>
        <v>1031.6398348101291</v>
      </c>
      <c r="L1247" s="5">
        <f t="shared" si="155"/>
        <v>5.6636501659782436E-2</v>
      </c>
    </row>
    <row r="1248" spans="2:12">
      <c r="B1248">
        <v>12.11328125</v>
      </c>
      <c r="C1248">
        <v>2.0223557949066202</v>
      </c>
      <c r="D1248">
        <v>48.742054687500001</v>
      </c>
      <c r="E1248" s="5">
        <f t="shared" si="149"/>
        <v>48742.0546875</v>
      </c>
      <c r="F1248" s="5">
        <v>0.58360665570944503</v>
      </c>
      <c r="G1248">
        <f t="shared" si="150"/>
        <v>974.84109375000003</v>
      </c>
      <c r="H1248">
        <f t="shared" si="151"/>
        <v>5.8360665570944506E-2</v>
      </c>
      <c r="I1248">
        <f t="shared" si="152"/>
        <v>5.8721169079392253E-2</v>
      </c>
      <c r="J1248">
        <f t="shared" si="153"/>
        <v>6207.848349894085</v>
      </c>
      <c r="K1248" s="5">
        <f t="shared" si="154"/>
        <v>1031.7334688071576</v>
      </c>
      <c r="L1248" s="5">
        <f t="shared" si="155"/>
        <v>5.6721169079392252E-2</v>
      </c>
    </row>
    <row r="1249" spans="2:12">
      <c r="B1249">
        <v>12.123046875</v>
      </c>
      <c r="C1249">
        <v>2.02405452728271</v>
      </c>
      <c r="D1249">
        <v>48.736777343749999</v>
      </c>
      <c r="E1249" s="5">
        <f t="shared" si="149"/>
        <v>48736.77734375</v>
      </c>
      <c r="F1249" s="5">
        <v>0.584425986744463</v>
      </c>
      <c r="G1249">
        <f t="shared" si="150"/>
        <v>974.73554687499995</v>
      </c>
      <c r="H1249">
        <f t="shared" si="151"/>
        <v>5.8442598674446303E-2</v>
      </c>
      <c r="I1249">
        <f t="shared" si="152"/>
        <v>5.8798581189366414E-2</v>
      </c>
      <c r="J1249">
        <f t="shared" si="153"/>
        <v>6216.3207182702072</v>
      </c>
      <c r="K1249" s="5">
        <f t="shared" si="154"/>
        <v>1031.7016252547326</v>
      </c>
      <c r="L1249" s="5">
        <f t="shared" si="155"/>
        <v>5.6798581189366412E-2</v>
      </c>
    </row>
    <row r="1250" spans="2:12">
      <c r="B1250">
        <v>12.1328125</v>
      </c>
      <c r="C1250">
        <v>2.0252659451216499</v>
      </c>
      <c r="D1250">
        <v>48.7053203125</v>
      </c>
      <c r="E1250" s="5">
        <f t="shared" si="149"/>
        <v>48705.3203125</v>
      </c>
      <c r="F1250" s="5">
        <v>0.58522867038846005</v>
      </c>
      <c r="G1250">
        <f t="shared" si="150"/>
        <v>974.10640624999996</v>
      </c>
      <c r="H1250">
        <f t="shared" si="151"/>
        <v>5.8522867038846002E-2</v>
      </c>
      <c r="I1250">
        <f t="shared" si="152"/>
        <v>5.8874414608227676E-2</v>
      </c>
      <c r="J1250">
        <f t="shared" si="153"/>
        <v>6224.6203067974775</v>
      </c>
      <c r="K1250" s="5">
        <f t="shared" si="154"/>
        <v>1031.1139059446568</v>
      </c>
      <c r="L1250" s="5">
        <f t="shared" si="155"/>
        <v>5.6874414608227675E-2</v>
      </c>
    </row>
    <row r="1251" spans="2:12">
      <c r="B1251">
        <v>12.142578125</v>
      </c>
      <c r="C1251">
        <v>2.0255967974662799</v>
      </c>
      <c r="D1251">
        <v>48.7053203125</v>
      </c>
      <c r="E1251" s="5">
        <f t="shared" si="149"/>
        <v>48705.3203125</v>
      </c>
      <c r="F1251" s="5">
        <v>0.586021924391389</v>
      </c>
      <c r="G1251">
        <f t="shared" si="150"/>
        <v>974.10640624999996</v>
      </c>
      <c r="H1251">
        <f t="shared" si="151"/>
        <v>5.8602192439138903E-2</v>
      </c>
      <c r="I1251">
        <f t="shared" si="152"/>
        <v>5.8949351513796738E-2</v>
      </c>
      <c r="J1251">
        <f t="shared" si="153"/>
        <v>6232.8217764274841</v>
      </c>
      <c r="K1251" s="5">
        <f t="shared" si="154"/>
        <v>1031.1911773252605</v>
      </c>
      <c r="L1251" s="5">
        <f t="shared" si="155"/>
        <v>5.6949351513796737E-2</v>
      </c>
    </row>
    <row r="1252" spans="2:12">
      <c r="B1252">
        <v>12.15234375</v>
      </c>
      <c r="C1252">
        <v>2.0281672477722199</v>
      </c>
      <c r="D1252">
        <v>48.713777343750003</v>
      </c>
      <c r="E1252" s="5">
        <f t="shared" si="149"/>
        <v>48713.77734375</v>
      </c>
      <c r="F1252" s="5">
        <v>0.58684864779934298</v>
      </c>
      <c r="G1252">
        <f t="shared" si="150"/>
        <v>974.27554687500003</v>
      </c>
      <c r="H1252">
        <f t="shared" si="151"/>
        <v>5.8684864779934301E-2</v>
      </c>
      <c r="I1252">
        <f t="shared" si="152"/>
        <v>5.9027444222629517E-2</v>
      </c>
      <c r="J1252">
        <f t="shared" si="153"/>
        <v>6241.3686329456878</v>
      </c>
      <c r="K1252" s="5">
        <f t="shared" si="154"/>
        <v>1031.450775601756</v>
      </c>
      <c r="L1252" s="5">
        <f t="shared" si="155"/>
        <v>5.7027444222629516E-2</v>
      </c>
    </row>
    <row r="1253" spans="2:12">
      <c r="B1253">
        <v>12.162109375</v>
      </c>
      <c r="C1253">
        <v>2.03008367680013</v>
      </c>
      <c r="D1253">
        <v>48.710183593750003</v>
      </c>
      <c r="E1253" s="5">
        <f t="shared" si="149"/>
        <v>48710.18359375</v>
      </c>
      <c r="F1253" s="5">
        <v>0.58761041145771697</v>
      </c>
      <c r="G1253">
        <f t="shared" si="150"/>
        <v>974.20367187500005</v>
      </c>
      <c r="H1253">
        <f t="shared" si="151"/>
        <v>5.87610411457717E-2</v>
      </c>
      <c r="I1253">
        <f t="shared" si="152"/>
        <v>5.9099395402734886E-2</v>
      </c>
      <c r="J1253">
        <f t="shared" si="153"/>
        <v>6249.2433298523192</v>
      </c>
      <c r="K1253" s="5">
        <f t="shared" si="154"/>
        <v>1031.4488939224088</v>
      </c>
      <c r="L1253" s="5">
        <f t="shared" si="155"/>
        <v>5.7099395402734884E-2</v>
      </c>
    </row>
    <row r="1254" spans="2:12">
      <c r="B1254">
        <v>12.171875</v>
      </c>
      <c r="C1254">
        <v>2.0307765807956502</v>
      </c>
      <c r="D1254">
        <v>48.718949218749998</v>
      </c>
      <c r="E1254" s="5">
        <f t="shared" si="149"/>
        <v>48718.94921875</v>
      </c>
      <c r="F1254" s="5">
        <v>0.58841414283961102</v>
      </c>
      <c r="G1254">
        <f t="shared" si="150"/>
        <v>974.37898437499996</v>
      </c>
      <c r="H1254">
        <f t="shared" si="151"/>
        <v>5.8841414283961099E-2</v>
      </c>
      <c r="I1254">
        <f t="shared" si="152"/>
        <v>5.9175304965478195E-2</v>
      </c>
      <c r="J1254">
        <f t="shared" si="153"/>
        <v>6257.5512519467611</v>
      </c>
      <c r="K1254" s="5">
        <f t="shared" si="154"/>
        <v>1031.7128218641944</v>
      </c>
      <c r="L1254" s="5">
        <f t="shared" si="155"/>
        <v>5.7175304965478194E-2</v>
      </c>
    </row>
    <row r="1255" spans="2:12">
      <c r="B1255">
        <v>12.181640625</v>
      </c>
      <c r="C1255">
        <v>2.03221756964922</v>
      </c>
      <c r="D1255">
        <v>48.695960937499997</v>
      </c>
      <c r="E1255" s="5">
        <f t="shared" si="149"/>
        <v>48695.9609375</v>
      </c>
      <c r="F1255" s="5">
        <v>0.58924109907820799</v>
      </c>
      <c r="G1255">
        <f t="shared" si="150"/>
        <v>973.91921875000003</v>
      </c>
      <c r="H1255">
        <f t="shared" si="151"/>
        <v>5.89241099078208E-2</v>
      </c>
      <c r="I1255">
        <f t="shared" si="152"/>
        <v>5.9253402019148339E-2</v>
      </c>
      <c r="J1255">
        <f t="shared" si="153"/>
        <v>6266.0985839856894</v>
      </c>
      <c r="K1255" s="5">
        <f t="shared" si="154"/>
        <v>1031.306541836964</v>
      </c>
      <c r="L1255" s="5">
        <f t="shared" si="155"/>
        <v>5.7253402019148338E-2</v>
      </c>
    </row>
    <row r="1256" spans="2:12">
      <c r="B1256">
        <v>12.19140625</v>
      </c>
      <c r="C1256">
        <v>2.03462387435138</v>
      </c>
      <c r="D1256">
        <v>48.696191406250001</v>
      </c>
      <c r="E1256" s="5">
        <f t="shared" si="149"/>
        <v>48696.19140625</v>
      </c>
      <c r="F1256" s="5">
        <v>0.59007055824622501</v>
      </c>
      <c r="G1256">
        <f t="shared" si="150"/>
        <v>973.923828125</v>
      </c>
      <c r="H1256">
        <f t="shared" si="151"/>
        <v>5.9007055824622498E-2</v>
      </c>
      <c r="I1256">
        <f t="shared" si="152"/>
        <v>5.933172932098528E-2</v>
      </c>
      <c r="J1256">
        <f t="shared" si="153"/>
        <v>6274.6711155352341</v>
      </c>
      <c r="K1256" s="5">
        <f t="shared" si="154"/>
        <v>1031.3922058201019</v>
      </c>
      <c r="L1256" s="5">
        <f t="shared" si="155"/>
        <v>5.7331729320985278E-2</v>
      </c>
    </row>
    <row r="1257" spans="2:12">
      <c r="B1257">
        <v>12.201171875</v>
      </c>
      <c r="C1257">
        <v>2.0355687011033301</v>
      </c>
      <c r="D1257">
        <v>48.708890625000002</v>
      </c>
      <c r="E1257" s="5">
        <f t="shared" si="149"/>
        <v>48708.890625</v>
      </c>
      <c r="F1257" s="5">
        <v>0.59090688591823004</v>
      </c>
      <c r="G1257">
        <f t="shared" si="150"/>
        <v>974.17781249999996</v>
      </c>
      <c r="H1257">
        <f t="shared" si="151"/>
        <v>5.9090688591823003E-2</v>
      </c>
      <c r="I1257">
        <f t="shared" si="152"/>
        <v>5.9410699016755365E-2</v>
      </c>
      <c r="J1257">
        <f t="shared" si="153"/>
        <v>6283.3139538887908</v>
      </c>
      <c r="K1257" s="5">
        <f t="shared" si="154"/>
        <v>1031.7426502515007</v>
      </c>
      <c r="L1257" s="5">
        <f t="shared" si="155"/>
        <v>5.7410699016755364E-2</v>
      </c>
    </row>
    <row r="1258" spans="2:12">
      <c r="B1258">
        <v>12.2109375</v>
      </c>
      <c r="C1258">
        <v>2.0370811689645101</v>
      </c>
      <c r="D1258">
        <v>48.727667968749998</v>
      </c>
      <c r="E1258" s="5">
        <f t="shared" si="149"/>
        <v>48727.66796875</v>
      </c>
      <c r="F1258" s="5">
        <v>0.59185491409152702</v>
      </c>
      <c r="G1258">
        <f t="shared" si="150"/>
        <v>974.55335937500001</v>
      </c>
      <c r="H1258">
        <f t="shared" si="151"/>
        <v>5.9185491409152705E-2</v>
      </c>
      <c r="I1258">
        <f t="shared" si="152"/>
        <v>5.9500208419059099E-2</v>
      </c>
      <c r="J1258">
        <f t="shared" si="153"/>
        <v>6293.1103104239228</v>
      </c>
      <c r="K1258" s="5">
        <f t="shared" si="154"/>
        <v>1032.2327788540501</v>
      </c>
      <c r="L1258" s="5">
        <f t="shared" si="155"/>
        <v>5.7500208419059097E-2</v>
      </c>
    </row>
    <row r="1259" spans="2:12">
      <c r="B1259">
        <v>12.220703125</v>
      </c>
      <c r="C1259">
        <v>2.0397664047777702</v>
      </c>
      <c r="D1259">
        <v>48.74215234375</v>
      </c>
      <c r="E1259" s="5">
        <f t="shared" si="149"/>
        <v>48742.15234375</v>
      </c>
      <c r="F1259" s="5">
        <v>0.59269223129376802</v>
      </c>
      <c r="G1259">
        <f t="shared" si="150"/>
        <v>974.84304687500003</v>
      </c>
      <c r="H1259">
        <f t="shared" si="151"/>
        <v>5.9269223129376804E-2</v>
      </c>
      <c r="I1259">
        <f t="shared" si="152"/>
        <v>5.9579258228047688E-2</v>
      </c>
      <c r="J1259">
        <f t="shared" si="153"/>
        <v>6301.7619167686789</v>
      </c>
      <c r="K1259" s="5">
        <f t="shared" si="154"/>
        <v>1032.6212369363559</v>
      </c>
      <c r="L1259" s="5">
        <f t="shared" si="155"/>
        <v>5.7579258228047686E-2</v>
      </c>
    </row>
    <row r="1260" spans="2:12">
      <c r="B1260">
        <v>12.23046875</v>
      </c>
      <c r="C1260">
        <v>2.0418928470462601</v>
      </c>
      <c r="D1260">
        <v>48.757367187500002</v>
      </c>
      <c r="E1260" s="5">
        <f t="shared" si="149"/>
        <v>48757.3671875</v>
      </c>
      <c r="F1260" s="5">
        <v>0.59356540441513095</v>
      </c>
      <c r="G1260">
        <f t="shared" si="150"/>
        <v>975.14734375</v>
      </c>
      <c r="H1260">
        <f t="shared" si="151"/>
        <v>5.9356540441513096E-2</v>
      </c>
      <c r="I1260">
        <f t="shared" si="152"/>
        <v>5.966168648289772E-2</v>
      </c>
      <c r="J1260">
        <f t="shared" si="153"/>
        <v>6310.7832771207404</v>
      </c>
      <c r="K1260" s="5">
        <f t="shared" si="154"/>
        <v>1033.028716495731</v>
      </c>
      <c r="L1260" s="5">
        <f t="shared" si="155"/>
        <v>5.7661686482897719E-2</v>
      </c>
    </row>
    <row r="1261" spans="2:12">
      <c r="B1261">
        <v>12.240234375</v>
      </c>
      <c r="C1261">
        <v>2.0415650214999901</v>
      </c>
      <c r="D1261">
        <v>48.721054687500001</v>
      </c>
      <c r="E1261" s="5">
        <f t="shared" si="149"/>
        <v>48721.0546875</v>
      </c>
      <c r="F1261" s="5">
        <v>0.59433135902509104</v>
      </c>
      <c r="G1261">
        <f t="shared" si="150"/>
        <v>974.42109374999995</v>
      </c>
      <c r="H1261">
        <f t="shared" si="151"/>
        <v>5.9433135902509107E-2</v>
      </c>
      <c r="I1261">
        <f t="shared" si="152"/>
        <v>5.9733987629051653E-2</v>
      </c>
      <c r="J1261">
        <f t="shared" si="153"/>
        <v>6318.6962760615579</v>
      </c>
      <c r="K1261" s="5">
        <f t="shared" si="154"/>
        <v>1032.3339950411153</v>
      </c>
      <c r="L1261" s="5">
        <f t="shared" si="155"/>
        <v>5.7733987629051652E-2</v>
      </c>
    </row>
    <row r="1262" spans="2:12">
      <c r="B1262">
        <v>12.25</v>
      </c>
      <c r="C1262">
        <v>2.0418376661837101</v>
      </c>
      <c r="D1262">
        <v>48.729085937500003</v>
      </c>
      <c r="E1262" s="5">
        <f t="shared" si="149"/>
        <v>48729.0859375</v>
      </c>
      <c r="F1262" s="5">
        <v>0.59518951456993796</v>
      </c>
      <c r="G1262">
        <f t="shared" si="150"/>
        <v>974.58171875000005</v>
      </c>
      <c r="H1262">
        <f t="shared" si="151"/>
        <v>5.9518951456993797E-2</v>
      </c>
      <c r="I1262">
        <f t="shared" si="152"/>
        <v>5.9814985736600733E-2</v>
      </c>
      <c r="J1262">
        <f t="shared" si="153"/>
        <v>6327.5611139422672</v>
      </c>
      <c r="K1262" s="5">
        <f t="shared" si="154"/>
        <v>1032.587800759155</v>
      </c>
      <c r="L1262" s="5">
        <f t="shared" si="155"/>
        <v>5.7814985736600731E-2</v>
      </c>
    </row>
    <row r="1263" spans="2:12">
      <c r="B1263">
        <v>12.259765625</v>
      </c>
      <c r="C1263">
        <v>2.04276898875833</v>
      </c>
      <c r="D1263">
        <v>48.700878906249997</v>
      </c>
      <c r="E1263" s="5">
        <f t="shared" si="149"/>
        <v>48700.87890625</v>
      </c>
      <c r="F1263" s="5">
        <v>0.59597962535917803</v>
      </c>
      <c r="G1263">
        <f t="shared" si="150"/>
        <v>974.017578125</v>
      </c>
      <c r="H1263">
        <f t="shared" si="151"/>
        <v>5.9597962535917801E-2</v>
      </c>
      <c r="I1263">
        <f t="shared" si="152"/>
        <v>5.9889555552394121E-2</v>
      </c>
      <c r="J1263">
        <f t="shared" si="153"/>
        <v>6335.7224074317746</v>
      </c>
      <c r="K1263" s="5">
        <f t="shared" si="154"/>
        <v>1032.0670412554191</v>
      </c>
      <c r="L1263" s="5">
        <f t="shared" si="155"/>
        <v>5.7889555552394119E-2</v>
      </c>
    </row>
    <row r="1264" spans="2:12">
      <c r="B1264">
        <v>12.26953125</v>
      </c>
      <c r="C1264">
        <v>2.0482600666582602</v>
      </c>
      <c r="D1264">
        <v>48.717671875000001</v>
      </c>
      <c r="E1264" s="5">
        <f t="shared" si="149"/>
        <v>48717.671875</v>
      </c>
      <c r="F1264" s="5">
        <v>0.59677462559193395</v>
      </c>
      <c r="G1264">
        <f t="shared" si="150"/>
        <v>974.35343750000004</v>
      </c>
      <c r="H1264">
        <f t="shared" si="151"/>
        <v>5.9677462559193394E-2</v>
      </c>
      <c r="I1264">
        <f t="shared" si="152"/>
        <v>5.9964581216705157E-2</v>
      </c>
      <c r="J1264">
        <f t="shared" si="153"/>
        <v>6343.9335912622955</v>
      </c>
      <c r="K1264" s="5">
        <f t="shared" si="154"/>
        <v>1032.5003782858278</v>
      </c>
      <c r="L1264" s="5">
        <f t="shared" si="155"/>
        <v>5.7964581216705155E-2</v>
      </c>
    </row>
    <row r="1265" spans="2:12">
      <c r="B1265">
        <v>12.279296875</v>
      </c>
      <c r="C1265">
        <v>2.0506277214735702</v>
      </c>
      <c r="D1265">
        <v>48.744117187500002</v>
      </c>
      <c r="E1265" s="5">
        <f t="shared" si="149"/>
        <v>48744.1171875</v>
      </c>
      <c r="F1265" s="5">
        <v>0.59763842727989003</v>
      </c>
      <c r="G1265">
        <f t="shared" si="150"/>
        <v>974.88234375000002</v>
      </c>
      <c r="H1265">
        <f t="shared" si="151"/>
        <v>5.9763842727989E-2</v>
      </c>
      <c r="I1265">
        <f t="shared" si="152"/>
        <v>6.0046093423368231E-2</v>
      </c>
      <c r="J1265">
        <f t="shared" si="153"/>
        <v>6352.8546947205359</v>
      </c>
      <c r="K1265" s="5">
        <f t="shared" si="154"/>
        <v>1033.1450588201683</v>
      </c>
      <c r="L1265" s="5">
        <f t="shared" si="155"/>
        <v>5.8046093423368229E-2</v>
      </c>
    </row>
    <row r="1266" spans="2:12">
      <c r="B1266">
        <v>12.2890625</v>
      </c>
      <c r="C1266">
        <v>2.0522295963019102</v>
      </c>
      <c r="D1266">
        <v>48.747230468749997</v>
      </c>
      <c r="E1266" s="5">
        <f t="shared" si="149"/>
        <v>48747.23046875</v>
      </c>
      <c r="F1266" s="5">
        <v>0.59854926075786397</v>
      </c>
      <c r="G1266">
        <f t="shared" si="150"/>
        <v>974.94460937500003</v>
      </c>
      <c r="H1266">
        <f t="shared" si="151"/>
        <v>5.9854926075786394E-2</v>
      </c>
      <c r="I1266">
        <f t="shared" si="152"/>
        <v>6.0132036564836885E-2</v>
      </c>
      <c r="J1266">
        <f t="shared" si="153"/>
        <v>6362.2607418385724</v>
      </c>
      <c r="K1266" s="5">
        <f t="shared" si="154"/>
        <v>1033.2998468971271</v>
      </c>
      <c r="L1266" s="5">
        <f t="shared" si="155"/>
        <v>5.8132036564836884E-2</v>
      </c>
    </row>
    <row r="1267" spans="2:12">
      <c r="B1267">
        <v>12.298828125</v>
      </c>
      <c r="C1267">
        <v>2.0529017783701402</v>
      </c>
      <c r="D1267">
        <v>48.733105468749997</v>
      </c>
      <c r="E1267" s="5">
        <f t="shared" si="149"/>
        <v>48733.10546875</v>
      </c>
      <c r="F1267" s="5">
        <v>0.59930584393441699</v>
      </c>
      <c r="G1267">
        <f t="shared" si="150"/>
        <v>974.662109375</v>
      </c>
      <c r="H1267">
        <f t="shared" si="151"/>
        <v>5.9930584393441698E-2</v>
      </c>
      <c r="I1267">
        <f t="shared" si="152"/>
        <v>6.0203419558365036E-2</v>
      </c>
      <c r="J1267">
        <f t="shared" si="153"/>
        <v>6370.0732535652614</v>
      </c>
      <c r="K1267" s="5">
        <f t="shared" si="154"/>
        <v>1033.0741791759883</v>
      </c>
      <c r="L1267" s="5">
        <f t="shared" si="155"/>
        <v>5.8203419558365034E-2</v>
      </c>
    </row>
    <row r="1268" spans="2:12">
      <c r="B1268">
        <v>12.30859375</v>
      </c>
      <c r="C1268">
        <v>2.0536556839942901</v>
      </c>
      <c r="D1268">
        <v>48.744011718750002</v>
      </c>
      <c r="E1268" s="5">
        <f t="shared" si="149"/>
        <v>48744.01171875</v>
      </c>
      <c r="F1268" s="5">
        <v>0.60022354591637905</v>
      </c>
      <c r="G1268">
        <f t="shared" si="150"/>
        <v>974.88023437499999</v>
      </c>
      <c r="H1268">
        <f t="shared" si="151"/>
        <v>6.0022354591637905E-2</v>
      </c>
      <c r="I1268">
        <f t="shared" si="152"/>
        <v>6.0289997138995133E-2</v>
      </c>
      <c r="J1268">
        <f t="shared" si="153"/>
        <v>6379.548736877322</v>
      </c>
      <c r="K1268" s="5">
        <f t="shared" si="154"/>
        <v>1033.3948414870351</v>
      </c>
      <c r="L1268" s="5">
        <f t="shared" si="155"/>
        <v>5.8289997138995131E-2</v>
      </c>
    </row>
    <row r="1269" spans="2:12">
      <c r="B1269">
        <v>12.318359375</v>
      </c>
      <c r="C1269">
        <v>2.0553828217089198</v>
      </c>
      <c r="D1269">
        <v>48.720785156250003</v>
      </c>
      <c r="E1269" s="5">
        <f t="shared" si="149"/>
        <v>48720.78515625</v>
      </c>
      <c r="F1269" s="5">
        <v>0.60105219017714295</v>
      </c>
      <c r="G1269">
        <f t="shared" si="150"/>
        <v>974.41570312500005</v>
      </c>
      <c r="H1269">
        <f t="shared" si="151"/>
        <v>6.0105219017714297E-2</v>
      </c>
      <c r="I1269">
        <f t="shared" si="152"/>
        <v>6.0368166421966664E-2</v>
      </c>
      <c r="J1269">
        <f t="shared" si="153"/>
        <v>6388.103974052141</v>
      </c>
      <c r="K1269" s="5">
        <f t="shared" si="154"/>
        <v>1032.9831723756283</v>
      </c>
      <c r="L1269" s="5">
        <f t="shared" si="155"/>
        <v>5.8368166421966662E-2</v>
      </c>
    </row>
    <row r="1270" spans="2:12">
      <c r="B1270">
        <v>12.328125</v>
      </c>
      <c r="C1270">
        <v>2.05670739524066</v>
      </c>
      <c r="D1270">
        <v>48.711082031250001</v>
      </c>
      <c r="E1270" s="5">
        <f t="shared" si="149"/>
        <v>48711.08203125</v>
      </c>
      <c r="F1270" s="5">
        <v>0.60186185874044895</v>
      </c>
      <c r="G1270">
        <f t="shared" si="150"/>
        <v>974.22164062499996</v>
      </c>
      <c r="H1270">
        <f t="shared" si="151"/>
        <v>6.0186185874044895E-2</v>
      </c>
      <c r="I1270">
        <f t="shared" si="152"/>
        <v>6.044453975082438E-2</v>
      </c>
      <c r="J1270">
        <f t="shared" si="153"/>
        <v>6396.4626530289743</v>
      </c>
      <c r="K1270" s="5">
        <f t="shared" si="154"/>
        <v>1032.8563253701732</v>
      </c>
      <c r="L1270" s="5">
        <f t="shared" si="155"/>
        <v>5.8444539750824379E-2</v>
      </c>
    </row>
    <row r="1271" spans="2:12">
      <c r="B1271">
        <v>12.337890625</v>
      </c>
      <c r="C1271">
        <v>2.05867877230048</v>
      </c>
      <c r="D1271">
        <v>48.713082031250003</v>
      </c>
      <c r="E1271" s="5">
        <f t="shared" si="149"/>
        <v>48713.08203125</v>
      </c>
      <c r="F1271" s="5">
        <v>0.60267013031989303</v>
      </c>
      <c r="G1271">
        <f t="shared" si="150"/>
        <v>974.26164062500004</v>
      </c>
      <c r="H1271">
        <f t="shared" si="151"/>
        <v>6.0267013031989301E-2</v>
      </c>
      <c r="I1271">
        <f t="shared" si="152"/>
        <v>6.0520775489510133E-2</v>
      </c>
      <c r="J1271">
        <f t="shared" si="153"/>
        <v>6404.806273449436</v>
      </c>
      <c r="K1271" s="5">
        <f t="shared" si="154"/>
        <v>1032.9774796171143</v>
      </c>
      <c r="L1271" s="5">
        <f t="shared" si="155"/>
        <v>5.8520775489510131E-2</v>
      </c>
    </row>
    <row r="1272" spans="2:12">
      <c r="B1272">
        <v>12.34765625</v>
      </c>
      <c r="C1272">
        <v>2.0612014923244701</v>
      </c>
      <c r="D1272">
        <v>48.721746093749999</v>
      </c>
      <c r="E1272" s="5">
        <f t="shared" si="149"/>
        <v>48721.74609375</v>
      </c>
      <c r="F1272" s="5">
        <v>0.60348655097186599</v>
      </c>
      <c r="G1272">
        <f t="shared" si="150"/>
        <v>974.43492187499999</v>
      </c>
      <c r="H1272">
        <f t="shared" si="151"/>
        <v>6.03486550971866E-2</v>
      </c>
      <c r="I1272">
        <f t="shared" si="152"/>
        <v>6.0597773944689508E-2</v>
      </c>
      <c r="J1272">
        <f t="shared" si="153"/>
        <v>6413.2333693765431</v>
      </c>
      <c r="K1272" s="5">
        <f t="shared" si="154"/>
        <v>1033.2407588898882</v>
      </c>
      <c r="L1272" s="5">
        <f t="shared" si="155"/>
        <v>5.8597773944689506E-2</v>
      </c>
    </row>
    <row r="1273" spans="2:12">
      <c r="B1273">
        <v>12.357421875</v>
      </c>
      <c r="C1273">
        <v>2.06159800291061</v>
      </c>
      <c r="D1273">
        <v>48.710734375000001</v>
      </c>
      <c r="E1273" s="5">
        <f t="shared" si="149"/>
        <v>48710.734375</v>
      </c>
      <c r="F1273" s="5">
        <v>0.60428516007959798</v>
      </c>
      <c r="G1273">
        <f t="shared" si="150"/>
        <v>974.21468749999997</v>
      </c>
      <c r="H1273">
        <f t="shared" si="151"/>
        <v>6.0428516007959801E-2</v>
      </c>
      <c r="I1273">
        <f t="shared" si="152"/>
        <v>6.0673086817629771E-2</v>
      </c>
      <c r="J1273">
        <f t="shared" si="153"/>
        <v>6421.4759867554903</v>
      </c>
      <c r="K1273" s="5">
        <f t="shared" si="154"/>
        <v>1033.0850353387832</v>
      </c>
      <c r="L1273" s="5">
        <f t="shared" si="155"/>
        <v>5.8673086817629769E-2</v>
      </c>
    </row>
    <row r="1274" spans="2:12">
      <c r="B1274">
        <v>12.3671875</v>
      </c>
      <c r="C1274">
        <v>2.0637125708162798</v>
      </c>
      <c r="D1274">
        <v>48.715351562499997</v>
      </c>
      <c r="E1274" s="5">
        <f t="shared" si="149"/>
        <v>48715.3515625</v>
      </c>
      <c r="F1274" s="5">
        <v>0.605149602051824</v>
      </c>
      <c r="G1274">
        <f t="shared" si="150"/>
        <v>974.30703125000002</v>
      </c>
      <c r="H1274">
        <f t="shared" si="151"/>
        <v>6.0514960205182398E-2</v>
      </c>
      <c r="I1274">
        <f t="shared" si="152"/>
        <v>6.0754601670090433E-2</v>
      </c>
      <c r="J1274">
        <f t="shared" si="153"/>
        <v>6430.3973797830477</v>
      </c>
      <c r="K1274" s="5">
        <f t="shared" si="154"/>
        <v>1033.2671824737233</v>
      </c>
      <c r="L1274" s="5">
        <f t="shared" si="155"/>
        <v>5.8754601670090431E-2</v>
      </c>
    </row>
    <row r="1275" spans="2:12">
      <c r="B1275">
        <v>12.376953125</v>
      </c>
      <c r="C1275">
        <v>2.0652352832257699</v>
      </c>
      <c r="D1275">
        <v>48.728660156250001</v>
      </c>
      <c r="E1275" s="5">
        <f t="shared" si="149"/>
        <v>48728.66015625</v>
      </c>
      <c r="F1275" s="5">
        <v>0.60603412566706505</v>
      </c>
      <c r="G1275">
        <f t="shared" si="150"/>
        <v>974.57320312499996</v>
      </c>
      <c r="H1275">
        <f t="shared" si="151"/>
        <v>6.0603412566706504E-2</v>
      </c>
      <c r="I1275">
        <f t="shared" si="152"/>
        <v>6.0838003296997081E-2</v>
      </c>
      <c r="J1275">
        <f t="shared" si="153"/>
        <v>6439.5252708398457</v>
      </c>
      <c r="K1275" s="5">
        <f t="shared" si="154"/>
        <v>1033.635665030441</v>
      </c>
      <c r="L1275" s="5">
        <f t="shared" si="155"/>
        <v>5.883800329699708E-2</v>
      </c>
    </row>
    <row r="1276" spans="2:12">
      <c r="B1276">
        <v>12.38671875</v>
      </c>
      <c r="C1276">
        <v>2.0679263398051302</v>
      </c>
      <c r="D1276">
        <v>48.749640624999998</v>
      </c>
      <c r="E1276" s="5">
        <f t="shared" si="149"/>
        <v>48749.640625</v>
      </c>
      <c r="F1276" s="5">
        <v>0.60691754333674897</v>
      </c>
      <c r="G1276">
        <f t="shared" si="150"/>
        <v>974.99281250000001</v>
      </c>
      <c r="H1276">
        <f t="shared" si="151"/>
        <v>6.0691754333674894E-2</v>
      </c>
      <c r="I1276">
        <f t="shared" si="152"/>
        <v>6.092129370221544E-2</v>
      </c>
      <c r="J1276">
        <f t="shared" si="153"/>
        <v>6448.6409892389684</v>
      </c>
      <c r="K1276" s="5">
        <f t="shared" si="154"/>
        <v>1034.1668367533489</v>
      </c>
      <c r="L1276" s="5">
        <f t="shared" si="155"/>
        <v>5.8921293702215438E-2</v>
      </c>
    </row>
    <row r="1277" spans="2:12">
      <c r="B1277">
        <v>12.396484375</v>
      </c>
      <c r="C1277">
        <v>2.06867163069546</v>
      </c>
      <c r="D1277">
        <v>48.744730468749999</v>
      </c>
      <c r="E1277" s="5">
        <f t="shared" si="149"/>
        <v>48744.73046875</v>
      </c>
      <c r="F1277" s="5">
        <v>0.60779083287343405</v>
      </c>
      <c r="G1277">
        <f t="shared" si="150"/>
        <v>974.89460937499996</v>
      </c>
      <c r="H1277">
        <f t="shared" si="151"/>
        <v>6.0779083287343404E-2</v>
      </c>
      <c r="I1277">
        <f t="shared" si="152"/>
        <v>6.1003622388680658E-2</v>
      </c>
      <c r="J1277">
        <f t="shared" si="153"/>
        <v>6457.6514523291544</v>
      </c>
      <c r="K1277" s="5">
        <f t="shared" si="154"/>
        <v>1034.1478100345851</v>
      </c>
      <c r="L1277" s="5">
        <f t="shared" si="155"/>
        <v>5.9003622388680656E-2</v>
      </c>
    </row>
    <row r="1278" spans="2:12">
      <c r="B1278">
        <v>12.40625</v>
      </c>
      <c r="C1278">
        <v>2.0708634983748202</v>
      </c>
      <c r="D1278">
        <v>48.737078124999996</v>
      </c>
      <c r="E1278" s="5">
        <f t="shared" si="149"/>
        <v>48737.078125</v>
      </c>
      <c r="F1278" s="5">
        <v>0.60860026860609695</v>
      </c>
      <c r="G1278">
        <f t="shared" si="150"/>
        <v>974.74156249999999</v>
      </c>
      <c r="H1278">
        <f t="shared" si="151"/>
        <v>6.0860026860609692E-2</v>
      </c>
      <c r="I1278">
        <f t="shared" si="152"/>
        <v>6.1079925255571051E-2</v>
      </c>
      <c r="J1278">
        <f t="shared" si="153"/>
        <v>6466.0024195959732</v>
      </c>
      <c r="K1278" s="5">
        <f t="shared" si="154"/>
        <v>1034.0643601759025</v>
      </c>
      <c r="L1278" s="5">
        <f t="shared" si="155"/>
        <v>5.9079925255571049E-2</v>
      </c>
    </row>
    <row r="1279" spans="2:12">
      <c r="B1279">
        <v>12.416015625</v>
      </c>
      <c r="C1279">
        <v>2.0699992310255801</v>
      </c>
      <c r="D1279">
        <v>48.746242187500002</v>
      </c>
      <c r="E1279" s="5">
        <f t="shared" si="149"/>
        <v>48746.2421875</v>
      </c>
      <c r="F1279" s="5">
        <v>0.60951826162636302</v>
      </c>
      <c r="G1279">
        <f t="shared" si="150"/>
        <v>974.92484375000004</v>
      </c>
      <c r="H1279">
        <f t="shared" si="151"/>
        <v>6.0951826162636301E-2</v>
      </c>
      <c r="I1279">
        <f t="shared" si="152"/>
        <v>6.1166454418798324E-2</v>
      </c>
      <c r="J1279">
        <f t="shared" si="153"/>
        <v>6475.4726038653826</v>
      </c>
      <c r="K1279" s="5">
        <f t="shared" si="154"/>
        <v>1034.3482933478854</v>
      </c>
      <c r="L1279" s="5">
        <f t="shared" si="155"/>
        <v>5.9166454418798323E-2</v>
      </c>
    </row>
    <row r="1280" spans="2:12">
      <c r="B1280">
        <v>12.42578125</v>
      </c>
      <c r="C1280">
        <v>2.0733980927616402</v>
      </c>
      <c r="D1280">
        <v>48.741050781250003</v>
      </c>
      <c r="E1280" s="5">
        <f t="shared" si="149"/>
        <v>48741.05078125</v>
      </c>
      <c r="F1280" s="5">
        <v>0.61037059640511904</v>
      </c>
      <c r="G1280">
        <f t="shared" si="150"/>
        <v>974.82101562499997</v>
      </c>
      <c r="H1280">
        <f t="shared" si="151"/>
        <v>6.1037059640511905E-2</v>
      </c>
      <c r="I1280">
        <f t="shared" si="152"/>
        <v>6.1246787994993446E-2</v>
      </c>
      <c r="J1280">
        <f t="shared" si="153"/>
        <v>6484.2647121120572</v>
      </c>
      <c r="K1280" s="5">
        <f t="shared" si="154"/>
        <v>1034.3212240945275</v>
      </c>
      <c r="L1280" s="5">
        <f t="shared" si="155"/>
        <v>5.9246787994993444E-2</v>
      </c>
    </row>
    <row r="1281" spans="2:12">
      <c r="B1281">
        <v>12.435546875</v>
      </c>
      <c r="C1281">
        <v>2.0750374533236</v>
      </c>
      <c r="D1281">
        <v>48.734949218750003</v>
      </c>
      <c r="E1281" s="5">
        <f t="shared" si="149"/>
        <v>48734.94921875</v>
      </c>
      <c r="F1281" s="5">
        <v>0.61118783196434401</v>
      </c>
      <c r="G1281">
        <f t="shared" si="150"/>
        <v>974.69898437500001</v>
      </c>
      <c r="H1281">
        <f t="shared" si="151"/>
        <v>6.1118783196434399E-2</v>
      </c>
      <c r="I1281">
        <f t="shared" si="152"/>
        <v>6.132380736775888E-2</v>
      </c>
      <c r="J1281">
        <f t="shared" si="153"/>
        <v>6492.6940973643705</v>
      </c>
      <c r="K1281" s="5">
        <f t="shared" si="154"/>
        <v>1034.2714002828004</v>
      </c>
      <c r="L1281" s="5">
        <f t="shared" si="155"/>
        <v>5.9323807367758878E-2</v>
      </c>
    </row>
    <row r="1282" spans="2:12">
      <c r="B1282">
        <v>12.4453125</v>
      </c>
      <c r="C1282">
        <v>2.0774796139448899</v>
      </c>
      <c r="D1282">
        <v>48.7292109375</v>
      </c>
      <c r="E1282" s="5">
        <f t="shared" si="149"/>
        <v>48729.2109375</v>
      </c>
      <c r="F1282" s="5">
        <v>0.61211368301883295</v>
      </c>
      <c r="G1282">
        <f t="shared" si="150"/>
        <v>974.58421874999999</v>
      </c>
      <c r="H1282">
        <f t="shared" si="151"/>
        <v>6.1211368301883298E-2</v>
      </c>
      <c r="I1282">
        <f t="shared" si="152"/>
        <v>6.1411055909596099E-2</v>
      </c>
      <c r="J1282">
        <f t="shared" si="153"/>
        <v>6502.2430140257447</v>
      </c>
      <c r="K1282" s="5">
        <f t="shared" si="154"/>
        <v>1034.2398523051095</v>
      </c>
      <c r="L1282" s="5">
        <f t="shared" si="155"/>
        <v>5.9411055909596097E-2</v>
      </c>
    </row>
    <row r="1283" spans="2:12">
      <c r="B1283">
        <v>12.455078125</v>
      </c>
      <c r="C1283">
        <v>2.0775154698640099</v>
      </c>
      <c r="D1283">
        <v>48.716796875</v>
      </c>
      <c r="E1283" s="5">
        <f t="shared" si="149"/>
        <v>48716.796875</v>
      </c>
      <c r="F1283" s="5">
        <v>0.61291770543903101</v>
      </c>
      <c r="G1283">
        <f t="shared" si="150"/>
        <v>974.3359375</v>
      </c>
      <c r="H1283">
        <f t="shared" si="151"/>
        <v>6.1291770543903099E-2</v>
      </c>
      <c r="I1283">
        <f t="shared" si="152"/>
        <v>6.1486817627528778E-2</v>
      </c>
      <c r="J1283">
        <f t="shared" si="153"/>
        <v>6510.5347552448866</v>
      </c>
      <c r="K1283" s="5">
        <f t="shared" si="154"/>
        <v>1034.0547122139287</v>
      </c>
      <c r="L1283" s="5">
        <f t="shared" si="155"/>
        <v>5.9486817627528776E-2</v>
      </c>
    </row>
    <row r="1284" spans="2:12">
      <c r="B1284">
        <v>12.46484375</v>
      </c>
      <c r="C1284">
        <v>2.0798041950911301</v>
      </c>
      <c r="D1284">
        <v>48.729554687499999</v>
      </c>
      <c r="E1284" s="5">
        <f t="shared" si="149"/>
        <v>48729.5546875</v>
      </c>
      <c r="F1284" s="5">
        <v>0.61373680364340499</v>
      </c>
      <c r="G1284">
        <f t="shared" si="150"/>
        <v>974.59109375000003</v>
      </c>
      <c r="H1284">
        <f t="shared" si="151"/>
        <v>6.1373680364340502E-2</v>
      </c>
      <c r="I1284">
        <f t="shared" si="152"/>
        <v>6.1563994010121748E-2</v>
      </c>
      <c r="J1284">
        <f t="shared" si="153"/>
        <v>6518.9813244377747</v>
      </c>
      <c r="K1284" s="5">
        <f t="shared" si="154"/>
        <v>1034.4053360237456</v>
      </c>
      <c r="L1284" s="5">
        <f t="shared" si="155"/>
        <v>5.9563994010121746E-2</v>
      </c>
    </row>
    <row r="1285" spans="2:12">
      <c r="B1285">
        <v>12.474609375</v>
      </c>
      <c r="C1285">
        <v>2.0818188786506702</v>
      </c>
      <c r="D1285">
        <v>48.736609375</v>
      </c>
      <c r="E1285" s="5">
        <f t="shared" si="149"/>
        <v>48736.609375</v>
      </c>
      <c r="F1285" s="5">
        <v>0.61465625185519501</v>
      </c>
      <c r="G1285">
        <f t="shared" si="150"/>
        <v>974.73218750000001</v>
      </c>
      <c r="H1285">
        <f t="shared" si="151"/>
        <v>6.1465625185519498E-2</v>
      </c>
      <c r="I1285">
        <f t="shared" si="152"/>
        <v>6.165061839190706E-2</v>
      </c>
      <c r="J1285">
        <f t="shared" si="153"/>
        <v>6528.4619299022679</v>
      </c>
      <c r="K1285" s="5">
        <f t="shared" si="154"/>
        <v>1034.6447107931365</v>
      </c>
      <c r="L1285" s="5">
        <f t="shared" si="155"/>
        <v>5.9650618391907058E-2</v>
      </c>
    </row>
    <row r="1286" spans="2:12">
      <c r="B1286">
        <v>12.484375</v>
      </c>
      <c r="C1286">
        <v>2.0836859475821301</v>
      </c>
      <c r="D1286">
        <v>48.748304687500003</v>
      </c>
      <c r="E1286" s="5">
        <f t="shared" si="149"/>
        <v>48748.3046875</v>
      </c>
      <c r="F1286" s="5">
        <v>0.61550328973680701</v>
      </c>
      <c r="G1286">
        <f t="shared" si="150"/>
        <v>974.96609375000003</v>
      </c>
      <c r="H1286">
        <f t="shared" si="151"/>
        <v>6.15503289736807E-2</v>
      </c>
      <c r="I1286">
        <f t="shared" si="152"/>
        <v>6.1730414107092596E-2</v>
      </c>
      <c r="J1286">
        <f t="shared" si="153"/>
        <v>6537.1951719507488</v>
      </c>
      <c r="K1286" s="5">
        <f t="shared" si="154"/>
        <v>1034.975577558497</v>
      </c>
      <c r="L1286" s="5">
        <f t="shared" si="155"/>
        <v>5.9730414107092594E-2</v>
      </c>
    </row>
    <row r="1287" spans="2:12">
      <c r="B1287">
        <v>12.494140625</v>
      </c>
      <c r="C1287">
        <v>2.08482448942959</v>
      </c>
      <c r="D1287">
        <v>48.732292968750002</v>
      </c>
      <c r="E1287" s="5">
        <f t="shared" si="149"/>
        <v>48732.29296875</v>
      </c>
      <c r="F1287" s="5">
        <v>0.616348464973271</v>
      </c>
      <c r="G1287">
        <f t="shared" si="150"/>
        <v>974.64585937499999</v>
      </c>
      <c r="H1287">
        <f t="shared" si="151"/>
        <v>6.1634846497327103E-2</v>
      </c>
      <c r="I1287">
        <f t="shared" si="152"/>
        <v>6.1810028004803848E-2</v>
      </c>
      <c r="J1287">
        <f t="shared" si="153"/>
        <v>6545.9085149857565</v>
      </c>
      <c r="K1287" s="5">
        <f t="shared" si="154"/>
        <v>1034.7180073068334</v>
      </c>
      <c r="L1287" s="5">
        <f t="shared" si="155"/>
        <v>5.9810028004803846E-2</v>
      </c>
    </row>
    <row r="1288" spans="2:12">
      <c r="B1288">
        <v>12.50390625</v>
      </c>
      <c r="C1288">
        <v>2.08629504777491</v>
      </c>
      <c r="D1288">
        <v>48.702480468749997</v>
      </c>
      <c r="E1288" s="5">
        <f t="shared" si="149"/>
        <v>48702.48046875</v>
      </c>
      <c r="F1288" s="5">
        <v>0.61716540949419096</v>
      </c>
      <c r="G1288">
        <f t="shared" si="150"/>
        <v>974.04960937500005</v>
      </c>
      <c r="H1288">
        <f t="shared" si="151"/>
        <v>6.1716540949419099E-2</v>
      </c>
      <c r="I1288">
        <f t="shared" si="152"/>
        <v>6.1886976599007652E-2</v>
      </c>
      <c r="J1288">
        <f t="shared" si="153"/>
        <v>6554.3301538783926</v>
      </c>
      <c r="K1288" s="5">
        <f t="shared" si="154"/>
        <v>1034.164581978758</v>
      </c>
      <c r="L1288" s="5">
        <f t="shared" si="155"/>
        <v>5.9886976599007651E-2</v>
      </c>
    </row>
    <row r="1289" spans="2:12">
      <c r="B1289">
        <v>12.513671875</v>
      </c>
      <c r="C1289">
        <v>2.0873129833489701</v>
      </c>
      <c r="D1289">
        <v>48.708527343749999</v>
      </c>
      <c r="E1289" s="5">
        <f t="shared" ref="E1289:E1352" si="156" xml:space="preserve"> D1289*R$3</f>
        <v>48708.52734375</v>
      </c>
      <c r="F1289" s="5">
        <v>0.61799277318641499</v>
      </c>
      <c r="G1289">
        <f t="shared" ref="G1289:G1352" si="157" xml:space="preserve"> E1289/C$3</f>
        <v>974.17054687500001</v>
      </c>
      <c r="H1289">
        <f t="shared" ref="H1289:H1352" si="158" xml:space="preserve"> F1289/C$4</f>
        <v>6.1799277318641502E-2</v>
      </c>
      <c r="I1289">
        <f t="shared" ref="I1289:I1352" si="159">L1289+0.002</f>
        <v>6.1964900548104253E-2</v>
      </c>
      <c r="J1289">
        <f t="shared" ref="J1289:J1352" si="160">L1289*G$2</f>
        <v>6562.8585404872701</v>
      </c>
      <c r="K1289" s="5">
        <f t="shared" ref="K1289:K1352" si="161" xml:space="preserve"> G1289 * (1 + H1289)</f>
        <v>1034.3735826569809</v>
      </c>
      <c r="L1289" s="5">
        <f t="shared" ref="L1289:L1352" si="162">LN(1 + H1289)</f>
        <v>5.9964900548104251E-2</v>
      </c>
    </row>
    <row r="1290" spans="2:12">
      <c r="B1290">
        <v>12.5234375</v>
      </c>
      <c r="C1290">
        <v>2.0897909998893698</v>
      </c>
      <c r="D1290">
        <v>48.707828124999999</v>
      </c>
      <c r="E1290" s="5">
        <f t="shared" si="156"/>
        <v>48707.828125</v>
      </c>
      <c r="F1290" s="5">
        <v>0.61883823946118399</v>
      </c>
      <c r="G1290">
        <f t="shared" si="157"/>
        <v>974.15656249999995</v>
      </c>
      <c r="H1290">
        <f t="shared" si="158"/>
        <v>6.1883823946118396E-2</v>
      </c>
      <c r="I1290">
        <f t="shared" si="159"/>
        <v>6.2044523188102774E-2</v>
      </c>
      <c r="J1290">
        <f t="shared" si="160"/>
        <v>6571.5728403219082</v>
      </c>
      <c r="K1290" s="5">
        <f t="shared" si="161"/>
        <v>1034.4410957097057</v>
      </c>
      <c r="L1290" s="5">
        <f t="shared" si="162"/>
        <v>6.0044523188102772E-2</v>
      </c>
    </row>
    <row r="1291" spans="2:12">
      <c r="B1291">
        <v>12.533203125</v>
      </c>
      <c r="C1291">
        <v>2.0910142920911299</v>
      </c>
      <c r="D1291">
        <v>48.729207031249999</v>
      </c>
      <c r="E1291" s="5">
        <f t="shared" si="156"/>
        <v>48729.20703125</v>
      </c>
      <c r="F1291" s="5">
        <v>0.61970279784873095</v>
      </c>
      <c r="G1291">
        <f t="shared" si="157"/>
        <v>974.58414062500003</v>
      </c>
      <c r="H1291">
        <f t="shared" si="158"/>
        <v>6.1970279784873093E-2</v>
      </c>
      <c r="I1291">
        <f t="shared" si="159"/>
        <v>6.2125937291501544E-2</v>
      </c>
      <c r="J1291">
        <f t="shared" si="160"/>
        <v>6580.4832068683863</v>
      </c>
      <c r="K1291" s="5">
        <f t="shared" si="161"/>
        <v>1034.9793924934315</v>
      </c>
      <c r="L1291" s="5">
        <f t="shared" si="162"/>
        <v>6.0125937291501542E-2</v>
      </c>
    </row>
    <row r="1292" spans="2:12">
      <c r="B1292">
        <v>12.54296875</v>
      </c>
      <c r="C1292">
        <v>2.0935819484293501</v>
      </c>
      <c r="D1292">
        <v>48.735230468749997</v>
      </c>
      <c r="E1292" s="5">
        <f t="shared" si="156"/>
        <v>48735.23046875</v>
      </c>
      <c r="F1292" s="5">
        <v>0.62059267656877604</v>
      </c>
      <c r="G1292">
        <f t="shared" si="157"/>
        <v>974.70460937500002</v>
      </c>
      <c r="H1292">
        <f t="shared" si="158"/>
        <v>6.2059267656877602E-2</v>
      </c>
      <c r="I1292">
        <f t="shared" si="159"/>
        <v>6.2209728849075455E-2</v>
      </c>
      <c r="J1292">
        <f t="shared" si="160"/>
        <v>6589.6537738870629</v>
      </c>
      <c r="K1292" s="5">
        <f t="shared" si="161"/>
        <v>1035.1940636145955</v>
      </c>
      <c r="L1292" s="5">
        <f t="shared" si="162"/>
        <v>6.0209728849075453E-2</v>
      </c>
    </row>
    <row r="1293" spans="2:12">
      <c r="B1293">
        <v>12.552734375</v>
      </c>
      <c r="C1293">
        <v>2.0947188604623102</v>
      </c>
      <c r="D1293">
        <v>48.728191406249998</v>
      </c>
      <c r="E1293" s="5">
        <f t="shared" si="156"/>
        <v>48728.19140625</v>
      </c>
      <c r="F1293" s="5">
        <v>0.62141177477315102</v>
      </c>
      <c r="G1293">
        <f t="shared" si="157"/>
        <v>974.56382812499999</v>
      </c>
      <c r="H1293">
        <f t="shared" si="158"/>
        <v>6.2141177477315103E-2</v>
      </c>
      <c r="I1293">
        <f t="shared" si="159"/>
        <v>6.2286849462307274E-2</v>
      </c>
      <c r="J1293">
        <f t="shared" si="160"/>
        <v>6598.0942394022195</v>
      </c>
      <c r="K1293" s="5">
        <f t="shared" si="161"/>
        <v>1035.1243719314871</v>
      </c>
      <c r="L1293" s="5">
        <f t="shared" si="162"/>
        <v>6.0286849462307272E-2</v>
      </c>
    </row>
    <row r="1294" spans="2:12">
      <c r="B1294">
        <v>12.5625</v>
      </c>
      <c r="C1294">
        <v>2.09570839069784</v>
      </c>
      <c r="D1294">
        <v>48.712890625</v>
      </c>
      <c r="E1294" s="5">
        <f t="shared" si="156"/>
        <v>48712.890625</v>
      </c>
      <c r="F1294" s="5">
        <v>0.62228413298726104</v>
      </c>
      <c r="G1294">
        <f t="shared" si="157"/>
        <v>974.2578125</v>
      </c>
      <c r="H1294">
        <f t="shared" si="158"/>
        <v>6.2228413298726103E-2</v>
      </c>
      <c r="I1294">
        <f t="shared" si="159"/>
        <v>6.2368978129408163E-2</v>
      </c>
      <c r="J1294">
        <f t="shared" si="160"/>
        <v>6607.0828113730759</v>
      </c>
      <c r="K1294" s="5">
        <f t="shared" si="161"/>
        <v>1034.8843303157628</v>
      </c>
      <c r="L1294" s="5">
        <f t="shared" si="162"/>
        <v>6.0368978129408161E-2</v>
      </c>
    </row>
    <row r="1295" spans="2:12">
      <c r="B1295">
        <v>12.572265625</v>
      </c>
      <c r="C1295">
        <v>2.09689419716597</v>
      </c>
      <c r="D1295">
        <v>48.70225390625</v>
      </c>
      <c r="E1295" s="5">
        <f t="shared" si="156"/>
        <v>48702.25390625</v>
      </c>
      <c r="F1295" s="5">
        <v>0.62309799250215303</v>
      </c>
      <c r="G1295">
        <f t="shared" si="157"/>
        <v>974.04507812500003</v>
      </c>
      <c r="H1295">
        <f t="shared" si="158"/>
        <v>6.2309799250215306E-2</v>
      </c>
      <c r="I1295">
        <f t="shared" si="159"/>
        <v>6.2445593321404522E-2</v>
      </c>
      <c r="J1295">
        <f t="shared" si="160"/>
        <v>6615.4679610611174</v>
      </c>
      <c r="K1295" s="5">
        <f t="shared" si="161"/>
        <v>1034.7376314036292</v>
      </c>
      <c r="L1295" s="5">
        <f t="shared" si="162"/>
        <v>6.044559332140452E-2</v>
      </c>
    </row>
    <row r="1296" spans="2:12">
      <c r="B1296">
        <v>12.58203125</v>
      </c>
      <c r="C1296">
        <v>2.0989074837416402</v>
      </c>
      <c r="D1296">
        <v>48.698273437499999</v>
      </c>
      <c r="E1296" s="5">
        <f t="shared" si="156"/>
        <v>48698.2734375</v>
      </c>
      <c r="F1296" s="5">
        <v>0.62391400570049904</v>
      </c>
      <c r="G1296">
        <f t="shared" si="157"/>
        <v>973.96546875000001</v>
      </c>
      <c r="H1296">
        <f t="shared" si="158"/>
        <v>6.2391400570049903E-2</v>
      </c>
      <c r="I1296">
        <f t="shared" si="159"/>
        <v>6.252240536432295E-2</v>
      </c>
      <c r="J1296">
        <f t="shared" si="160"/>
        <v>6623.8746550983251</v>
      </c>
      <c r="K1296" s="5">
        <f t="shared" si="161"/>
        <v>1034.7325384521778</v>
      </c>
      <c r="L1296" s="5">
        <f t="shared" si="162"/>
        <v>6.0522405364322948E-2</v>
      </c>
    </row>
    <row r="1297" spans="2:12">
      <c r="B1297">
        <v>12.591796875</v>
      </c>
      <c r="C1297">
        <v>2.0999119151383598</v>
      </c>
      <c r="D1297">
        <v>48.726128906249997</v>
      </c>
      <c r="E1297" s="5">
        <f t="shared" si="156"/>
        <v>48726.12890625</v>
      </c>
      <c r="F1297" s="5">
        <v>0.624816457275301</v>
      </c>
      <c r="G1297">
        <f t="shared" si="157"/>
        <v>974.522578125</v>
      </c>
      <c r="H1297">
        <f t="shared" si="158"/>
        <v>6.2481645727530101E-2</v>
      </c>
      <c r="I1297">
        <f t="shared" si="159"/>
        <v>6.260734705784364E-2</v>
      </c>
      <c r="J1297">
        <f t="shared" si="160"/>
        <v>6633.1710987456981</v>
      </c>
      <c r="K1297" s="5">
        <f t="shared" si="161"/>
        <v>1035.4123526048854</v>
      </c>
      <c r="L1297" s="5">
        <f t="shared" si="162"/>
        <v>6.0607347057843645E-2</v>
      </c>
    </row>
    <row r="1298" spans="2:12">
      <c r="B1298">
        <v>12.6015625</v>
      </c>
      <c r="C1298">
        <v>2.1033838856965299</v>
      </c>
      <c r="D1298">
        <v>48.741101562499999</v>
      </c>
      <c r="E1298" s="5">
        <f t="shared" si="156"/>
        <v>48741.1015625</v>
      </c>
      <c r="F1298" s="5">
        <v>0.62566570704802904</v>
      </c>
      <c r="G1298">
        <f t="shared" si="157"/>
        <v>974.82203125000001</v>
      </c>
      <c r="H1298">
        <f t="shared" si="158"/>
        <v>6.2566570704802899E-2</v>
      </c>
      <c r="I1298">
        <f t="shared" si="159"/>
        <v>6.2687274634696977E-2</v>
      </c>
      <c r="J1298">
        <f t="shared" si="160"/>
        <v>6641.9187723944106</v>
      </c>
      <c r="K1298" s="5">
        <f t="shared" si="161"/>
        <v>1035.8133027928027</v>
      </c>
      <c r="L1298" s="5">
        <f t="shared" si="162"/>
        <v>6.0687274634696975E-2</v>
      </c>
    </row>
    <row r="1299" spans="2:12">
      <c r="B1299">
        <v>12.611328125</v>
      </c>
      <c r="C1299">
        <v>2.10436573252082</v>
      </c>
      <c r="D1299">
        <v>48.738742187500002</v>
      </c>
      <c r="E1299" s="5">
        <f t="shared" si="156"/>
        <v>48738.7421875</v>
      </c>
      <c r="F1299" s="5">
        <v>0.62658981187269103</v>
      </c>
      <c r="G1299">
        <f t="shared" si="157"/>
        <v>974.77484374999995</v>
      </c>
      <c r="H1299">
        <f t="shared" si="158"/>
        <v>6.2658981187269105E-2</v>
      </c>
      <c r="I1299">
        <f t="shared" si="159"/>
        <v>6.2774239975803656E-2</v>
      </c>
      <c r="J1299">
        <f t="shared" si="160"/>
        <v>6651.436694151831</v>
      </c>
      <c r="K1299" s="5">
        <f t="shared" si="161"/>
        <v>1035.8532423463544</v>
      </c>
      <c r="L1299" s="5">
        <f t="shared" si="162"/>
        <v>6.0774239975803654E-2</v>
      </c>
    </row>
    <row r="1300" spans="2:12">
      <c r="B1300">
        <v>12.62109375</v>
      </c>
      <c r="C1300">
        <v>2.1061256993562001</v>
      </c>
      <c r="D1300">
        <v>48.748679687500001</v>
      </c>
      <c r="E1300" s="5">
        <f t="shared" si="156"/>
        <v>48748.6796875</v>
      </c>
      <c r="F1300" s="5">
        <v>0.62741781584918499</v>
      </c>
      <c r="G1300">
        <f t="shared" si="157"/>
        <v>974.97359374999996</v>
      </c>
      <c r="H1300">
        <f t="shared" si="158"/>
        <v>6.2741781584918499E-2</v>
      </c>
      <c r="I1300">
        <f t="shared" si="159"/>
        <v>6.2852155067528087E-2</v>
      </c>
      <c r="J1300">
        <f t="shared" si="160"/>
        <v>6659.9641113656116</v>
      </c>
      <c r="K1300" s="5">
        <f t="shared" si="161"/>
        <v>1036.1451740201255</v>
      </c>
      <c r="L1300" s="5">
        <f t="shared" si="162"/>
        <v>6.0852155067528092E-2</v>
      </c>
    </row>
    <row r="1301" spans="2:12">
      <c r="B1301">
        <v>12.630859375</v>
      </c>
      <c r="C1301">
        <v>2.1081089507788402</v>
      </c>
      <c r="D1301">
        <v>48.741335937499997</v>
      </c>
      <c r="E1301" s="5">
        <f t="shared" si="156"/>
        <v>48741.3359375</v>
      </c>
      <c r="F1301" s="5">
        <v>0.62833842821419195</v>
      </c>
      <c r="G1301">
        <f t="shared" si="157"/>
        <v>974.82671875000005</v>
      </c>
      <c r="H1301">
        <f t="shared" si="158"/>
        <v>6.2833842821419197E-2</v>
      </c>
      <c r="I1301">
        <f t="shared" si="159"/>
        <v>6.293877747277328E-2</v>
      </c>
      <c r="J1301">
        <f t="shared" si="160"/>
        <v>6669.4445005076714</v>
      </c>
      <c r="K1301" s="5">
        <f t="shared" si="161"/>
        <v>1036.0788275740574</v>
      </c>
      <c r="L1301" s="5">
        <f t="shared" si="162"/>
        <v>6.0938777472773278E-2</v>
      </c>
    </row>
    <row r="1302" spans="2:12">
      <c r="B1302">
        <v>12.640625</v>
      </c>
      <c r="C1302">
        <v>2.10831896401942</v>
      </c>
      <c r="D1302">
        <v>48.735964843749997</v>
      </c>
      <c r="E1302" s="5">
        <f t="shared" si="156"/>
        <v>48735.96484375</v>
      </c>
      <c r="F1302" s="5">
        <v>0.62922801589593302</v>
      </c>
      <c r="G1302">
        <f t="shared" si="157"/>
        <v>974.71929687500005</v>
      </c>
      <c r="H1302">
        <f t="shared" si="158"/>
        <v>6.2922801589593305E-2</v>
      </c>
      <c r="I1302">
        <f t="shared" si="159"/>
        <v>6.3022473570781362E-2</v>
      </c>
      <c r="J1302">
        <f t="shared" si="160"/>
        <v>6678.6046199541661</v>
      </c>
      <c r="K1302" s="5">
        <f t="shared" si="161"/>
        <v>1036.0513657978136</v>
      </c>
      <c r="L1302" s="5">
        <f t="shared" si="162"/>
        <v>6.102247357078136E-2</v>
      </c>
    </row>
    <row r="1303" spans="2:12">
      <c r="B1303">
        <v>12.650390625</v>
      </c>
      <c r="C1303">
        <v>2.1120219025760898</v>
      </c>
      <c r="D1303">
        <v>48.745253906249999</v>
      </c>
      <c r="E1303" s="5">
        <f t="shared" si="156"/>
        <v>48745.25390625</v>
      </c>
      <c r="F1303" s="5">
        <v>0.63008285360410798</v>
      </c>
      <c r="G1303">
        <f t="shared" si="157"/>
        <v>974.90507812500005</v>
      </c>
      <c r="H1303">
        <f t="shared" si="158"/>
        <v>6.3008285360410796E-2</v>
      </c>
      <c r="I1303">
        <f t="shared" si="159"/>
        <v>6.3102893647789815E-2</v>
      </c>
      <c r="J1303">
        <f t="shared" si="160"/>
        <v>6687.4061952823558</v>
      </c>
      <c r="K1303" s="5">
        <f t="shared" si="161"/>
        <v>1036.3321754868136</v>
      </c>
      <c r="L1303" s="5">
        <f t="shared" si="162"/>
        <v>6.1102893647789813E-2</v>
      </c>
    </row>
    <row r="1304" spans="2:12">
      <c r="B1304">
        <v>12.66015625</v>
      </c>
      <c r="C1304">
        <v>2.1135329734533999</v>
      </c>
      <c r="D1304">
        <v>48.723917968750001</v>
      </c>
      <c r="E1304" s="5">
        <f t="shared" si="156"/>
        <v>48723.91796875</v>
      </c>
      <c r="F1304" s="5">
        <v>0.63089927425607994</v>
      </c>
      <c r="G1304">
        <f t="shared" si="157"/>
        <v>974.47835937499997</v>
      </c>
      <c r="H1304">
        <f t="shared" si="158"/>
        <v>6.3089927425607997E-2</v>
      </c>
      <c r="I1304">
        <f t="shared" si="159"/>
        <v>6.3179693547950944E-2</v>
      </c>
      <c r="J1304">
        <f t="shared" si="160"/>
        <v>6695.8115603554907</v>
      </c>
      <c r="K1304" s="5">
        <f t="shared" si="161"/>
        <v>1035.9581283457942</v>
      </c>
      <c r="L1304" s="5">
        <f t="shared" si="162"/>
        <v>6.1179693547950942E-2</v>
      </c>
    </row>
    <row r="1305" spans="2:12">
      <c r="B1305">
        <v>12.669921875</v>
      </c>
      <c r="C1305">
        <v>2.11106822825968</v>
      </c>
      <c r="D1305">
        <v>48.723976562499999</v>
      </c>
      <c r="E1305" s="5">
        <f t="shared" si="156"/>
        <v>48723.9765625</v>
      </c>
      <c r="F1305" s="5">
        <v>0.63186913030222103</v>
      </c>
      <c r="G1305">
        <f t="shared" si="157"/>
        <v>974.47953125000004</v>
      </c>
      <c r="H1305">
        <f t="shared" si="158"/>
        <v>6.31869130302221E-2</v>
      </c>
      <c r="I1305">
        <f t="shared" si="159"/>
        <v>6.3270919302599607E-2</v>
      </c>
      <c r="J1305">
        <f t="shared" si="160"/>
        <v>6705.7957630730134</v>
      </c>
      <c r="K1305" s="5">
        <f t="shared" si="161"/>
        <v>1036.0538846408253</v>
      </c>
      <c r="L1305" s="5">
        <f t="shared" si="162"/>
        <v>6.1270919302599605E-2</v>
      </c>
    </row>
    <row r="1306" spans="2:12">
      <c r="B1306">
        <v>12.6796875</v>
      </c>
      <c r="C1306">
        <v>2.11766501888633</v>
      </c>
      <c r="D1306">
        <v>48.724687500000002</v>
      </c>
      <c r="E1306" s="5">
        <f t="shared" si="156"/>
        <v>48724.6875</v>
      </c>
      <c r="F1306" s="5">
        <v>0.632596376817673</v>
      </c>
      <c r="G1306">
        <f t="shared" si="157"/>
        <v>974.49374999999998</v>
      </c>
      <c r="H1306">
        <f t="shared" si="158"/>
        <v>6.3259637681767303E-2</v>
      </c>
      <c r="I1306">
        <f t="shared" si="159"/>
        <v>6.3339319471462804E-2</v>
      </c>
      <c r="J1306">
        <f t="shared" si="160"/>
        <v>6713.2818195542468</v>
      </c>
      <c r="K1306" s="5">
        <f t="shared" si="161"/>
        <v>1036.1398715481466</v>
      </c>
      <c r="L1306" s="5">
        <f t="shared" si="162"/>
        <v>6.133931947146281E-2</v>
      </c>
    </row>
    <row r="1307" spans="2:12">
      <c r="B1307">
        <v>12.689453125</v>
      </c>
      <c r="C1307">
        <v>2.1186084486544101</v>
      </c>
      <c r="D1307">
        <v>48.701722656249999</v>
      </c>
      <c r="E1307" s="5">
        <f t="shared" si="156"/>
        <v>48701.72265625</v>
      </c>
      <c r="F1307" s="5">
        <v>0.63347606919705901</v>
      </c>
      <c r="G1307">
        <f t="shared" si="157"/>
        <v>974.03445312500003</v>
      </c>
      <c r="H1307">
        <f t="shared" si="158"/>
        <v>6.3347606919705896E-2</v>
      </c>
      <c r="I1307">
        <f t="shared" si="159"/>
        <v>6.3422051474010074E-2</v>
      </c>
      <c r="J1307">
        <f t="shared" si="160"/>
        <v>6722.3364235730323</v>
      </c>
      <c r="K1307" s="5">
        <f t="shared" si="161"/>
        <v>1035.7372047878132</v>
      </c>
      <c r="L1307" s="5">
        <f t="shared" si="162"/>
        <v>6.1422051474010073E-2</v>
      </c>
    </row>
    <row r="1308" spans="2:12">
      <c r="B1308">
        <v>12.69921875</v>
      </c>
      <c r="C1308">
        <v>2.1201863419264599</v>
      </c>
      <c r="D1308">
        <v>48.715105468749996</v>
      </c>
      <c r="E1308" s="5">
        <f t="shared" si="156"/>
        <v>48715.10546875</v>
      </c>
      <c r="F1308" s="5">
        <v>0.63436367781832803</v>
      </c>
      <c r="G1308">
        <f t="shared" si="157"/>
        <v>974.30210937499999</v>
      </c>
      <c r="H1308">
        <f t="shared" si="158"/>
        <v>6.34363677818328E-2</v>
      </c>
      <c r="I1308">
        <f t="shared" si="159"/>
        <v>6.3505521034843998E-2</v>
      </c>
      <c r="J1308">
        <f t="shared" si="160"/>
        <v>6731.4717496585008</v>
      </c>
      <c r="K1308" s="5">
        <f t="shared" si="161"/>
        <v>1036.1082963159279</v>
      </c>
      <c r="L1308" s="5">
        <f t="shared" si="162"/>
        <v>6.1505521034843996E-2</v>
      </c>
    </row>
    <row r="1309" spans="2:12">
      <c r="B1309">
        <v>12.708984375</v>
      </c>
      <c r="C1309">
        <v>2.12022056803107</v>
      </c>
      <c r="D1309">
        <v>48.702304687500003</v>
      </c>
      <c r="E1309" s="5">
        <f t="shared" si="156"/>
        <v>48702.3046875</v>
      </c>
      <c r="F1309" s="5">
        <v>0.63513149507343802</v>
      </c>
      <c r="G1309">
        <f t="shared" si="157"/>
        <v>974.04609374999995</v>
      </c>
      <c r="H1309">
        <f t="shared" si="158"/>
        <v>6.3513149507343797E-2</v>
      </c>
      <c r="I1309">
        <f t="shared" si="159"/>
        <v>6.3577719951574435E-2</v>
      </c>
      <c r="J1309">
        <f t="shared" si="160"/>
        <v>6739.3735601000644</v>
      </c>
      <c r="K1309" s="5">
        <f t="shared" si="161"/>
        <v>1035.9108289293879</v>
      </c>
      <c r="L1309" s="5">
        <f t="shared" si="162"/>
        <v>6.157771995157444E-2</v>
      </c>
    </row>
    <row r="1310" spans="2:12">
      <c r="B1310">
        <v>12.71875</v>
      </c>
      <c r="C1310">
        <v>2.1220401395112298</v>
      </c>
      <c r="D1310">
        <v>48.713496093750003</v>
      </c>
      <c r="E1310" s="5">
        <f t="shared" si="156"/>
        <v>48713.49609375</v>
      </c>
      <c r="F1310" s="5">
        <v>0.63608045456930995</v>
      </c>
      <c r="G1310">
        <f t="shared" si="157"/>
        <v>974.26992187500002</v>
      </c>
      <c r="H1310">
        <f t="shared" si="158"/>
        <v>6.3608045456930995E-2</v>
      </c>
      <c r="I1310">
        <f t="shared" si="159"/>
        <v>6.3666944721535682E-2</v>
      </c>
      <c r="J1310">
        <f t="shared" si="160"/>
        <v>6749.1387650484721</v>
      </c>
      <c r="K1310" s="5">
        <f t="shared" si="161"/>
        <v>1036.2413273529457</v>
      </c>
      <c r="L1310" s="5">
        <f t="shared" si="162"/>
        <v>6.166694472153568E-2</v>
      </c>
    </row>
    <row r="1311" spans="2:12">
      <c r="B1311">
        <v>12.728515625</v>
      </c>
      <c r="C1311">
        <v>2.1235255990177402</v>
      </c>
      <c r="D1311">
        <v>48.709644531249999</v>
      </c>
      <c r="E1311" s="5">
        <f t="shared" si="156"/>
        <v>48709.64453125</v>
      </c>
      <c r="F1311" s="5">
        <v>0.63692248659208395</v>
      </c>
      <c r="G1311">
        <f t="shared" si="157"/>
        <v>974.19289062500002</v>
      </c>
      <c r="H1311">
        <f t="shared" si="158"/>
        <v>6.3692248659208389E-2</v>
      </c>
      <c r="I1311">
        <f t="shared" si="159"/>
        <v>6.3746109099554416E-2</v>
      </c>
      <c r="J1311">
        <f t="shared" si="160"/>
        <v>6757.8029104007337</v>
      </c>
      <c r="K1311" s="5">
        <f t="shared" si="161"/>
        <v>1036.2414264567205</v>
      </c>
      <c r="L1311" s="5">
        <f t="shared" si="162"/>
        <v>6.1746109099554421E-2</v>
      </c>
    </row>
    <row r="1312" spans="2:12">
      <c r="B1312">
        <v>12.73828125</v>
      </c>
      <c r="C1312">
        <v>2.12485925294459</v>
      </c>
      <c r="D1312">
        <v>48.703835937500003</v>
      </c>
      <c r="E1312" s="5">
        <f t="shared" si="156"/>
        <v>48703.8359375</v>
      </c>
      <c r="F1312" s="5">
        <v>0.63770805718377199</v>
      </c>
      <c r="G1312">
        <f t="shared" si="157"/>
        <v>974.07671875000005</v>
      </c>
      <c r="H1312">
        <f t="shared" si="158"/>
        <v>6.3770805718377205E-2</v>
      </c>
      <c r="I1312">
        <f t="shared" si="159"/>
        <v>6.3819959556362937E-2</v>
      </c>
      <c r="J1312">
        <f t="shared" si="160"/>
        <v>6765.8854736461426</v>
      </c>
      <c r="K1312" s="5">
        <f t="shared" si="161"/>
        <v>1036.1943759362007</v>
      </c>
      <c r="L1312" s="5">
        <f t="shared" si="162"/>
        <v>6.1819959556362943E-2</v>
      </c>
    </row>
    <row r="1313" spans="2:12">
      <c r="B1313">
        <v>12.748046875</v>
      </c>
      <c r="C1313">
        <v>2.1272376179695098</v>
      </c>
      <c r="D1313">
        <v>48.713261718749997</v>
      </c>
      <c r="E1313" s="5">
        <f t="shared" si="156"/>
        <v>48713.26171875</v>
      </c>
      <c r="F1313" s="5">
        <v>0.63866790151223496</v>
      </c>
      <c r="G1313">
        <f t="shared" si="157"/>
        <v>974.26523437499998</v>
      </c>
      <c r="H1313">
        <f t="shared" si="158"/>
        <v>6.3866790151223499E-2</v>
      </c>
      <c r="I1313">
        <f t="shared" si="159"/>
        <v>6.391018585533205E-2</v>
      </c>
      <c r="J1313">
        <f t="shared" si="160"/>
        <v>6775.7602909368161</v>
      </c>
      <c r="K1313" s="5">
        <f t="shared" si="161"/>
        <v>1036.4884276504606</v>
      </c>
      <c r="L1313" s="5">
        <f t="shared" si="162"/>
        <v>6.1910185855332048E-2</v>
      </c>
    </row>
    <row r="1314" spans="2:12">
      <c r="B1314">
        <v>12.7578125</v>
      </c>
      <c r="C1314">
        <v>2.1289081778377299</v>
      </c>
      <c r="D1314">
        <v>48.706550781250002</v>
      </c>
      <c r="E1314" s="5">
        <f t="shared" si="156"/>
        <v>48706.55078125</v>
      </c>
      <c r="F1314" s="5">
        <v>0.63944712746888399</v>
      </c>
      <c r="G1314">
        <f t="shared" si="157"/>
        <v>974.13101562500003</v>
      </c>
      <c r="H1314">
        <f t="shared" si="158"/>
        <v>6.3944712746888399E-2</v>
      </c>
      <c r="I1314">
        <f t="shared" si="159"/>
        <v>6.3983427865344278E-2</v>
      </c>
      <c r="J1314">
        <f t="shared" si="160"/>
        <v>6783.7762627226039</v>
      </c>
      <c r="K1314" s="5">
        <f t="shared" si="161"/>
        <v>1036.4215435969754</v>
      </c>
      <c r="L1314" s="5">
        <f t="shared" si="162"/>
        <v>6.1983427865344276E-2</v>
      </c>
    </row>
    <row r="1315" spans="2:12">
      <c r="B1315">
        <v>12.767578125</v>
      </c>
      <c r="C1315">
        <v>2.12985882535577</v>
      </c>
      <c r="D1315">
        <v>48.701792968749999</v>
      </c>
      <c r="E1315" s="5">
        <f t="shared" si="156"/>
        <v>48701.79296875</v>
      </c>
      <c r="F1315" s="5">
        <v>0.64036215189844403</v>
      </c>
      <c r="G1315">
        <f t="shared" si="157"/>
        <v>974.03585937499997</v>
      </c>
      <c r="H1315">
        <f t="shared" si="158"/>
        <v>6.4036215189844398E-2</v>
      </c>
      <c r="I1315">
        <f t="shared" si="159"/>
        <v>6.4069427172773294E-2</v>
      </c>
      <c r="J1315">
        <f t="shared" si="160"/>
        <v>6793.1884569241738</v>
      </c>
      <c r="K1315" s="5">
        <f t="shared" si="161"/>
        <v>1036.4094292685625</v>
      </c>
      <c r="L1315" s="5">
        <f t="shared" si="162"/>
        <v>6.2069427172773299E-2</v>
      </c>
    </row>
    <row r="1316" spans="2:12">
      <c r="B1316">
        <v>12.77734375</v>
      </c>
      <c r="C1316">
        <v>2.1309584844857499</v>
      </c>
      <c r="D1316">
        <v>48.722289062500003</v>
      </c>
      <c r="E1316" s="5">
        <f t="shared" si="156"/>
        <v>48722.2890625</v>
      </c>
      <c r="F1316" s="5">
        <v>0.64124580239877105</v>
      </c>
      <c r="G1316">
        <f t="shared" si="157"/>
        <v>974.44578124999998</v>
      </c>
      <c r="H1316">
        <f t="shared" si="158"/>
        <v>6.4124580239877105E-2</v>
      </c>
      <c r="I1316">
        <f t="shared" si="159"/>
        <v>6.4152470756954794E-2</v>
      </c>
      <c r="J1316">
        <f t="shared" si="160"/>
        <v>6802.2771619949181</v>
      </c>
      <c r="K1316" s="5">
        <f t="shared" si="161"/>
        <v>1036.9317079391753</v>
      </c>
      <c r="L1316" s="5">
        <f t="shared" si="162"/>
        <v>6.2152470756954799E-2</v>
      </c>
    </row>
    <row r="1317" spans="2:12">
      <c r="B1317">
        <v>12.787109375</v>
      </c>
      <c r="C1317">
        <v>2.1341652609407902</v>
      </c>
      <c r="D1317">
        <v>48.72300390625</v>
      </c>
      <c r="E1317" s="5">
        <f t="shared" si="156"/>
        <v>48723.00390625</v>
      </c>
      <c r="F1317" s="5">
        <v>0.64208451658487298</v>
      </c>
      <c r="G1317">
        <f t="shared" si="157"/>
        <v>974.460078125</v>
      </c>
      <c r="H1317">
        <f t="shared" si="158"/>
        <v>6.4208451658487292E-2</v>
      </c>
      <c r="I1317">
        <f t="shared" si="159"/>
        <v>6.423128494382932E-2</v>
      </c>
      <c r="J1317">
        <f t="shared" si="160"/>
        <v>6810.9029806773997</v>
      </c>
      <c r="K1317" s="5">
        <f t="shared" si="161"/>
        <v>1037.0286509444147</v>
      </c>
      <c r="L1317" s="5">
        <f t="shared" si="162"/>
        <v>6.2231284943829318E-2</v>
      </c>
    </row>
    <row r="1318" spans="2:12">
      <c r="B1318">
        <v>12.796875</v>
      </c>
      <c r="C1318">
        <v>2.1350085735321001</v>
      </c>
      <c r="D1318">
        <v>48.728054687499998</v>
      </c>
      <c r="E1318" s="5">
        <f t="shared" si="156"/>
        <v>48728.0546875</v>
      </c>
      <c r="F1318" s="5">
        <v>0.64294727053493295</v>
      </c>
      <c r="G1318">
        <f t="shared" si="157"/>
        <v>974.56109375000005</v>
      </c>
      <c r="H1318">
        <f t="shared" si="158"/>
        <v>6.4294727053493289E-2</v>
      </c>
      <c r="I1318">
        <f t="shared" si="159"/>
        <v>6.4312351672708157E-2</v>
      </c>
      <c r="J1318">
        <f t="shared" si="160"/>
        <v>6819.7753288195436</v>
      </c>
      <c r="K1318" s="5">
        <f t="shared" si="161"/>
        <v>1037.2202332696102</v>
      </c>
      <c r="L1318" s="5">
        <f t="shared" si="162"/>
        <v>6.2312351672708155E-2</v>
      </c>
    </row>
    <row r="1319" spans="2:12">
      <c r="B1319">
        <v>12.806640625</v>
      </c>
      <c r="C1319">
        <v>2.1379813551902802</v>
      </c>
      <c r="D1319">
        <v>48.71902734375</v>
      </c>
      <c r="E1319" s="5">
        <f t="shared" si="156"/>
        <v>48719.02734375</v>
      </c>
      <c r="F1319" s="5">
        <v>0.64386572921648599</v>
      </c>
      <c r="G1319">
        <f t="shared" si="157"/>
        <v>974.38054687500005</v>
      </c>
      <c r="H1319">
        <f t="shared" si="158"/>
        <v>6.4386572921648594E-2</v>
      </c>
      <c r="I1319">
        <f t="shared" si="159"/>
        <v>6.4398645349655878E-2</v>
      </c>
      <c r="J1319">
        <f t="shared" si="160"/>
        <v>6829.2197402930869</v>
      </c>
      <c r="K1319" s="5">
        <f t="shared" si="161"/>
        <v>1037.1175710098032</v>
      </c>
      <c r="L1319" s="5">
        <f t="shared" si="162"/>
        <v>6.2398645349655876E-2</v>
      </c>
    </row>
    <row r="1320" spans="2:12">
      <c r="B1320">
        <v>12.81640625</v>
      </c>
      <c r="C1320">
        <v>2.1403133869171098</v>
      </c>
      <c r="D1320">
        <v>48.711035156249999</v>
      </c>
      <c r="E1320" s="5">
        <f t="shared" si="156"/>
        <v>48711.03515625</v>
      </c>
      <c r="F1320" s="5">
        <v>0.64471160294488095</v>
      </c>
      <c r="G1320">
        <f t="shared" si="157"/>
        <v>974.220703125</v>
      </c>
      <c r="H1320">
        <f t="shared" si="158"/>
        <v>6.44711602944881E-2</v>
      </c>
      <c r="I1320">
        <f t="shared" si="159"/>
        <v>6.4478112729334819E-2</v>
      </c>
      <c r="J1320">
        <f t="shared" si="160"/>
        <v>6837.9170476620493</v>
      </c>
      <c r="K1320" s="5">
        <f t="shared" si="161"/>
        <v>1037.0298422383808</v>
      </c>
      <c r="L1320" s="5">
        <f t="shared" si="162"/>
        <v>6.2478112729334817E-2</v>
      </c>
    </row>
    <row r="1321" spans="2:12">
      <c r="B1321">
        <v>12.826171875</v>
      </c>
      <c r="C1321">
        <v>2.14122538454831</v>
      </c>
      <c r="D1321">
        <v>48.738503906250003</v>
      </c>
      <c r="E1321" s="5">
        <f t="shared" si="156"/>
        <v>48738.50390625</v>
      </c>
      <c r="F1321" s="5">
        <v>0.64567528897896398</v>
      </c>
      <c r="G1321">
        <f t="shared" si="157"/>
        <v>974.77007812500005</v>
      </c>
      <c r="H1321">
        <f t="shared" si="158"/>
        <v>6.4567528897896395E-2</v>
      </c>
      <c r="I1321">
        <f t="shared" si="159"/>
        <v>6.4568640537930641E-2</v>
      </c>
      <c r="J1321">
        <f t="shared" si="160"/>
        <v>6847.824863673819</v>
      </c>
      <c r="K1321" s="5">
        <f t="shared" si="161"/>
        <v>1037.7085733131407</v>
      </c>
      <c r="L1321" s="5">
        <f t="shared" si="162"/>
        <v>6.2568640537930639E-2</v>
      </c>
    </row>
    <row r="1322" spans="2:12">
      <c r="B1322">
        <v>12.8359375</v>
      </c>
      <c r="C1322">
        <v>2.1410079207271302</v>
      </c>
      <c r="D1322">
        <v>48.743152343749998</v>
      </c>
      <c r="E1322" s="5">
        <f t="shared" si="156"/>
        <v>48743.15234375</v>
      </c>
      <c r="F1322" s="5">
        <v>0.64654834568500497</v>
      </c>
      <c r="G1322">
        <f t="shared" si="157"/>
        <v>974.86304687500001</v>
      </c>
      <c r="H1322">
        <f t="shared" si="158"/>
        <v>6.4654834568500491E-2</v>
      </c>
      <c r="I1322">
        <f t="shared" si="159"/>
        <v>6.4650647633244906E-2</v>
      </c>
      <c r="J1322">
        <f t="shared" si="160"/>
        <v>6856.8001302204884</v>
      </c>
      <c r="K1322" s="5">
        <f t="shared" si="161"/>
        <v>1037.8926558976475</v>
      </c>
      <c r="L1322" s="5">
        <f t="shared" si="162"/>
        <v>6.2650647633244905E-2</v>
      </c>
    </row>
    <row r="1323" spans="2:12">
      <c r="B1323">
        <v>12.845703125</v>
      </c>
      <c r="C1323">
        <v>2.1418782416731101</v>
      </c>
      <c r="D1323">
        <v>48.746292968749998</v>
      </c>
      <c r="E1323" s="5">
        <f t="shared" si="156"/>
        <v>48746.29296875</v>
      </c>
      <c r="F1323" s="5">
        <v>0.64741418464109302</v>
      </c>
      <c r="G1323">
        <f t="shared" si="157"/>
        <v>974.92585937499996</v>
      </c>
      <c r="H1323">
        <f t="shared" si="158"/>
        <v>6.4741418464109302E-2</v>
      </c>
      <c r="I1323">
        <f t="shared" si="159"/>
        <v>6.4731970116585616E-2</v>
      </c>
      <c r="J1323">
        <f t="shared" si="160"/>
        <v>6865.7004694097122</v>
      </c>
      <c r="K1323" s="5">
        <f t="shared" si="161"/>
        <v>1038.0439424082781</v>
      </c>
      <c r="L1323" s="5">
        <f t="shared" si="162"/>
        <v>6.2731970116585614E-2</v>
      </c>
    </row>
    <row r="1324" spans="2:12">
      <c r="B1324">
        <v>12.85546875</v>
      </c>
      <c r="C1324">
        <v>2.1456480026245099</v>
      </c>
      <c r="D1324">
        <v>48.769710937500001</v>
      </c>
      <c r="E1324" s="5">
        <f t="shared" si="156"/>
        <v>48769.7109375</v>
      </c>
      <c r="F1324" s="5">
        <v>0.64841739367693696</v>
      </c>
      <c r="G1324">
        <f t="shared" si="157"/>
        <v>975.39421875000005</v>
      </c>
      <c r="H1324">
        <f t="shared" si="158"/>
        <v>6.484173936769369E-2</v>
      </c>
      <c r="I1324">
        <f t="shared" si="159"/>
        <v>6.4826186586404724E-2</v>
      </c>
      <c r="J1324">
        <f t="shared" si="160"/>
        <v>6876.011990949065</v>
      </c>
      <c r="K1324" s="5">
        <f t="shared" si="161"/>
        <v>1038.6404764629428</v>
      </c>
      <c r="L1324" s="5">
        <f t="shared" si="162"/>
        <v>6.2826186586404723E-2</v>
      </c>
    </row>
    <row r="1325" spans="2:12">
      <c r="B1325">
        <v>12.865234375</v>
      </c>
      <c r="C1325">
        <v>2.1470757201313999</v>
      </c>
      <c r="D1325">
        <v>48.759539062499996</v>
      </c>
      <c r="E1325" s="5">
        <f t="shared" si="156"/>
        <v>48759.5390625</v>
      </c>
      <c r="F1325" s="5">
        <v>0.64929691143333901</v>
      </c>
      <c r="G1325">
        <f t="shared" si="157"/>
        <v>975.19078124999999</v>
      </c>
      <c r="H1325">
        <f t="shared" si="158"/>
        <v>6.4929691143333898E-2</v>
      </c>
      <c r="I1325">
        <f t="shared" si="159"/>
        <v>6.4908779276334025E-2</v>
      </c>
      <c r="J1325">
        <f t="shared" si="160"/>
        <v>6885.0513478983776</v>
      </c>
      <c r="K1325" s="5">
        <f t="shared" si="161"/>
        <v>1038.5096174823889</v>
      </c>
      <c r="L1325" s="5">
        <f t="shared" si="162"/>
        <v>6.2908779276334023E-2</v>
      </c>
    </row>
    <row r="1326" spans="2:12">
      <c r="B1326">
        <v>12.875</v>
      </c>
      <c r="C1326">
        <v>2.1492540836334202</v>
      </c>
      <c r="D1326">
        <v>48.7610546875</v>
      </c>
      <c r="E1326" s="5">
        <f t="shared" si="156"/>
        <v>48761.0546875</v>
      </c>
      <c r="F1326" s="5">
        <v>0.65027480013668504</v>
      </c>
      <c r="G1326">
        <f t="shared" si="157"/>
        <v>975.22109375000002</v>
      </c>
      <c r="H1326">
        <f t="shared" si="158"/>
        <v>6.5027480013668509E-2</v>
      </c>
      <c r="I1326">
        <f t="shared" si="159"/>
        <v>6.5000601658236873E-2</v>
      </c>
      <c r="J1326">
        <f t="shared" si="160"/>
        <v>6895.1008484857348</v>
      </c>
      <c r="K1326" s="5">
        <f t="shared" si="161"/>
        <v>1038.6372639327362</v>
      </c>
      <c r="L1326" s="5">
        <f t="shared" si="162"/>
        <v>6.3000601658236871E-2</v>
      </c>
    </row>
    <row r="1327" spans="2:12">
      <c r="B1327">
        <v>12.884765625</v>
      </c>
      <c r="C1327">
        <v>2.1509078796952998</v>
      </c>
      <c r="D1327">
        <v>48.74041015625</v>
      </c>
      <c r="E1327" s="5">
        <f t="shared" si="156"/>
        <v>48740.41015625</v>
      </c>
      <c r="F1327" s="5">
        <v>0.65115367760881804</v>
      </c>
      <c r="G1327">
        <f t="shared" si="157"/>
        <v>974.80820312499998</v>
      </c>
      <c r="H1327">
        <f t="shared" si="158"/>
        <v>6.5115367760881809E-2</v>
      </c>
      <c r="I1327">
        <f t="shared" si="159"/>
        <v>6.5083119830532152E-2</v>
      </c>
      <c r="J1327">
        <f t="shared" si="160"/>
        <v>6904.1320498525911</v>
      </c>
      <c r="K1327" s="5">
        <f t="shared" si="161"/>
        <v>1038.2831977678086</v>
      </c>
      <c r="L1327" s="5">
        <f t="shared" si="162"/>
        <v>6.308311983053215E-2</v>
      </c>
    </row>
    <row r="1328" spans="2:12">
      <c r="B1328">
        <v>12.89453125</v>
      </c>
      <c r="C1328">
        <v>2.1518215071409901</v>
      </c>
      <c r="D1328">
        <v>48.71125</v>
      </c>
      <c r="E1328" s="5">
        <f t="shared" si="156"/>
        <v>48711.25</v>
      </c>
      <c r="F1328" s="5">
        <v>0.65192522015422605</v>
      </c>
      <c r="G1328">
        <f t="shared" si="157"/>
        <v>974.22500000000002</v>
      </c>
      <c r="H1328">
        <f t="shared" si="158"/>
        <v>6.519252201542261E-2</v>
      </c>
      <c r="I1328">
        <f t="shared" si="159"/>
        <v>6.515555466959444E-2</v>
      </c>
      <c r="J1328">
        <f t="shared" si="160"/>
        <v>6912.0596808137634</v>
      </c>
      <c r="K1328" s="5">
        <f t="shared" si="161"/>
        <v>1037.7371847604752</v>
      </c>
      <c r="L1328" s="5">
        <f t="shared" si="162"/>
        <v>6.3155554669594438E-2</v>
      </c>
    </row>
    <row r="1329" spans="2:12">
      <c r="B1329">
        <v>12.904296875</v>
      </c>
      <c r="C1329">
        <v>2.1537230350077201</v>
      </c>
      <c r="D1329">
        <v>48.715414062500003</v>
      </c>
      <c r="E1329" s="5">
        <f t="shared" si="156"/>
        <v>48715.4140625</v>
      </c>
      <c r="F1329" s="5">
        <v>0.65277831163257405</v>
      </c>
      <c r="G1329">
        <f t="shared" si="157"/>
        <v>974.30828125000005</v>
      </c>
      <c r="H1329">
        <f t="shared" si="158"/>
        <v>6.5277831163257402E-2</v>
      </c>
      <c r="I1329">
        <f t="shared" si="159"/>
        <v>6.5235639471293835E-2</v>
      </c>
      <c r="J1329">
        <f t="shared" si="160"/>
        <v>6920.824561935754</v>
      </c>
      <c r="K1329" s="5">
        <f t="shared" si="161"/>
        <v>1037.9090127344011</v>
      </c>
      <c r="L1329" s="5">
        <f t="shared" si="162"/>
        <v>6.3235639471293834E-2</v>
      </c>
    </row>
    <row r="1330" spans="2:12">
      <c r="B1330">
        <v>12.9140625</v>
      </c>
      <c r="C1330">
        <v>2.1557733416557299</v>
      </c>
      <c r="D1330">
        <v>48.718238281250002</v>
      </c>
      <c r="E1330" s="5">
        <f t="shared" si="156"/>
        <v>48718.23828125</v>
      </c>
      <c r="F1330" s="5">
        <v>0.65369054209440902</v>
      </c>
      <c r="G1330">
        <f t="shared" si="157"/>
        <v>974.36476562500002</v>
      </c>
      <c r="H1330">
        <f t="shared" si="158"/>
        <v>6.5369054209440905E-2</v>
      </c>
      <c r="I1330">
        <f t="shared" si="159"/>
        <v>6.5321268907936381E-2</v>
      </c>
      <c r="J1330">
        <f t="shared" si="160"/>
        <v>6930.1962756290968</v>
      </c>
      <c r="K1330" s="5">
        <f t="shared" si="161"/>
        <v>1038.0580688089099</v>
      </c>
      <c r="L1330" s="5">
        <f t="shared" si="162"/>
        <v>6.3321268907936379E-2</v>
      </c>
    </row>
    <row r="1331" spans="2:12">
      <c r="B1331">
        <v>12.923828125</v>
      </c>
      <c r="C1331">
        <v>2.15687463060021</v>
      </c>
      <c r="D1331">
        <v>48.715343750000002</v>
      </c>
      <c r="E1331" s="5">
        <f t="shared" si="156"/>
        <v>48715.34375</v>
      </c>
      <c r="F1331" s="5">
        <v>0.65459107281640205</v>
      </c>
      <c r="G1331">
        <f t="shared" si="157"/>
        <v>974.30687499999999</v>
      </c>
      <c r="H1331">
        <f t="shared" si="158"/>
        <v>6.54591072816402E-2</v>
      </c>
      <c r="I1331">
        <f t="shared" si="159"/>
        <v>6.540579291966131E-2</v>
      </c>
      <c r="J1331">
        <f t="shared" si="160"/>
        <v>6939.4470060923322</v>
      </c>
      <c r="K1331" s="5">
        <f t="shared" si="161"/>
        <v>1038.0841332558646</v>
      </c>
      <c r="L1331" s="5">
        <f t="shared" si="162"/>
        <v>6.3405792919661308E-2</v>
      </c>
    </row>
    <row r="1332" spans="2:12">
      <c r="B1332">
        <v>12.93359375</v>
      </c>
      <c r="C1332">
        <v>2.1582946646958598</v>
      </c>
      <c r="D1332">
        <v>48.726976562499999</v>
      </c>
      <c r="E1332" s="5">
        <f t="shared" si="156"/>
        <v>48726.9765625</v>
      </c>
      <c r="F1332" s="5">
        <v>0.65550021827220895</v>
      </c>
      <c r="G1332">
        <f t="shared" si="157"/>
        <v>974.53953124999998</v>
      </c>
      <c r="H1332">
        <f t="shared" si="158"/>
        <v>6.5550021827220889E-2</v>
      </c>
      <c r="I1332">
        <f t="shared" si="159"/>
        <v>6.5491118265661979E-2</v>
      </c>
      <c r="J1332">
        <f t="shared" si="160"/>
        <v>6948.7854385853752</v>
      </c>
      <c r="K1332" s="5">
        <f t="shared" si="161"/>
        <v>1038.4206187949271</v>
      </c>
      <c r="L1332" s="5">
        <f t="shared" si="162"/>
        <v>6.3491118265661978E-2</v>
      </c>
    </row>
    <row r="1333" spans="2:12">
      <c r="B1333">
        <v>12.943359375</v>
      </c>
      <c r="C1333">
        <v>2.1598949097096898</v>
      </c>
      <c r="D1333">
        <v>48.702992187500001</v>
      </c>
      <c r="E1333" s="5">
        <f t="shared" si="156"/>
        <v>48702.9921875</v>
      </c>
      <c r="F1333" s="5">
        <v>0.65637094667181395</v>
      </c>
      <c r="G1333">
        <f t="shared" si="157"/>
        <v>974.05984375000003</v>
      </c>
      <c r="H1333">
        <f t="shared" si="158"/>
        <v>6.56370946671814E-2</v>
      </c>
      <c r="I1333">
        <f t="shared" si="159"/>
        <v>6.5572831259640779E-2</v>
      </c>
      <c r="J1333">
        <f t="shared" si="160"/>
        <v>6957.7285172113852</v>
      </c>
      <c r="K1333" s="5">
        <f t="shared" si="161"/>
        <v>1037.9943019257187</v>
      </c>
      <c r="L1333" s="5">
        <f t="shared" si="162"/>
        <v>6.3572831259640777E-2</v>
      </c>
    </row>
    <row r="1334" spans="2:12">
      <c r="B1334">
        <v>12.953125</v>
      </c>
      <c r="C1334">
        <v>2.16258899308741</v>
      </c>
      <c r="D1334">
        <v>48.703152343749998</v>
      </c>
      <c r="E1334" s="5">
        <f t="shared" si="156"/>
        <v>48703.15234375</v>
      </c>
      <c r="F1334" s="5">
        <v>0.65721158171072602</v>
      </c>
      <c r="G1334">
        <f t="shared" si="157"/>
        <v>974.06304687500005</v>
      </c>
      <c r="H1334">
        <f t="shared" si="158"/>
        <v>6.5721158171072602E-2</v>
      </c>
      <c r="I1334">
        <f t="shared" si="159"/>
        <v>6.5651713825556554E-2</v>
      </c>
      <c r="J1334">
        <f t="shared" si="160"/>
        <v>6966.3618196380366</v>
      </c>
      <c r="K1334" s="5">
        <f t="shared" si="161"/>
        <v>1038.0795984472688</v>
      </c>
      <c r="L1334" s="5">
        <f t="shared" si="162"/>
        <v>6.3651713825556552E-2</v>
      </c>
    </row>
    <row r="1335" spans="2:12">
      <c r="B1335">
        <v>12.962890625</v>
      </c>
      <c r="C1335">
        <v>2.1634281147271399</v>
      </c>
      <c r="D1335">
        <v>48.701796874999999</v>
      </c>
      <c r="E1335" s="5">
        <f t="shared" si="156"/>
        <v>48701.796875</v>
      </c>
      <c r="F1335" s="5">
        <v>0.65809616353362799</v>
      </c>
      <c r="G1335">
        <f t="shared" si="157"/>
        <v>974.03593750000005</v>
      </c>
      <c r="H1335">
        <f t="shared" si="158"/>
        <v>6.5809616353362799E-2</v>
      </c>
      <c r="I1335">
        <f t="shared" si="159"/>
        <v>6.5734713502031514E-2</v>
      </c>
      <c r="J1335">
        <f t="shared" si="160"/>
        <v>6975.4457192298387</v>
      </c>
      <c r="K1335" s="5">
        <f t="shared" si="161"/>
        <v>1038.1368688612631</v>
      </c>
      <c r="L1335" s="5">
        <f t="shared" si="162"/>
        <v>6.3734713502031512E-2</v>
      </c>
    </row>
    <row r="1336" spans="2:12">
      <c r="B1336">
        <v>12.97265625</v>
      </c>
      <c r="C1336">
        <v>2.1649703849107</v>
      </c>
      <c r="D1336">
        <v>48.709566406249998</v>
      </c>
      <c r="E1336" s="5">
        <f t="shared" si="156"/>
        <v>48709.56640625</v>
      </c>
      <c r="F1336" s="5">
        <v>0.65896136220544599</v>
      </c>
      <c r="G1336">
        <f t="shared" si="157"/>
        <v>974.19132812500004</v>
      </c>
      <c r="H1336">
        <f t="shared" si="158"/>
        <v>6.5896136220544604E-2</v>
      </c>
      <c r="I1336">
        <f t="shared" si="159"/>
        <v>6.5815887807748732E-2</v>
      </c>
      <c r="J1336">
        <f t="shared" si="160"/>
        <v>6984.3298411190599</v>
      </c>
      <c r="K1336" s="5">
        <f t="shared" si="161"/>
        <v>1038.3867725879984</v>
      </c>
      <c r="L1336" s="5">
        <f t="shared" si="162"/>
        <v>6.3815887807748731E-2</v>
      </c>
    </row>
    <row r="1337" spans="2:12">
      <c r="B1337">
        <v>12.982421875</v>
      </c>
      <c r="C1337">
        <v>2.1666944958269601</v>
      </c>
      <c r="D1337">
        <v>48.717886718750002</v>
      </c>
      <c r="E1337" s="5">
        <f t="shared" si="156"/>
        <v>48717.88671875</v>
      </c>
      <c r="F1337" s="5">
        <v>0.65985659603029501</v>
      </c>
      <c r="G1337">
        <f t="shared" si="157"/>
        <v>974.35773437499995</v>
      </c>
      <c r="H1337">
        <f t="shared" si="158"/>
        <v>6.5985659603029503E-2</v>
      </c>
      <c r="I1337">
        <f t="shared" si="159"/>
        <v>6.5899873123175606E-2</v>
      </c>
      <c r="J1337">
        <f t="shared" si="160"/>
        <v>6993.5216139659542</v>
      </c>
      <c r="K1337" s="5">
        <f t="shared" si="161"/>
        <v>1038.6513721670476</v>
      </c>
      <c r="L1337" s="5">
        <f t="shared" si="162"/>
        <v>6.3899873123175605E-2</v>
      </c>
    </row>
    <row r="1338" spans="2:12">
      <c r="B1338">
        <v>12.9921875</v>
      </c>
      <c r="C1338">
        <v>2.1692065056413399</v>
      </c>
      <c r="D1338">
        <v>48.703394531249998</v>
      </c>
      <c r="E1338" s="5">
        <f t="shared" si="156"/>
        <v>48703.39453125</v>
      </c>
      <c r="F1338" s="5">
        <v>0.66070642787963196</v>
      </c>
      <c r="G1338">
        <f t="shared" si="157"/>
        <v>974.06789062500002</v>
      </c>
      <c r="H1338">
        <f t="shared" si="158"/>
        <v>6.6070642787963194E-2</v>
      </c>
      <c r="I1338">
        <f t="shared" si="159"/>
        <v>6.5979592579817878E-2</v>
      </c>
      <c r="J1338">
        <f t="shared" si="160"/>
        <v>7002.2465098981675</v>
      </c>
      <c r="K1338" s="5">
        <f t="shared" si="161"/>
        <v>1038.4251822777092</v>
      </c>
      <c r="L1338" s="5">
        <f t="shared" si="162"/>
        <v>6.3979592579817876E-2</v>
      </c>
    </row>
    <row r="1339" spans="2:12">
      <c r="B1339">
        <v>13.001953125</v>
      </c>
      <c r="C1339">
        <v>2.16975365765393</v>
      </c>
      <c r="D1339">
        <v>48.694226562499999</v>
      </c>
      <c r="E1339" s="5">
        <f t="shared" si="156"/>
        <v>48694.2265625</v>
      </c>
      <c r="F1339" s="5">
        <v>0.66155975218862295</v>
      </c>
      <c r="G1339">
        <f t="shared" si="157"/>
        <v>973.88453125000001</v>
      </c>
      <c r="H1339">
        <f t="shared" si="158"/>
        <v>6.6155975218862295E-2</v>
      </c>
      <c r="I1339">
        <f t="shared" si="159"/>
        <v>6.6059633256755373E-2</v>
      </c>
      <c r="J1339">
        <f t="shared" si="160"/>
        <v>7011.0065617855917</v>
      </c>
      <c r="K1339" s="5">
        <f t="shared" si="161"/>
        <v>1038.3128121654083</v>
      </c>
      <c r="L1339" s="5">
        <f t="shared" si="162"/>
        <v>6.4059633256755372E-2</v>
      </c>
    </row>
    <row r="1340" spans="2:12">
      <c r="B1340">
        <v>13.01171875</v>
      </c>
      <c r="C1340">
        <v>2.1704181563109199</v>
      </c>
      <c r="D1340">
        <v>48.707429687500003</v>
      </c>
      <c r="E1340" s="5">
        <f t="shared" si="156"/>
        <v>48707.4296875</v>
      </c>
      <c r="F1340" s="5">
        <v>0.66248065559193503</v>
      </c>
      <c r="G1340">
        <f t="shared" si="157"/>
        <v>974.14859375000003</v>
      </c>
      <c r="H1340">
        <f t="shared" si="158"/>
        <v>6.6248065559193506E-2</v>
      </c>
      <c r="I1340">
        <f t="shared" si="159"/>
        <v>6.6146005575159761E-2</v>
      </c>
      <c r="J1340">
        <f t="shared" si="160"/>
        <v>7020.4595801733594</v>
      </c>
      <c r="K1340" s="5">
        <f t="shared" si="161"/>
        <v>1038.6840536531463</v>
      </c>
      <c r="L1340" s="5">
        <f t="shared" si="162"/>
        <v>6.4146005575159759E-2</v>
      </c>
    </row>
    <row r="1341" spans="2:12">
      <c r="B1341">
        <v>13.021484375</v>
      </c>
      <c r="C1341">
        <v>2.1729290019720802</v>
      </c>
      <c r="D1341">
        <v>48.721359374999999</v>
      </c>
      <c r="E1341" s="5">
        <f t="shared" si="156"/>
        <v>48721.359375</v>
      </c>
      <c r="F1341" s="5">
        <v>0.66343770595267404</v>
      </c>
      <c r="G1341">
        <f t="shared" si="157"/>
        <v>974.42718749999995</v>
      </c>
      <c r="H1341">
        <f t="shared" si="158"/>
        <v>6.6343770595267401E-2</v>
      </c>
      <c r="I1341">
        <f t="shared" si="159"/>
        <v>6.6235760243179828E-2</v>
      </c>
      <c r="J1341">
        <f t="shared" si="160"/>
        <v>7030.2827798148164</v>
      </c>
      <c r="K1341" s="5">
        <f t="shared" si="161"/>
        <v>1039.0743612892916</v>
      </c>
      <c r="L1341" s="5">
        <f t="shared" si="162"/>
        <v>6.4235760243179826E-2</v>
      </c>
    </row>
    <row r="1342" spans="2:12">
      <c r="B1342">
        <v>13.03125</v>
      </c>
      <c r="C1342">
        <v>2.17510317452252</v>
      </c>
      <c r="D1342">
        <v>48.713863281249999</v>
      </c>
      <c r="E1342" s="5">
        <f t="shared" si="156"/>
        <v>48713.86328125</v>
      </c>
      <c r="F1342" s="5">
        <v>0.66424120450392399</v>
      </c>
      <c r="G1342">
        <f t="shared" si="157"/>
        <v>974.27726562500004</v>
      </c>
      <c r="H1342">
        <f t="shared" si="158"/>
        <v>6.6424120450392393E-2</v>
      </c>
      <c r="I1342">
        <f t="shared" si="159"/>
        <v>6.6311108203452776E-2</v>
      </c>
      <c r="J1342">
        <f t="shared" si="160"/>
        <v>7038.5292373268885</v>
      </c>
      <c r="K1342" s="5">
        <f t="shared" si="161"/>
        <v>1038.9927760689541</v>
      </c>
      <c r="L1342" s="5">
        <f t="shared" si="162"/>
        <v>6.4311108203452774E-2</v>
      </c>
    </row>
    <row r="1343" spans="2:12">
      <c r="B1343">
        <v>13.041015625</v>
      </c>
      <c r="C1343">
        <v>2.1764545235782902</v>
      </c>
      <c r="D1343">
        <v>48.70434765625</v>
      </c>
      <c r="E1343" s="5">
        <f t="shared" si="156"/>
        <v>48704.34765625</v>
      </c>
      <c r="F1343" s="5">
        <v>0.66516164224594798</v>
      </c>
      <c r="G1343">
        <f t="shared" si="157"/>
        <v>974.08695312500004</v>
      </c>
      <c r="H1343">
        <f t="shared" si="158"/>
        <v>6.6516164224594804E-2</v>
      </c>
      <c r="I1343">
        <f t="shared" si="159"/>
        <v>6.6397415143146232E-2</v>
      </c>
      <c r="J1343">
        <f t="shared" si="160"/>
        <v>7047.9751003416395</v>
      </c>
      <c r="K1343" s="5">
        <f t="shared" si="161"/>
        <v>1038.8794808680977</v>
      </c>
      <c r="L1343" s="5">
        <f t="shared" si="162"/>
        <v>6.439741514314623E-2</v>
      </c>
    </row>
    <row r="1344" spans="2:12">
      <c r="B1344">
        <v>13.05078125</v>
      </c>
      <c r="C1344">
        <v>2.17853649519384</v>
      </c>
      <c r="D1344">
        <v>48.708957031250002</v>
      </c>
      <c r="E1344" s="5">
        <f t="shared" si="156"/>
        <v>48708.95703125</v>
      </c>
      <c r="F1344" s="5">
        <v>0.66607189364731301</v>
      </c>
      <c r="G1344">
        <f t="shared" si="157"/>
        <v>974.17914062499995</v>
      </c>
      <c r="H1344">
        <f t="shared" si="158"/>
        <v>6.6607189364731298E-2</v>
      </c>
      <c r="I1344">
        <f t="shared" si="159"/>
        <v>6.648275961236183E-2</v>
      </c>
      <c r="J1344">
        <f t="shared" si="160"/>
        <v>7057.3156257749406</v>
      </c>
      <c r="K1344" s="5">
        <f t="shared" si="161"/>
        <v>1039.0664751197805</v>
      </c>
      <c r="L1344" s="5">
        <f t="shared" si="162"/>
        <v>6.4482759612361829E-2</v>
      </c>
    </row>
    <row r="1345" spans="2:12">
      <c r="B1345">
        <v>13.060546875</v>
      </c>
      <c r="C1345">
        <v>2.17989692464471</v>
      </c>
      <c r="D1345">
        <v>48.701191406249997</v>
      </c>
      <c r="E1345" s="5">
        <f t="shared" si="156"/>
        <v>48701.19140625</v>
      </c>
      <c r="F1345" s="5">
        <v>0.66688843071460702</v>
      </c>
      <c r="G1345">
        <f t="shared" si="157"/>
        <v>974.02382812500002</v>
      </c>
      <c r="H1345">
        <f t="shared" si="158"/>
        <v>6.6688843071460696E-2</v>
      </c>
      <c r="I1345">
        <f t="shared" si="159"/>
        <v>6.6559311300948651E-2</v>
      </c>
      <c r="J1345">
        <f t="shared" si="160"/>
        <v>7065.6938253323251</v>
      </c>
      <c r="K1345" s="5">
        <f t="shared" si="161"/>
        <v>1038.9803503466917</v>
      </c>
      <c r="L1345" s="5">
        <f t="shared" si="162"/>
        <v>6.4559311300948649E-2</v>
      </c>
    </row>
    <row r="1346" spans="2:12">
      <c r="B1346">
        <v>13.0703125</v>
      </c>
      <c r="C1346">
        <v>2.1808953024447</v>
      </c>
      <c r="D1346">
        <v>48.688050781249999</v>
      </c>
      <c r="E1346" s="5">
        <f t="shared" si="156"/>
        <v>48688.05078125</v>
      </c>
      <c r="F1346" s="5">
        <v>0.66778046311810602</v>
      </c>
      <c r="G1346">
        <f t="shared" si="157"/>
        <v>973.76101562500003</v>
      </c>
      <c r="H1346">
        <f t="shared" si="158"/>
        <v>6.6778046311810599E-2</v>
      </c>
      <c r="I1346">
        <f t="shared" si="159"/>
        <v>6.6642934103670157E-2</v>
      </c>
      <c r="J1346">
        <f t="shared" si="160"/>
        <v>7074.8459229761802</v>
      </c>
      <c r="K1346" s="5">
        <f t="shared" si="161"/>
        <v>1038.786873823042</v>
      </c>
      <c r="L1346" s="5">
        <f t="shared" si="162"/>
        <v>6.4642934103670155E-2</v>
      </c>
    </row>
    <row r="1347" spans="2:12">
      <c r="B1347">
        <v>13.080078125</v>
      </c>
      <c r="C1347">
        <v>2.1842166315764202</v>
      </c>
      <c r="D1347">
        <v>48.687546875000002</v>
      </c>
      <c r="E1347" s="5">
        <f t="shared" si="156"/>
        <v>48687.546875</v>
      </c>
      <c r="F1347" s="5">
        <v>0.66862010862678301</v>
      </c>
      <c r="G1347">
        <f t="shared" si="157"/>
        <v>973.75093749999996</v>
      </c>
      <c r="H1347">
        <f t="shared" si="158"/>
        <v>6.6862010862678303E-2</v>
      </c>
      <c r="I1347">
        <f t="shared" si="159"/>
        <v>6.6721639554131379E-2</v>
      </c>
      <c r="J1347">
        <f t="shared" si="160"/>
        <v>7083.4598410019089</v>
      </c>
      <c r="K1347" s="5">
        <f t="shared" si="161"/>
        <v>1038.8578832606681</v>
      </c>
      <c r="L1347" s="5">
        <f t="shared" si="162"/>
        <v>6.4721639554131377E-2</v>
      </c>
    </row>
    <row r="1348" spans="2:12">
      <c r="B1348">
        <v>13.08984375</v>
      </c>
      <c r="C1348">
        <v>2.1819234825670701</v>
      </c>
      <c r="D1348">
        <v>48.698710937500003</v>
      </c>
      <c r="E1348" s="5">
        <f t="shared" si="156"/>
        <v>48698.7109375</v>
      </c>
      <c r="F1348" s="5">
        <v>0.66951615735888503</v>
      </c>
      <c r="G1348">
        <f t="shared" si="157"/>
        <v>973.97421874999998</v>
      </c>
      <c r="H1348">
        <f t="shared" si="158"/>
        <v>6.6951615735888509E-2</v>
      </c>
      <c r="I1348">
        <f t="shared" si="159"/>
        <v>6.6805625214496386E-2</v>
      </c>
      <c r="J1348">
        <f t="shared" si="160"/>
        <v>7092.6516516005568</v>
      </c>
      <c r="K1348" s="5">
        <f t="shared" si="161"/>
        <v>1039.1833663804121</v>
      </c>
      <c r="L1348" s="5">
        <f t="shared" si="162"/>
        <v>6.4805625214496385E-2</v>
      </c>
    </row>
    <row r="1349" spans="2:12">
      <c r="B1349">
        <v>13.099609375</v>
      </c>
      <c r="C1349">
        <v>2.1874085068702702</v>
      </c>
      <c r="D1349">
        <v>48.689445312499998</v>
      </c>
      <c r="E1349" s="5">
        <f t="shared" si="156"/>
        <v>48689.4453125</v>
      </c>
      <c r="F1349" s="5">
        <v>0.67040743306279205</v>
      </c>
      <c r="G1349">
        <f t="shared" si="157"/>
        <v>973.78890624999997</v>
      </c>
      <c r="H1349">
        <f t="shared" si="158"/>
        <v>6.704074330627921E-2</v>
      </c>
      <c r="I1349">
        <f t="shared" si="159"/>
        <v>6.688915650744115E-2</v>
      </c>
      <c r="J1349">
        <f t="shared" si="160"/>
        <v>7101.7937339568962</v>
      </c>
      <c r="K1349" s="5">
        <f t="shared" si="161"/>
        <v>1039.0724383484085</v>
      </c>
      <c r="L1349" s="5">
        <f t="shared" si="162"/>
        <v>6.4889156507441148E-2</v>
      </c>
    </row>
    <row r="1350" spans="2:12">
      <c r="B1350">
        <v>13.109375</v>
      </c>
      <c r="C1350">
        <v>2.1874175872653701</v>
      </c>
      <c r="D1350">
        <v>48.713144531250002</v>
      </c>
      <c r="E1350" s="5">
        <f t="shared" si="156"/>
        <v>48713.14453125</v>
      </c>
      <c r="F1350" s="5">
        <v>0.67126296926289797</v>
      </c>
      <c r="G1350">
        <f t="shared" si="157"/>
        <v>974.26289062499995</v>
      </c>
      <c r="H1350">
        <f t="shared" si="158"/>
        <v>6.7126296926289797E-2</v>
      </c>
      <c r="I1350">
        <f t="shared" si="159"/>
        <v>6.6969331693772505E-2</v>
      </c>
      <c r="J1350">
        <f t="shared" si="160"/>
        <v>7110.5685072249316</v>
      </c>
      <c r="K1350" s="5">
        <f t="shared" si="161"/>
        <v>1039.6615507053591</v>
      </c>
      <c r="L1350" s="5">
        <f t="shared" si="162"/>
        <v>6.4969331693772503E-2</v>
      </c>
    </row>
    <row r="1351" spans="2:12">
      <c r="B1351">
        <v>13.119140625</v>
      </c>
      <c r="C1351">
        <v>2.1915463730692899</v>
      </c>
      <c r="D1351">
        <v>48.700910156250004</v>
      </c>
      <c r="E1351" s="5">
        <f t="shared" si="156"/>
        <v>48700.91015625</v>
      </c>
      <c r="F1351" s="5">
        <v>0.67220634082332298</v>
      </c>
      <c r="G1351">
        <f t="shared" si="157"/>
        <v>974.01820312500001</v>
      </c>
      <c r="H1351">
        <f t="shared" si="158"/>
        <v>6.7220634082332295E-2</v>
      </c>
      <c r="I1351">
        <f t="shared" si="159"/>
        <v>6.7057730777101768E-2</v>
      </c>
      <c r="J1351">
        <f t="shared" si="160"/>
        <v>7120.2433448999027</v>
      </c>
      <c r="K1351" s="5">
        <f t="shared" si="161"/>
        <v>1039.4923243467965</v>
      </c>
      <c r="L1351" s="5">
        <f t="shared" si="162"/>
        <v>6.5057730777101766E-2</v>
      </c>
    </row>
    <row r="1352" spans="2:12">
      <c r="B1352">
        <v>13.12890625</v>
      </c>
      <c r="C1352">
        <v>2.1901235450059202</v>
      </c>
      <c r="D1352">
        <v>48.682109375000003</v>
      </c>
      <c r="E1352" s="5">
        <f t="shared" si="156"/>
        <v>48682.109375</v>
      </c>
      <c r="F1352" s="5">
        <v>0.67308393772691499</v>
      </c>
      <c r="G1352">
        <f t="shared" si="157"/>
        <v>973.64218749999998</v>
      </c>
      <c r="H1352">
        <f t="shared" si="158"/>
        <v>6.7308393772691502E-2</v>
      </c>
      <c r="I1352">
        <f t="shared" si="159"/>
        <v>6.7139959399213203E-2</v>
      </c>
      <c r="J1352">
        <f t="shared" si="160"/>
        <v>7129.2428564468892</v>
      </c>
      <c r="K1352" s="5">
        <f t="shared" si="161"/>
        <v>1039.1764792499546</v>
      </c>
      <c r="L1352" s="5">
        <f t="shared" si="162"/>
        <v>6.5139959399213201E-2</v>
      </c>
    </row>
    <row r="1353" spans="2:12">
      <c r="B1353">
        <v>13.138671875</v>
      </c>
      <c r="C1353">
        <v>2.1930427756160502</v>
      </c>
      <c r="D1353">
        <v>48.702277343749998</v>
      </c>
      <c r="E1353" s="5">
        <f t="shared" ref="E1353:E1416" si="163" xml:space="preserve"> D1353*R$3</f>
        <v>48702.27734375</v>
      </c>
      <c r="F1353" s="5">
        <v>0.673978356644511</v>
      </c>
      <c r="G1353">
        <f t="shared" ref="G1353:G1416" si="164" xml:space="preserve"> E1353/C$3</f>
        <v>974.04554687500001</v>
      </c>
      <c r="H1353">
        <f t="shared" ref="H1353:H1416" si="165" xml:space="preserve"> F1353/C$4</f>
        <v>6.7397835664451095E-2</v>
      </c>
      <c r="I1353">
        <f t="shared" ref="I1353:I1416" si="166">L1353+0.002</f>
        <v>6.7223757245098117E-2</v>
      </c>
      <c r="J1353">
        <f t="shared" ref="J1353:J1416" si="167">L1353*G$2</f>
        <v>7138.4141116897636</v>
      </c>
      <c r="K1353" s="5">
        <f t="shared" ref="K1353:K1416" si="168" xml:space="preserve"> G1353 * (1 + H1353)</f>
        <v>1039.6941085729718</v>
      </c>
      <c r="L1353" s="5">
        <f t="shared" ref="L1353:L1416" si="169">LN(1 + H1353)</f>
        <v>6.5223757245098116E-2</v>
      </c>
    </row>
    <row r="1354" spans="2:12">
      <c r="B1354">
        <v>13.1484375</v>
      </c>
      <c r="C1354">
        <v>2.19343439675868</v>
      </c>
      <c r="D1354">
        <v>48.696070312499998</v>
      </c>
      <c r="E1354" s="5">
        <f t="shared" si="163"/>
        <v>48696.0703125</v>
      </c>
      <c r="F1354" s="5">
        <v>0.67489990033209302</v>
      </c>
      <c r="G1354">
        <f t="shared" si="164"/>
        <v>973.92140625000002</v>
      </c>
      <c r="H1354">
        <f t="shared" si="165"/>
        <v>6.7489990033209296E-2</v>
      </c>
      <c r="I1354">
        <f t="shared" si="166"/>
        <v>6.7310089058607164E-2</v>
      </c>
      <c r="J1354">
        <f t="shared" si="167"/>
        <v>7147.8626970192608</v>
      </c>
      <c r="K1354" s="5">
        <f t="shared" si="168"/>
        <v>1039.6513522509417</v>
      </c>
      <c r="L1354" s="5">
        <f t="shared" si="169"/>
        <v>6.5310089058607163E-2</v>
      </c>
    </row>
    <row r="1355" spans="2:12">
      <c r="B1355">
        <v>13.158203125</v>
      </c>
      <c r="C1355">
        <v>2.1954907570034301</v>
      </c>
      <c r="D1355">
        <v>48.70430859375</v>
      </c>
      <c r="E1355" s="5">
        <f t="shared" si="163"/>
        <v>48704.30859375</v>
      </c>
      <c r="F1355" s="5">
        <v>0.67583855707198404</v>
      </c>
      <c r="G1355">
        <f t="shared" si="164"/>
        <v>974.08617187499999</v>
      </c>
      <c r="H1355">
        <f t="shared" si="165"/>
        <v>6.7583855707198409E-2</v>
      </c>
      <c r="I1355">
        <f t="shared" si="166"/>
        <v>6.7398016391178636E-2</v>
      </c>
      <c r="J1355">
        <f t="shared" si="167"/>
        <v>7157.4859039325456</v>
      </c>
      <c r="K1355" s="5">
        <f t="shared" si="168"/>
        <v>1039.9186711613772</v>
      </c>
      <c r="L1355" s="5">
        <f t="shared" si="169"/>
        <v>6.5398016391178634E-2</v>
      </c>
    </row>
    <row r="1356" spans="2:12">
      <c r="B1356">
        <v>13.16796875</v>
      </c>
      <c r="C1356">
        <v>2.1972879767417899</v>
      </c>
      <c r="D1356">
        <v>48.714789062500003</v>
      </c>
      <c r="E1356" s="5">
        <f t="shared" si="163"/>
        <v>48714.7890625</v>
      </c>
      <c r="F1356" s="5">
        <v>0.67663926165550903</v>
      </c>
      <c r="G1356">
        <f t="shared" si="164"/>
        <v>974.29578125</v>
      </c>
      <c r="H1356">
        <f t="shared" si="165"/>
        <v>6.7663926165550906E-2</v>
      </c>
      <c r="I1356">
        <f t="shared" si="166"/>
        <v>6.7473015142208714E-2</v>
      </c>
      <c r="J1356">
        <f t="shared" si="167"/>
        <v>7165.6941422390328</v>
      </c>
      <c r="K1356" s="5">
        <f t="shared" si="168"/>
        <v>1040.2204590559079</v>
      </c>
      <c r="L1356" s="5">
        <f t="shared" si="169"/>
        <v>6.5473015142208713E-2</v>
      </c>
    </row>
    <row r="1357" spans="2:12">
      <c r="B1357">
        <v>13.177734375</v>
      </c>
      <c r="C1357">
        <v>2.1982132457196699</v>
      </c>
      <c r="D1357">
        <v>48.709953124999998</v>
      </c>
      <c r="E1357" s="5">
        <f t="shared" si="163"/>
        <v>48709.953125</v>
      </c>
      <c r="F1357" s="5">
        <v>0.67757809301838301</v>
      </c>
      <c r="G1357">
        <f t="shared" si="164"/>
        <v>974.19906249999997</v>
      </c>
      <c r="H1357">
        <f t="shared" si="165"/>
        <v>6.7757809301838307E-2</v>
      </c>
      <c r="I1357">
        <f t="shared" si="166"/>
        <v>6.7560944505096157E-2</v>
      </c>
      <c r="J1357">
        <f t="shared" si="167"/>
        <v>7175.3175713602486</v>
      </c>
      <c r="K1357" s="5">
        <f t="shared" si="168"/>
        <v>1040.2086567989045</v>
      </c>
      <c r="L1357" s="5">
        <f t="shared" si="169"/>
        <v>6.5560944505096155E-2</v>
      </c>
    </row>
    <row r="1358" spans="2:12">
      <c r="B1358">
        <v>13.1875</v>
      </c>
      <c r="C1358">
        <v>2.2005201317369898</v>
      </c>
      <c r="D1358">
        <v>48.696851562500001</v>
      </c>
      <c r="E1358" s="5">
        <f t="shared" si="163"/>
        <v>48696.8515625</v>
      </c>
      <c r="F1358" s="5">
        <v>0.67850470077246405</v>
      </c>
      <c r="G1358">
        <f t="shared" si="164"/>
        <v>973.93703125000002</v>
      </c>
      <c r="H1358">
        <f t="shared" si="165"/>
        <v>6.78504700772464E-2</v>
      </c>
      <c r="I1358">
        <f t="shared" si="166"/>
        <v>6.7647721444819606E-2</v>
      </c>
      <c r="J1358">
        <f t="shared" si="167"/>
        <v>7184.8148735282812</v>
      </c>
      <c r="K1358" s="5">
        <f t="shared" si="168"/>
        <v>1040.0191166459504</v>
      </c>
      <c r="L1358" s="5">
        <f t="shared" si="169"/>
        <v>6.5647721444819604E-2</v>
      </c>
    </row>
    <row r="1359" spans="2:12">
      <c r="B1359">
        <v>13.197265625</v>
      </c>
      <c r="C1359">
        <v>2.2030784748494598</v>
      </c>
      <c r="D1359">
        <v>48.677964843749997</v>
      </c>
      <c r="E1359" s="5">
        <f t="shared" si="163"/>
        <v>48677.96484375</v>
      </c>
      <c r="F1359" s="5">
        <v>0.67929207580164097</v>
      </c>
      <c r="G1359">
        <f t="shared" si="164"/>
        <v>973.55929687499997</v>
      </c>
      <c r="H1359">
        <f t="shared" si="165"/>
        <v>6.7929207580164103E-2</v>
      </c>
      <c r="I1359">
        <f t="shared" si="166"/>
        <v>6.7721453303753371E-2</v>
      </c>
      <c r="J1359">
        <f t="shared" si="167"/>
        <v>7192.884456829287</v>
      </c>
      <c r="K1359" s="5">
        <f t="shared" si="168"/>
        <v>1039.6924084440204</v>
      </c>
      <c r="L1359" s="5">
        <f t="shared" si="169"/>
        <v>6.5721453303753369E-2</v>
      </c>
    </row>
    <row r="1360" spans="2:12">
      <c r="B1360">
        <v>13.20703125</v>
      </c>
      <c r="C1360">
        <v>2.2024943027645398</v>
      </c>
      <c r="D1360">
        <v>48.658324218750003</v>
      </c>
      <c r="E1360" s="5">
        <f t="shared" si="163"/>
        <v>48658.32421875</v>
      </c>
      <c r="F1360" s="5">
        <v>0.68017159355804302</v>
      </c>
      <c r="G1360">
        <f t="shared" si="164"/>
        <v>973.16648437499998</v>
      </c>
      <c r="H1360">
        <f t="shared" si="165"/>
        <v>6.8017159355804296E-2</v>
      </c>
      <c r="I1360">
        <f t="shared" si="166"/>
        <v>6.7803807221484116E-2</v>
      </c>
      <c r="J1360">
        <f t="shared" si="167"/>
        <v>7201.897681355329</v>
      </c>
      <c r="K1360" s="5">
        <f t="shared" si="168"/>
        <v>1039.3585042224622</v>
      </c>
      <c r="L1360" s="5">
        <f t="shared" si="169"/>
        <v>6.5803807221484115E-2</v>
      </c>
    </row>
    <row r="1361" spans="2:12">
      <c r="B1361">
        <v>13.216796875</v>
      </c>
      <c r="C1361">
        <v>2.2058174945414102</v>
      </c>
      <c r="D1361">
        <v>48.681792968750003</v>
      </c>
      <c r="E1361" s="5">
        <f t="shared" si="163"/>
        <v>48681.79296875</v>
      </c>
      <c r="F1361" s="5">
        <v>0.68101397482678305</v>
      </c>
      <c r="G1361">
        <f t="shared" si="164"/>
        <v>973.635859375</v>
      </c>
      <c r="H1361">
        <f t="shared" si="165"/>
        <v>6.8101397482678308E-2</v>
      </c>
      <c r="I1361">
        <f t="shared" si="166"/>
        <v>6.7882677494529545E-2</v>
      </c>
      <c r="J1361">
        <f t="shared" si="167"/>
        <v>7210.5296383887862</v>
      </c>
      <c r="K1361" s="5">
        <f t="shared" si="168"/>
        <v>1039.9418220376858</v>
      </c>
      <c r="L1361" s="5">
        <f t="shared" si="169"/>
        <v>6.5882677494529543E-2</v>
      </c>
    </row>
    <row r="1362" spans="2:12">
      <c r="B1362">
        <v>13.2265625</v>
      </c>
      <c r="C1362">
        <v>2.2074414882808902</v>
      </c>
      <c r="D1362">
        <v>48.669722656250002</v>
      </c>
      <c r="E1362" s="5">
        <f t="shared" si="163"/>
        <v>48669.72265625</v>
      </c>
      <c r="F1362" s="5">
        <v>0.68179552908986796</v>
      </c>
      <c r="G1362">
        <f t="shared" si="164"/>
        <v>973.39445312500004</v>
      </c>
      <c r="H1362">
        <f t="shared" si="165"/>
        <v>6.8179552908986793E-2</v>
      </c>
      <c r="I1362">
        <f t="shared" si="166"/>
        <v>6.7955847108600254E-2</v>
      </c>
      <c r="J1362">
        <f t="shared" si="167"/>
        <v>7218.5376868007543</v>
      </c>
      <c r="K1362" s="5">
        <f t="shared" si="168"/>
        <v>1039.7600517431504</v>
      </c>
      <c r="L1362" s="5">
        <f t="shared" si="169"/>
        <v>6.5955847108600252E-2</v>
      </c>
    </row>
    <row r="1363" spans="2:12">
      <c r="B1363">
        <v>13.236328125</v>
      </c>
      <c r="C1363">
        <v>2.2094727028161301</v>
      </c>
      <c r="D1363">
        <v>48.677496093750001</v>
      </c>
      <c r="E1363" s="5">
        <f t="shared" si="163"/>
        <v>48677.49609375</v>
      </c>
      <c r="F1363" s="5">
        <v>0.68279117112979304</v>
      </c>
      <c r="G1363">
        <f t="shared" si="164"/>
        <v>973.549921875</v>
      </c>
      <c r="H1363">
        <f t="shared" si="165"/>
        <v>6.8279117112979307E-2</v>
      </c>
      <c r="I1363">
        <f t="shared" si="166"/>
        <v>6.8049052004591562E-2</v>
      </c>
      <c r="J1363">
        <f t="shared" si="167"/>
        <v>7228.7384966425234</v>
      </c>
      <c r="K1363" s="5">
        <f t="shared" si="168"/>
        <v>1040.0230510060348</v>
      </c>
      <c r="L1363" s="5">
        <f t="shared" si="169"/>
        <v>6.604905200459156E-2</v>
      </c>
    </row>
    <row r="1364" spans="2:12">
      <c r="B1364">
        <v>13.24609375</v>
      </c>
      <c r="C1364">
        <v>2.2097064647823599</v>
      </c>
      <c r="D1364">
        <v>48.670562500000003</v>
      </c>
      <c r="E1364" s="5">
        <f t="shared" si="163"/>
        <v>48670.5625</v>
      </c>
      <c r="F1364" s="5">
        <v>0.68363774335011795</v>
      </c>
      <c r="G1364">
        <f t="shared" si="164"/>
        <v>973.41125</v>
      </c>
      <c r="H1364">
        <f t="shared" si="165"/>
        <v>6.8363774335011798E-2</v>
      </c>
      <c r="I1364">
        <f t="shared" si="166"/>
        <v>6.8128295215907492E-2</v>
      </c>
      <c r="J1364">
        <f t="shared" si="167"/>
        <v>7237.4112699049956</v>
      </c>
      <c r="K1364" s="5">
        <f t="shared" si="168"/>
        <v>1039.9573170301617</v>
      </c>
      <c r="L1364" s="5">
        <f t="shared" si="169"/>
        <v>6.612829521590749E-2</v>
      </c>
    </row>
    <row r="1365" spans="2:12">
      <c r="B1365">
        <v>13.255859375</v>
      </c>
      <c r="C1365">
        <v>2.2100165951997002</v>
      </c>
      <c r="D1365">
        <v>48.666507812500001</v>
      </c>
      <c r="E1365" s="5">
        <f t="shared" si="163"/>
        <v>48666.5078125</v>
      </c>
      <c r="F1365" s="5">
        <v>0.68445195211097598</v>
      </c>
      <c r="G1365">
        <f t="shared" si="164"/>
        <v>973.33015624999996</v>
      </c>
      <c r="H1365">
        <f t="shared" si="165"/>
        <v>6.8445195211097598E-2</v>
      </c>
      <c r="I1365">
        <f t="shared" si="166"/>
        <v>6.8204503129001809E-2</v>
      </c>
      <c r="J1365">
        <f t="shared" si="167"/>
        <v>7245.7518449536028</v>
      </c>
      <c r="K1365" s="5">
        <f t="shared" si="168"/>
        <v>1039.9499287993792</v>
      </c>
      <c r="L1365" s="5">
        <f t="shared" si="169"/>
        <v>6.6204503129001807E-2</v>
      </c>
    </row>
    <row r="1366" spans="2:12">
      <c r="B1366">
        <v>13.265625</v>
      </c>
      <c r="C1366">
        <v>2.2122636437416099</v>
      </c>
      <c r="D1366">
        <v>48.675109374999998</v>
      </c>
      <c r="E1366" s="5">
        <f t="shared" si="163"/>
        <v>48675.109375</v>
      </c>
      <c r="F1366" s="5">
        <v>0.68540341453626796</v>
      </c>
      <c r="G1366">
        <f t="shared" si="164"/>
        <v>973.50218749999999</v>
      </c>
      <c r="H1366">
        <f t="shared" si="165"/>
        <v>6.8540341453626794E-2</v>
      </c>
      <c r="I1366">
        <f t="shared" si="166"/>
        <v>6.8293550285343854E-2</v>
      </c>
      <c r="J1366">
        <f t="shared" si="167"/>
        <v>7255.4976109794579</v>
      </c>
      <c r="K1366" s="5">
        <f t="shared" si="168"/>
        <v>1040.2263598371026</v>
      </c>
      <c r="L1366" s="5">
        <f t="shared" si="169"/>
        <v>6.6293550285343852E-2</v>
      </c>
    </row>
    <row r="1367" spans="2:12">
      <c r="B1367">
        <v>13.275390625</v>
      </c>
      <c r="C1367">
        <v>2.2138580679893498</v>
      </c>
      <c r="D1367">
        <v>48.681820312500001</v>
      </c>
      <c r="E1367" s="5">
        <f t="shared" si="163"/>
        <v>48681.8203125</v>
      </c>
      <c r="F1367" s="5">
        <v>0.68626378197222904</v>
      </c>
      <c r="G1367">
        <f t="shared" si="164"/>
        <v>973.63640625000005</v>
      </c>
      <c r="H1367">
        <f t="shared" si="165"/>
        <v>6.8626378197222906E-2</v>
      </c>
      <c r="I1367">
        <f t="shared" si="166"/>
        <v>6.837406505553148E-2</v>
      </c>
      <c r="J1367">
        <f t="shared" si="167"/>
        <v>7264.3095500026429</v>
      </c>
      <c r="K1367" s="5">
        <f t="shared" si="168"/>
        <v>1040.4535464918977</v>
      </c>
      <c r="L1367" s="5">
        <f t="shared" si="169"/>
        <v>6.6374065055531478E-2</v>
      </c>
    </row>
    <row r="1368" spans="2:12">
      <c r="B1368">
        <v>13.28515625</v>
      </c>
      <c r="C1368">
        <v>2.2167772985994798</v>
      </c>
      <c r="D1368">
        <v>48.677718749999997</v>
      </c>
      <c r="E1368" s="5">
        <f t="shared" si="163"/>
        <v>48677.71875</v>
      </c>
      <c r="F1368" s="5">
        <v>0.68713200744241498</v>
      </c>
      <c r="G1368">
        <f t="shared" si="164"/>
        <v>973.55437500000005</v>
      </c>
      <c r="H1368">
        <f t="shared" si="165"/>
        <v>6.8713200744241504E-2</v>
      </c>
      <c r="I1368">
        <f t="shared" si="166"/>
        <v>6.8455308623864494E-2</v>
      </c>
      <c r="J1368">
        <f t="shared" si="167"/>
        <v>7273.2012523388494</v>
      </c>
      <c r="K1368" s="5">
        <f t="shared" si="168"/>
        <v>1040.4504122048097</v>
      </c>
      <c r="L1368" s="5">
        <f t="shared" si="169"/>
        <v>6.6455308623864492E-2</v>
      </c>
    </row>
    <row r="1369" spans="2:12">
      <c r="B1369">
        <v>13.294921875</v>
      </c>
      <c r="C1369">
        <v>2.2179216612130399</v>
      </c>
      <c r="D1369">
        <v>48.68498828125</v>
      </c>
      <c r="E1369" s="5">
        <f t="shared" si="163"/>
        <v>48684.98828125</v>
      </c>
      <c r="F1369" s="5">
        <v>0.68806676426902402</v>
      </c>
      <c r="G1369">
        <f t="shared" si="164"/>
        <v>973.69976562500005</v>
      </c>
      <c r="H1369">
        <f t="shared" si="165"/>
        <v>6.8806676426902399E-2</v>
      </c>
      <c r="I1369">
        <f t="shared" si="166"/>
        <v>6.8542770437641148E-2</v>
      </c>
      <c r="J1369">
        <f t="shared" si="167"/>
        <v>7282.7735105476349</v>
      </c>
      <c r="K1369" s="5">
        <f t="shared" si="168"/>
        <v>1040.6968103353101</v>
      </c>
      <c r="L1369" s="5">
        <f t="shared" si="169"/>
        <v>6.6542770437641147E-2</v>
      </c>
    </row>
    <row r="1370" spans="2:12">
      <c r="B1370">
        <v>13.3046875</v>
      </c>
      <c r="C1370">
        <v>2.2191510070115301</v>
      </c>
      <c r="D1370">
        <v>48.685214843750003</v>
      </c>
      <c r="E1370" s="5">
        <f t="shared" si="163"/>
        <v>48685.21484375</v>
      </c>
      <c r="F1370" s="5">
        <v>0.688939006067812</v>
      </c>
      <c r="G1370">
        <f t="shared" si="164"/>
        <v>973.70429687499995</v>
      </c>
      <c r="H1370">
        <f t="shared" si="165"/>
        <v>6.8893900606781203E-2</v>
      </c>
      <c r="I1370">
        <f t="shared" si="166"/>
        <v>6.8624376047766653E-2</v>
      </c>
      <c r="J1370">
        <f t="shared" si="167"/>
        <v>7291.7048365478213</v>
      </c>
      <c r="K1370" s="5">
        <f t="shared" si="168"/>
        <v>1040.786583924302</v>
      </c>
      <c r="L1370" s="5">
        <f t="shared" si="169"/>
        <v>6.6624376047766651E-2</v>
      </c>
    </row>
    <row r="1371" spans="2:12">
      <c r="B1371">
        <v>13.314453125</v>
      </c>
      <c r="C1371">
        <v>2.2211433388292798</v>
      </c>
      <c r="D1371">
        <v>48.680023437499997</v>
      </c>
      <c r="E1371" s="5">
        <f t="shared" si="163"/>
        <v>48680.0234375</v>
      </c>
      <c r="F1371" s="5">
        <v>0.68985967664048098</v>
      </c>
      <c r="G1371">
        <f t="shared" si="164"/>
        <v>973.60046875</v>
      </c>
      <c r="H1371">
        <f t="shared" si="165"/>
        <v>6.8985967664048103E-2</v>
      </c>
      <c r="I1371">
        <f t="shared" si="166"/>
        <v>6.8710505356237295E-2</v>
      </c>
      <c r="J1371">
        <f t="shared" si="167"/>
        <v>7301.1312587133907</v>
      </c>
      <c r="K1371" s="5">
        <f t="shared" si="168"/>
        <v>1040.7652392048897</v>
      </c>
      <c r="L1371" s="5">
        <f t="shared" si="169"/>
        <v>6.6710505356237293E-2</v>
      </c>
    </row>
    <row r="1372" spans="2:12">
      <c r="B1372">
        <v>13.32421875</v>
      </c>
      <c r="C1372">
        <v>2.2242949344217799</v>
      </c>
      <c r="D1372">
        <v>48.700917968749998</v>
      </c>
      <c r="E1372" s="5">
        <f t="shared" si="163"/>
        <v>48700.91796875</v>
      </c>
      <c r="F1372" s="5">
        <v>0.69074844941496805</v>
      </c>
      <c r="G1372">
        <f t="shared" si="164"/>
        <v>974.01835937500005</v>
      </c>
      <c r="H1372">
        <f t="shared" si="165"/>
        <v>6.9074844941496807E-2</v>
      </c>
      <c r="I1372">
        <f t="shared" si="166"/>
        <v>6.8793643569122515E-2</v>
      </c>
      <c r="J1372">
        <f t="shared" si="167"/>
        <v>7310.2303204226137</v>
      </c>
      <c r="K1372" s="5">
        <f t="shared" si="168"/>
        <v>1041.2985265189993</v>
      </c>
      <c r="L1372" s="5">
        <f t="shared" si="169"/>
        <v>6.6793643569122513E-2</v>
      </c>
    </row>
    <row r="1373" spans="2:12">
      <c r="B1373">
        <v>13.333984375</v>
      </c>
      <c r="C1373">
        <v>2.2250146139413101</v>
      </c>
      <c r="D1373">
        <v>48.705468750000001</v>
      </c>
      <c r="E1373" s="5">
        <f t="shared" si="163"/>
        <v>48705.46875</v>
      </c>
      <c r="F1373" s="5">
        <v>0.69177645491436102</v>
      </c>
      <c r="G1373">
        <f t="shared" si="164"/>
        <v>974.109375</v>
      </c>
      <c r="H1373">
        <f t="shared" si="165"/>
        <v>6.9177645491436096E-2</v>
      </c>
      <c r="I1373">
        <f t="shared" si="166"/>
        <v>6.8889797368057337E-2</v>
      </c>
      <c r="J1373">
        <f t="shared" si="167"/>
        <v>7320.7538729470352</v>
      </c>
      <c r="K1373" s="5">
        <f t="shared" si="168"/>
        <v>1041.4959680136344</v>
      </c>
      <c r="L1373" s="5">
        <f t="shared" si="169"/>
        <v>6.6889797368057335E-2</v>
      </c>
    </row>
    <row r="1374" spans="2:12">
      <c r="B1374">
        <v>13.34375</v>
      </c>
      <c r="C1374">
        <v>2.2267235908657299</v>
      </c>
      <c r="D1374">
        <v>48.715707031249998</v>
      </c>
      <c r="E1374" s="5">
        <f t="shared" si="163"/>
        <v>48715.70703125</v>
      </c>
      <c r="F1374" s="5">
        <v>0.69268251536414005</v>
      </c>
      <c r="G1374">
        <f t="shared" si="164"/>
        <v>974.31414062500005</v>
      </c>
      <c r="H1374">
        <f t="shared" si="165"/>
        <v>6.9268251536413999E-2</v>
      </c>
      <c r="I1374">
        <f t="shared" si="166"/>
        <v>6.8974537454451895E-2</v>
      </c>
      <c r="J1374">
        <f t="shared" si="167"/>
        <v>7330.0282517024871</v>
      </c>
      <c r="K1374" s="5">
        <f t="shared" si="168"/>
        <v>1041.8031775932977</v>
      </c>
      <c r="L1374" s="5">
        <f t="shared" si="169"/>
        <v>6.6974537454451893E-2</v>
      </c>
    </row>
    <row r="1375" spans="2:12">
      <c r="B1375">
        <v>13.353515625</v>
      </c>
      <c r="C1375">
        <v>2.2277103271335399</v>
      </c>
      <c r="D1375">
        <v>48.71411328125</v>
      </c>
      <c r="E1375" s="5">
        <f t="shared" si="163"/>
        <v>48714.11328125</v>
      </c>
      <c r="F1375" s="5">
        <v>0.69358432665467296</v>
      </c>
      <c r="G1375">
        <f t="shared" si="164"/>
        <v>974.28226562500004</v>
      </c>
      <c r="H1375">
        <f t="shared" si="165"/>
        <v>6.935843266546729E-2</v>
      </c>
      <c r="I1375">
        <f t="shared" si="166"/>
        <v>6.9058873004712126E-2</v>
      </c>
      <c r="J1375">
        <f t="shared" si="167"/>
        <v>7339.2583560007188</v>
      </c>
      <c r="K1375" s="5">
        <f t="shared" si="168"/>
        <v>1041.8569565425105</v>
      </c>
      <c r="L1375" s="5">
        <f t="shared" si="169"/>
        <v>6.7058873004712125E-2</v>
      </c>
    </row>
    <row r="1376" spans="2:12">
      <c r="B1376">
        <v>13.36328125</v>
      </c>
      <c r="C1376">
        <v>2.2292614448815602</v>
      </c>
      <c r="D1376">
        <v>48.701535156250003</v>
      </c>
      <c r="E1376" s="5">
        <f t="shared" si="163"/>
        <v>48701.53515625</v>
      </c>
      <c r="F1376" s="5">
        <v>0.69455377524718598</v>
      </c>
      <c r="G1376">
        <f t="shared" si="164"/>
        <v>974.03070312499995</v>
      </c>
      <c r="H1376">
        <f t="shared" si="165"/>
        <v>6.9455377524718601E-2</v>
      </c>
      <c r="I1376">
        <f t="shared" si="166"/>
        <v>6.9149525925369257E-2</v>
      </c>
      <c r="J1376">
        <f t="shared" si="167"/>
        <v>7349.1798649020384</v>
      </c>
      <c r="K1376" s="5">
        <f t="shared" si="168"/>
        <v>1041.682373331214</v>
      </c>
      <c r="L1376" s="5">
        <f t="shared" si="169"/>
        <v>6.7149525925369255E-2</v>
      </c>
    </row>
    <row r="1377" spans="2:12">
      <c r="B1377">
        <v>13.373046875</v>
      </c>
      <c r="C1377">
        <v>2.2318125702440699</v>
      </c>
      <c r="D1377">
        <v>48.704179687500002</v>
      </c>
      <c r="E1377" s="5">
        <f t="shared" si="163"/>
        <v>48704.1796875</v>
      </c>
      <c r="F1377" s="5">
        <v>0.69543044082820404</v>
      </c>
      <c r="G1377">
        <f t="shared" si="164"/>
        <v>974.08359374999998</v>
      </c>
      <c r="H1377">
        <f t="shared" si="165"/>
        <v>6.9543044082820402E-2</v>
      </c>
      <c r="I1377">
        <f t="shared" si="166"/>
        <v>6.9231495652195857E-2</v>
      </c>
      <c r="J1377">
        <f t="shared" si="167"/>
        <v>7358.1510416545752</v>
      </c>
      <c r="K1377" s="5">
        <f t="shared" si="168"/>
        <v>1041.8243320505082</v>
      </c>
      <c r="L1377" s="5">
        <f t="shared" si="169"/>
        <v>6.7231495652195855E-2</v>
      </c>
    </row>
    <row r="1378" spans="2:12">
      <c r="B1378">
        <v>13.3828125</v>
      </c>
      <c r="C1378">
        <v>2.2335662506520699</v>
      </c>
      <c r="D1378">
        <v>48.682875000000003</v>
      </c>
      <c r="E1378" s="5">
        <f t="shared" si="163"/>
        <v>48682.875</v>
      </c>
      <c r="F1378" s="5">
        <v>0.69627841003239199</v>
      </c>
      <c r="G1378">
        <f t="shared" si="164"/>
        <v>973.65750000000003</v>
      </c>
      <c r="H1378">
        <f t="shared" si="165"/>
        <v>6.9627841003239196E-2</v>
      </c>
      <c r="I1378">
        <f t="shared" si="166"/>
        <v>6.9310775826635723E-2</v>
      </c>
      <c r="J1378">
        <f t="shared" si="167"/>
        <v>7366.8278603461467</v>
      </c>
      <c r="K1378" s="5">
        <f t="shared" si="168"/>
        <v>1041.4511696016114</v>
      </c>
      <c r="L1378" s="5">
        <f t="shared" si="169"/>
        <v>6.7310775826635721E-2</v>
      </c>
    </row>
    <row r="1379" spans="2:12">
      <c r="B1379">
        <v>13.392578125</v>
      </c>
      <c r="C1379">
        <v>2.2345378529280402</v>
      </c>
      <c r="D1379">
        <v>48.677328125000003</v>
      </c>
      <c r="E1379" s="5">
        <f t="shared" si="163"/>
        <v>48677.328125</v>
      </c>
      <c r="F1379" s="5">
        <v>0.69724320201203205</v>
      </c>
      <c r="G1379">
        <f t="shared" si="164"/>
        <v>973.54656250000005</v>
      </c>
      <c r="H1379">
        <f t="shared" si="165"/>
        <v>6.9724320201203199E-2</v>
      </c>
      <c r="I1379">
        <f t="shared" si="166"/>
        <v>6.9400970605951684E-2</v>
      </c>
      <c r="J1379">
        <f t="shared" si="167"/>
        <v>7376.6992279683818</v>
      </c>
      <c r="K1379" s="5">
        <f t="shared" si="168"/>
        <v>1041.4264347545309</v>
      </c>
      <c r="L1379" s="5">
        <f t="shared" si="169"/>
        <v>6.7400970605951682E-2</v>
      </c>
    </row>
    <row r="1380" spans="2:12">
      <c r="B1380">
        <v>13.40234375</v>
      </c>
      <c r="C1380">
        <v>2.2362857125699498</v>
      </c>
      <c r="D1380">
        <v>48.695460937500002</v>
      </c>
      <c r="E1380" s="5">
        <f t="shared" si="163"/>
        <v>48695.4609375</v>
      </c>
      <c r="F1380" s="5">
        <v>0.69815013557672501</v>
      </c>
      <c r="G1380">
        <f t="shared" si="164"/>
        <v>973.90921875000004</v>
      </c>
      <c r="H1380">
        <f t="shared" si="165"/>
        <v>6.9815013557672501E-2</v>
      </c>
      <c r="I1380">
        <f t="shared" si="166"/>
        <v>6.9485749002022826E-2</v>
      </c>
      <c r="J1380">
        <f t="shared" si="167"/>
        <v>7385.9777995263876</v>
      </c>
      <c r="K1380" s="5">
        <f t="shared" si="168"/>
        <v>1041.9027040609735</v>
      </c>
      <c r="L1380" s="5">
        <f t="shared" si="169"/>
        <v>6.7485749002022824E-2</v>
      </c>
    </row>
    <row r="1381" spans="2:12">
      <c r="B1381">
        <v>13.412109375</v>
      </c>
      <c r="C1381">
        <v>2.23752716556191</v>
      </c>
      <c r="D1381">
        <v>48.696156250000001</v>
      </c>
      <c r="E1381" s="5">
        <f t="shared" si="163"/>
        <v>48696.15625</v>
      </c>
      <c r="F1381" s="5">
        <v>0.69909659214317799</v>
      </c>
      <c r="G1381">
        <f t="shared" si="164"/>
        <v>973.92312500000003</v>
      </c>
      <c r="H1381">
        <f t="shared" si="165"/>
        <v>6.9909659214317799E-2</v>
      </c>
      <c r="I1381">
        <f t="shared" si="166"/>
        <v>6.957421426852313E-2</v>
      </c>
      <c r="J1381">
        <f t="shared" si="167"/>
        <v>7395.6598806185139</v>
      </c>
      <c r="K1381" s="5">
        <f t="shared" si="168"/>
        <v>1042.0097587696935</v>
      </c>
      <c r="L1381" s="5">
        <f t="shared" si="169"/>
        <v>6.7574214268523128E-2</v>
      </c>
    </row>
    <row r="1382" spans="2:12">
      <c r="B1382">
        <v>13.421875</v>
      </c>
      <c r="C1382">
        <v>2.2407306823879498</v>
      </c>
      <c r="D1382">
        <v>48.714726562499997</v>
      </c>
      <c r="E1382" s="5">
        <f t="shared" si="163"/>
        <v>48714.7265625</v>
      </c>
      <c r="F1382" s="5">
        <v>0.70006534224376105</v>
      </c>
      <c r="G1382">
        <f t="shared" si="164"/>
        <v>974.29453124999998</v>
      </c>
      <c r="H1382">
        <f t="shared" si="165"/>
        <v>7.000653422437611E-2</v>
      </c>
      <c r="I1382">
        <f t="shared" si="166"/>
        <v>6.9664755206922016E-2</v>
      </c>
      <c r="J1382">
        <f t="shared" si="167"/>
        <v>7405.5691336215796</v>
      </c>
      <c r="K1382" s="5">
        <f t="shared" si="168"/>
        <v>1042.5015146965754</v>
      </c>
      <c r="L1382" s="5">
        <f t="shared" si="169"/>
        <v>6.7664755206922014E-2</v>
      </c>
    </row>
    <row r="1383" spans="2:12">
      <c r="B1383">
        <v>13.431640625</v>
      </c>
      <c r="C1383">
        <v>2.2408918011933601</v>
      </c>
      <c r="D1383">
        <v>48.6994296875</v>
      </c>
      <c r="E1383" s="5">
        <f t="shared" si="163"/>
        <v>48699.4296875</v>
      </c>
      <c r="F1383" s="5">
        <v>0.70096348645165596</v>
      </c>
      <c r="G1383">
        <f t="shared" si="164"/>
        <v>973.98859374999995</v>
      </c>
      <c r="H1383">
        <f t="shared" si="165"/>
        <v>7.009634864516559E-2</v>
      </c>
      <c r="I1383">
        <f t="shared" si="166"/>
        <v>6.9748689882737025E-2</v>
      </c>
      <c r="J1383">
        <f t="shared" si="167"/>
        <v>7414.7553642161538</v>
      </c>
      <c r="K1383" s="5">
        <f t="shared" si="168"/>
        <v>1042.2616377939144</v>
      </c>
      <c r="L1383" s="5">
        <f t="shared" si="169"/>
        <v>6.7748689882737023E-2</v>
      </c>
    </row>
    <row r="1384" spans="2:12">
      <c r="B1384">
        <v>13.44140625</v>
      </c>
      <c r="C1384">
        <v>2.2425428032875101</v>
      </c>
      <c r="D1384">
        <v>48.678027343750003</v>
      </c>
      <c r="E1384" s="5">
        <f t="shared" si="163"/>
        <v>48678.02734375</v>
      </c>
      <c r="F1384" s="5">
        <v>0.70185645017772902</v>
      </c>
      <c r="G1384">
        <f t="shared" si="164"/>
        <v>973.560546875</v>
      </c>
      <c r="H1384">
        <f t="shared" si="165"/>
        <v>7.0185645017772899E-2</v>
      </c>
      <c r="I1384">
        <f t="shared" si="166"/>
        <v>6.9832133441037808E-2</v>
      </c>
      <c r="J1384">
        <f t="shared" si="167"/>
        <v>7423.8878444543825</v>
      </c>
      <c r="K1384" s="5">
        <f t="shared" si="168"/>
        <v>1041.8905218212776</v>
      </c>
      <c r="L1384" s="5">
        <f t="shared" si="169"/>
        <v>6.7832133441037806E-2</v>
      </c>
    </row>
    <row r="1385" spans="2:12">
      <c r="B1385">
        <v>13.451171875</v>
      </c>
      <c r="C1385">
        <v>2.24448717199266</v>
      </c>
      <c r="D1385">
        <v>48.67798046875</v>
      </c>
      <c r="E1385" s="5">
        <f t="shared" si="163"/>
        <v>48677.98046875</v>
      </c>
      <c r="F1385" s="5">
        <v>0.70275180041789997</v>
      </c>
      <c r="G1385">
        <f t="shared" si="164"/>
        <v>973.55960937500004</v>
      </c>
      <c r="H1385">
        <f t="shared" si="165"/>
        <v>7.0275180041789995E-2</v>
      </c>
      <c r="I1385">
        <f t="shared" si="166"/>
        <v>6.9915793018471867E-2</v>
      </c>
      <c r="J1385">
        <f t="shared" si="167"/>
        <v>7433.0439669066536</v>
      </c>
      <c r="K1385" s="5">
        <f t="shared" si="168"/>
        <v>1041.9766862052429</v>
      </c>
      <c r="L1385" s="5">
        <f t="shared" si="169"/>
        <v>6.7915793018471865E-2</v>
      </c>
    </row>
    <row r="1386" spans="2:12">
      <c r="B1386">
        <v>13.4609375</v>
      </c>
      <c r="C1386">
        <v>2.24656006321311</v>
      </c>
      <c r="D1386">
        <v>48.678195312500002</v>
      </c>
      <c r="E1386" s="5">
        <f t="shared" si="163"/>
        <v>48678.1953125</v>
      </c>
      <c r="F1386" s="5">
        <v>0.70362718543037805</v>
      </c>
      <c r="G1386">
        <f t="shared" si="164"/>
        <v>973.56390624999995</v>
      </c>
      <c r="H1386">
        <f t="shared" si="165"/>
        <v>7.03627185430378E-2</v>
      </c>
      <c r="I1386">
        <f t="shared" si="166"/>
        <v>6.9997580322484779E-2</v>
      </c>
      <c r="J1386">
        <f t="shared" si="167"/>
        <v>7441.9951783943461</v>
      </c>
      <c r="K1386" s="5">
        <f t="shared" si="168"/>
        <v>1042.0665093691291</v>
      </c>
      <c r="L1386" s="5">
        <f t="shared" si="169"/>
        <v>6.7997580322484777E-2</v>
      </c>
    </row>
    <row r="1387" spans="2:12">
      <c r="B1387">
        <v>13.470703125</v>
      </c>
      <c r="C1387">
        <v>2.2483931388706</v>
      </c>
      <c r="D1387">
        <v>48.697644531249999</v>
      </c>
      <c r="E1387" s="5">
        <f t="shared" si="163"/>
        <v>48697.64453125</v>
      </c>
      <c r="F1387" s="5">
        <v>0.70463313022628404</v>
      </c>
      <c r="G1387">
        <f t="shared" si="164"/>
        <v>973.95289062500001</v>
      </c>
      <c r="H1387">
        <f t="shared" si="165"/>
        <v>7.0463313022628399E-2</v>
      </c>
      <c r="I1387">
        <f t="shared" si="166"/>
        <v>7.0091557580030661E-2</v>
      </c>
      <c r="J1387">
        <f t="shared" si="167"/>
        <v>7452.2805193464555</v>
      </c>
      <c r="K1387" s="5">
        <f t="shared" si="168"/>
        <v>1042.5808380264032</v>
      </c>
      <c r="L1387" s="5">
        <f t="shared" si="169"/>
        <v>6.8091557580030659E-2</v>
      </c>
    </row>
    <row r="1388" spans="2:12">
      <c r="B1388">
        <v>13.48046875</v>
      </c>
      <c r="C1388">
        <v>2.2492662537842998</v>
      </c>
      <c r="D1388">
        <v>48.713070312500001</v>
      </c>
      <c r="E1388" s="5">
        <f t="shared" si="163"/>
        <v>48713.0703125</v>
      </c>
      <c r="F1388" s="5">
        <v>0.70551945827901397</v>
      </c>
      <c r="G1388">
        <f t="shared" si="164"/>
        <v>974.26140625000005</v>
      </c>
      <c r="H1388">
        <f t="shared" si="165"/>
        <v>7.0551945827901391E-2</v>
      </c>
      <c r="I1388">
        <f t="shared" si="166"/>
        <v>7.0174352697867565E-2</v>
      </c>
      <c r="J1388">
        <f t="shared" si="167"/>
        <v>7461.3420310181154</v>
      </c>
      <c r="K1388" s="5">
        <f t="shared" si="168"/>
        <v>1042.9974442059652</v>
      </c>
      <c r="L1388" s="5">
        <f t="shared" si="169"/>
        <v>6.8174352697867563E-2</v>
      </c>
    </row>
    <row r="1389" spans="2:12">
      <c r="B1389">
        <v>13.490234375</v>
      </c>
      <c r="C1389">
        <v>2.2523745428770798</v>
      </c>
      <c r="D1389">
        <v>48.701808593750002</v>
      </c>
      <c r="E1389" s="5">
        <f t="shared" si="163"/>
        <v>48701.80859375</v>
      </c>
      <c r="F1389" s="5">
        <v>0.70651463465765096</v>
      </c>
      <c r="G1389">
        <f t="shared" si="164"/>
        <v>974.03617187500004</v>
      </c>
      <c r="H1389">
        <f t="shared" si="165"/>
        <v>7.0651463465765091E-2</v>
      </c>
      <c r="I1389">
        <f t="shared" si="166"/>
        <v>7.0267307563812081E-2</v>
      </c>
      <c r="J1389">
        <f t="shared" si="167"/>
        <v>7471.5154763214132</v>
      </c>
      <c r="K1389" s="5">
        <f t="shared" si="168"/>
        <v>1042.8532528865603</v>
      </c>
      <c r="L1389" s="5">
        <f t="shared" si="169"/>
        <v>6.826730756381208E-2</v>
      </c>
    </row>
    <row r="1390" spans="2:12">
      <c r="B1390">
        <v>13.5</v>
      </c>
      <c r="C1390">
        <v>2.2536544129252398</v>
      </c>
      <c r="D1390">
        <v>48.700953124999998</v>
      </c>
      <c r="E1390" s="5">
        <f t="shared" si="163"/>
        <v>48700.953125</v>
      </c>
      <c r="F1390" s="5">
        <v>0.707447528839111</v>
      </c>
      <c r="G1390">
        <f t="shared" si="164"/>
        <v>974.01906250000002</v>
      </c>
      <c r="H1390">
        <f t="shared" si="165"/>
        <v>7.0744752883911105E-2</v>
      </c>
      <c r="I1390">
        <f t="shared" si="166"/>
        <v>7.0354437089392416E-2</v>
      </c>
      <c r="J1390">
        <f t="shared" si="167"/>
        <v>7481.0513672485531</v>
      </c>
      <c r="K1390" s="5">
        <f t="shared" si="168"/>
        <v>1042.9258003807813</v>
      </c>
      <c r="L1390" s="5">
        <f t="shared" si="169"/>
        <v>6.8354437089392414E-2</v>
      </c>
    </row>
    <row r="1391" spans="2:12">
      <c r="B1391">
        <v>13.509765625</v>
      </c>
      <c r="C1391">
        <v>2.2565170656889699</v>
      </c>
      <c r="D1391">
        <v>48.694558593750003</v>
      </c>
      <c r="E1391" s="5">
        <f t="shared" si="163"/>
        <v>48694.55859375</v>
      </c>
      <c r="F1391" s="5">
        <v>0.70835271617397699</v>
      </c>
      <c r="G1391">
        <f t="shared" si="164"/>
        <v>973.89117187500005</v>
      </c>
      <c r="H1391">
        <f t="shared" si="165"/>
        <v>7.0835271617397694E-2</v>
      </c>
      <c r="I1391">
        <f t="shared" si="166"/>
        <v>7.0438971622311872E-2</v>
      </c>
      <c r="J1391">
        <f t="shared" si="167"/>
        <v>7490.3032492039229</v>
      </c>
      <c r="K1391" s="5">
        <f t="shared" si="168"/>
        <v>1042.8770175605514</v>
      </c>
      <c r="L1391" s="5">
        <f t="shared" si="169"/>
        <v>6.843897162231187E-2</v>
      </c>
    </row>
    <row r="1392" spans="2:12">
      <c r="B1392">
        <v>13.51953125</v>
      </c>
      <c r="C1392">
        <v>2.25712661631405</v>
      </c>
      <c r="D1392">
        <v>48.689144531250001</v>
      </c>
      <c r="E1392" s="5">
        <f t="shared" si="163"/>
        <v>48689.14453125</v>
      </c>
      <c r="F1392" s="5">
        <v>0.70934381801635005</v>
      </c>
      <c r="G1392">
        <f t="shared" si="164"/>
        <v>973.78289062500005</v>
      </c>
      <c r="H1392">
        <f t="shared" si="165"/>
        <v>7.0934381801634999E-2</v>
      </c>
      <c r="I1392">
        <f t="shared" si="166"/>
        <v>7.0531521429570462E-2</v>
      </c>
      <c r="J1392">
        <f t="shared" si="167"/>
        <v>7500.4323628593393</v>
      </c>
      <c r="K1392" s="5">
        <f t="shared" si="168"/>
        <v>1042.8575779804937</v>
      </c>
      <c r="L1392" s="5">
        <f t="shared" si="169"/>
        <v>6.8531521429570461E-2</v>
      </c>
    </row>
    <row r="1393" spans="2:12">
      <c r="B1393">
        <v>13.529296875</v>
      </c>
      <c r="C1393">
        <v>2.2606744896620499</v>
      </c>
      <c r="D1393">
        <v>48.691144531250004</v>
      </c>
      <c r="E1393" s="5">
        <f t="shared" si="163"/>
        <v>48691.14453125</v>
      </c>
      <c r="F1393" s="5">
        <v>0.710213906131685</v>
      </c>
      <c r="G1393">
        <f t="shared" si="164"/>
        <v>973.82289062500001</v>
      </c>
      <c r="H1393">
        <f t="shared" si="165"/>
        <v>7.1021390613168506E-2</v>
      </c>
      <c r="I1393">
        <f t="shared" si="166"/>
        <v>7.0612763827477873E-2</v>
      </c>
      <c r="J1393">
        <f t="shared" si="167"/>
        <v>7509.3239370983156</v>
      </c>
      <c r="K1393" s="5">
        <f t="shared" si="168"/>
        <v>1042.9851465281231</v>
      </c>
      <c r="L1393" s="5">
        <f t="shared" si="169"/>
        <v>6.8612763827477871E-2</v>
      </c>
    </row>
    <row r="1394" spans="2:12">
      <c r="B1394">
        <v>13.5390625</v>
      </c>
      <c r="C1394">
        <v>2.2589608561247601</v>
      </c>
      <c r="D1394">
        <v>48.6761640625</v>
      </c>
      <c r="E1394" s="5">
        <f t="shared" si="163"/>
        <v>48676.1640625</v>
      </c>
      <c r="F1394" s="5">
        <v>0.71111851138994098</v>
      </c>
      <c r="G1394">
        <f t="shared" si="164"/>
        <v>973.52328124999997</v>
      </c>
      <c r="H1394">
        <f t="shared" si="165"/>
        <v>7.1111851138994098E-2</v>
      </c>
      <c r="I1394">
        <f t="shared" si="166"/>
        <v>7.0697222183397329E-2</v>
      </c>
      <c r="J1394">
        <f t="shared" si="167"/>
        <v>7518.5674818619209</v>
      </c>
      <c r="K1394" s="5">
        <f t="shared" si="168"/>
        <v>1042.7523239065949</v>
      </c>
      <c r="L1394" s="5">
        <f t="shared" si="169"/>
        <v>6.8697222183397327E-2</v>
      </c>
    </row>
    <row r="1395" spans="2:12">
      <c r="B1395">
        <v>13.548828125</v>
      </c>
      <c r="C1395">
        <v>2.2617890499532201</v>
      </c>
      <c r="D1395">
        <v>48.6740703125</v>
      </c>
      <c r="E1395" s="5">
        <f t="shared" si="163"/>
        <v>48674.0703125</v>
      </c>
      <c r="F1395" s="5">
        <v>0.71204523555934396</v>
      </c>
      <c r="G1395">
        <f t="shared" si="164"/>
        <v>973.48140624999996</v>
      </c>
      <c r="H1395">
        <f t="shared" si="165"/>
        <v>7.1204523555934401E-2</v>
      </c>
      <c r="I1395">
        <f t="shared" si="166"/>
        <v>7.0783738272330574E-2</v>
      </c>
      <c r="J1395">
        <f t="shared" si="167"/>
        <v>7528.0362352152197</v>
      </c>
      <c r="K1395" s="5">
        <f t="shared" si="168"/>
        <v>1042.7976859725923</v>
      </c>
      <c r="L1395" s="5">
        <f t="shared" si="169"/>
        <v>6.8783738272330572E-2</v>
      </c>
    </row>
    <row r="1396" spans="2:12">
      <c r="B1396">
        <v>13.55859375</v>
      </c>
      <c r="C1396">
        <v>2.2621897514909501</v>
      </c>
      <c r="D1396">
        <v>48.656203124999998</v>
      </c>
      <c r="E1396" s="5">
        <f t="shared" si="163"/>
        <v>48656.203125</v>
      </c>
      <c r="F1396" s="5">
        <v>0.71290606865659401</v>
      </c>
      <c r="G1396">
        <f t="shared" si="164"/>
        <v>973.12406250000004</v>
      </c>
      <c r="H1396">
        <f t="shared" si="165"/>
        <v>7.1290606865659398E-2</v>
      </c>
      <c r="I1396">
        <f t="shared" si="166"/>
        <v>7.0864096270394555E-2</v>
      </c>
      <c r="J1396">
        <f t="shared" si="167"/>
        <v>7536.8310163133319</v>
      </c>
      <c r="K1396" s="5">
        <f t="shared" si="168"/>
        <v>1042.4986674712009</v>
      </c>
      <c r="L1396" s="5">
        <f t="shared" si="169"/>
        <v>6.8864096270394554E-2</v>
      </c>
    </row>
    <row r="1397" spans="2:12">
      <c r="B1397">
        <v>13.568359375</v>
      </c>
      <c r="C1397">
        <v>2.2647082805633501</v>
      </c>
      <c r="D1397">
        <v>48.6432734375</v>
      </c>
      <c r="E1397" s="5">
        <f t="shared" si="163"/>
        <v>48643.2734375</v>
      </c>
      <c r="F1397" s="5">
        <v>0.71379891596734502</v>
      </c>
      <c r="G1397">
        <f t="shared" si="164"/>
        <v>972.86546874999999</v>
      </c>
      <c r="H1397">
        <f t="shared" si="165"/>
        <v>7.1379891596734496E-2</v>
      </c>
      <c r="I1397">
        <f t="shared" si="166"/>
        <v>7.094743594505841E-2</v>
      </c>
      <c r="J1397">
        <f t="shared" si="167"/>
        <v>7545.9521270069172</v>
      </c>
      <c r="K1397" s="5">
        <f t="shared" si="168"/>
        <v>1042.3085004475813</v>
      </c>
      <c r="L1397" s="5">
        <f t="shared" si="169"/>
        <v>6.8947435945058408E-2</v>
      </c>
    </row>
    <row r="1398" spans="2:12">
      <c r="B1398">
        <v>13.578125</v>
      </c>
      <c r="C1398">
        <v>2.2658824454993001</v>
      </c>
      <c r="D1398">
        <v>48.660230468750001</v>
      </c>
      <c r="E1398" s="5">
        <f t="shared" si="163"/>
        <v>48660.23046875</v>
      </c>
      <c r="F1398" s="5">
        <v>0.71472045965492703</v>
      </c>
      <c r="G1398">
        <f t="shared" si="164"/>
        <v>973.20460937500002</v>
      </c>
      <c r="H1398">
        <f t="shared" si="165"/>
        <v>7.1472045965492698E-2</v>
      </c>
      <c r="I1398">
        <f t="shared" si="166"/>
        <v>7.1033446898218194E-2</v>
      </c>
      <c r="J1398">
        <f t="shared" si="167"/>
        <v>7555.36559577549</v>
      </c>
      <c r="K1398" s="5">
        <f t="shared" si="168"/>
        <v>1042.7615339500794</v>
      </c>
      <c r="L1398" s="5">
        <f t="shared" si="169"/>
        <v>6.9033446898218193E-2</v>
      </c>
    </row>
    <row r="1399" spans="2:12">
      <c r="B1399">
        <v>13.587890625</v>
      </c>
      <c r="C1399">
        <v>2.26720119826496</v>
      </c>
      <c r="D1399">
        <v>48.657027343750002</v>
      </c>
      <c r="E1399" s="5">
        <f t="shared" si="163"/>
        <v>48657.02734375</v>
      </c>
      <c r="F1399" s="5">
        <v>0.71558920899406098</v>
      </c>
      <c r="G1399">
        <f t="shared" si="164"/>
        <v>973.14054687500004</v>
      </c>
      <c r="H1399">
        <f t="shared" si="165"/>
        <v>7.1558920899406103E-2</v>
      </c>
      <c r="I1399">
        <f t="shared" si="166"/>
        <v>7.1114523593146253E-2</v>
      </c>
      <c r="J1399">
        <f t="shared" si="167"/>
        <v>7564.2390346518914</v>
      </c>
      <c r="K1399" s="5">
        <f t="shared" si="168"/>
        <v>1042.777434292833</v>
      </c>
      <c r="L1399" s="5">
        <f t="shared" si="169"/>
        <v>6.9114523593146251E-2</v>
      </c>
    </row>
    <row r="1400" spans="2:12">
      <c r="B1400">
        <v>13.59765625</v>
      </c>
      <c r="C1400">
        <v>2.2695898078382002</v>
      </c>
      <c r="D1400">
        <v>48.651249999999997</v>
      </c>
      <c r="E1400" s="5">
        <f t="shared" si="163"/>
        <v>48651.25</v>
      </c>
      <c r="F1400" s="5">
        <v>0.71656046202406298</v>
      </c>
      <c r="G1400">
        <f t="shared" si="164"/>
        <v>973.02499999999998</v>
      </c>
      <c r="H1400">
        <f t="shared" si="165"/>
        <v>7.1656046202406301E-2</v>
      </c>
      <c r="I1400">
        <f t="shared" si="166"/>
        <v>7.1205158741330238E-2</v>
      </c>
      <c r="J1400">
        <f t="shared" si="167"/>
        <v>7574.1585984448875</v>
      </c>
      <c r="K1400" s="5">
        <f t="shared" si="168"/>
        <v>1042.7481243560962</v>
      </c>
      <c r="L1400" s="5">
        <f t="shared" si="169"/>
        <v>6.9205158741330236E-2</v>
      </c>
    </row>
    <row r="1401" spans="2:12">
      <c r="B1401">
        <v>13.607421875</v>
      </c>
      <c r="C1401">
        <v>2.2711469791829599</v>
      </c>
      <c r="D1401">
        <v>48.6507734375</v>
      </c>
      <c r="E1401" s="5">
        <f t="shared" si="163"/>
        <v>48650.7734375</v>
      </c>
      <c r="F1401" s="5">
        <v>0.71739481063559696</v>
      </c>
      <c r="G1401">
        <f t="shared" si="164"/>
        <v>973.01546874999997</v>
      </c>
      <c r="H1401">
        <f t="shared" si="165"/>
        <v>7.1739481063559693E-2</v>
      </c>
      <c r="I1401">
        <f t="shared" si="166"/>
        <v>7.128301171819254E-2</v>
      </c>
      <c r="J1401">
        <f t="shared" si="167"/>
        <v>7582.6792174975826</v>
      </c>
      <c r="K1401" s="5">
        <f t="shared" si="168"/>
        <v>1042.8190935449411</v>
      </c>
      <c r="L1401" s="5">
        <f t="shared" si="169"/>
        <v>6.9283011718192539E-2</v>
      </c>
    </row>
    <row r="1402" spans="2:12">
      <c r="B1402">
        <v>13.6171875</v>
      </c>
      <c r="C1402">
        <v>2.2725998423993601</v>
      </c>
      <c r="D1402">
        <v>48.649925781249998</v>
      </c>
      <c r="E1402" s="5">
        <f t="shared" si="163"/>
        <v>48649.92578125</v>
      </c>
      <c r="F1402" s="5">
        <v>0.71826187195256397</v>
      </c>
      <c r="G1402">
        <f t="shared" si="164"/>
        <v>972.99851562499998</v>
      </c>
      <c r="H1402">
        <f t="shared" si="165"/>
        <v>7.1826187195256394E-2</v>
      </c>
      <c r="I1402">
        <f t="shared" si="166"/>
        <v>7.1363910692297139E-2</v>
      </c>
      <c r="J1402">
        <f t="shared" si="167"/>
        <v>7591.5332057184605</v>
      </c>
      <c r="K1402" s="5">
        <f t="shared" si="168"/>
        <v>1042.8852891489878</v>
      </c>
      <c r="L1402" s="5">
        <f t="shared" si="169"/>
        <v>6.9363910692297137E-2</v>
      </c>
    </row>
    <row r="1403" spans="2:12">
      <c r="B1403">
        <v>13.626953125</v>
      </c>
      <c r="C1403">
        <v>2.2738382685929501</v>
      </c>
      <c r="D1403">
        <v>48.633535156249998</v>
      </c>
      <c r="E1403" s="5">
        <f t="shared" si="163"/>
        <v>48633.53515625</v>
      </c>
      <c r="F1403" s="5">
        <v>0.71924494113773096</v>
      </c>
      <c r="G1403">
        <f t="shared" si="164"/>
        <v>972.67070312500005</v>
      </c>
      <c r="H1403">
        <f t="shared" si="165"/>
        <v>7.1924494113773094E-2</v>
      </c>
      <c r="I1403">
        <f t="shared" si="166"/>
        <v>7.1455625572616741E-2</v>
      </c>
      <c r="J1403">
        <f t="shared" si="167"/>
        <v>7601.570940795039</v>
      </c>
      <c r="K1403" s="5">
        <f t="shared" si="168"/>
        <v>1042.6295513865537</v>
      </c>
      <c r="L1403" s="5">
        <f t="shared" si="169"/>
        <v>6.9455625572616739E-2</v>
      </c>
    </row>
    <row r="1404" spans="2:12">
      <c r="B1404">
        <v>13.63671875</v>
      </c>
      <c r="C1404">
        <v>2.2753134835511402</v>
      </c>
      <c r="D1404">
        <v>48.641609375000002</v>
      </c>
      <c r="E1404" s="5">
        <f t="shared" si="163"/>
        <v>48641.609375</v>
      </c>
      <c r="F1404" s="5">
        <v>0.72011898737400803</v>
      </c>
      <c r="G1404">
        <f t="shared" si="164"/>
        <v>972.83218750000003</v>
      </c>
      <c r="H1404">
        <f t="shared" si="165"/>
        <v>7.2011898737400798E-2</v>
      </c>
      <c r="I1404">
        <f t="shared" si="166"/>
        <v>7.1537162155481365E-2</v>
      </c>
      <c r="J1404">
        <f t="shared" si="167"/>
        <v>7610.494712106658</v>
      </c>
      <c r="K1404" s="5">
        <f t="shared" si="168"/>
        <v>1042.8876804747342</v>
      </c>
      <c r="L1404" s="5">
        <f t="shared" si="169"/>
        <v>6.9537162155481363E-2</v>
      </c>
    </row>
    <row r="1405" spans="2:12">
      <c r="B1405">
        <v>13.646484375</v>
      </c>
      <c r="C1405">
        <v>2.2763372398912902</v>
      </c>
      <c r="D1405">
        <v>48.643363281249997</v>
      </c>
      <c r="E1405" s="5">
        <f t="shared" si="163"/>
        <v>48643.36328125</v>
      </c>
      <c r="F1405" s="5">
        <v>0.72100176475942102</v>
      </c>
      <c r="G1405">
        <f t="shared" si="164"/>
        <v>972.86726562499996</v>
      </c>
      <c r="H1405">
        <f t="shared" si="165"/>
        <v>7.2100176475942107E-2</v>
      </c>
      <c r="I1405">
        <f t="shared" si="166"/>
        <v>7.1619506487768617E-2</v>
      </c>
      <c r="J1405">
        <f t="shared" si="167"/>
        <v>7619.5068875538363</v>
      </c>
      <c r="K1405" s="5">
        <f t="shared" si="168"/>
        <v>1043.0111671642296</v>
      </c>
      <c r="L1405" s="5">
        <f t="shared" si="169"/>
        <v>6.9619506487768615E-2</v>
      </c>
    </row>
    <row r="1406" spans="2:12">
      <c r="B1406">
        <v>13.65625</v>
      </c>
      <c r="C1406">
        <v>2.2797852288931599</v>
      </c>
      <c r="D1406">
        <v>48.658753906249999</v>
      </c>
      <c r="E1406" s="5">
        <f t="shared" si="163"/>
        <v>48658.75390625</v>
      </c>
      <c r="F1406" s="5">
        <v>0.72199513670057103</v>
      </c>
      <c r="G1406">
        <f t="shared" si="164"/>
        <v>973.17507812500003</v>
      </c>
      <c r="H1406">
        <f t="shared" si="165"/>
        <v>7.21995136700571E-2</v>
      </c>
      <c r="I1406">
        <f t="shared" si="166"/>
        <v>7.1712158829829273E-2</v>
      </c>
      <c r="J1406">
        <f t="shared" si="167"/>
        <v>7629.6472231306643</v>
      </c>
      <c r="K1406" s="5">
        <f t="shared" si="168"/>
        <v>1043.4378454814448</v>
      </c>
      <c r="L1406" s="5">
        <f t="shared" si="169"/>
        <v>6.9712158829829271E-2</v>
      </c>
    </row>
    <row r="1407" spans="2:12">
      <c r="B1407">
        <v>13.666015625</v>
      </c>
      <c r="C1407">
        <v>2.2801428567618101</v>
      </c>
      <c r="D1407">
        <v>48.680648437499997</v>
      </c>
      <c r="E1407" s="5">
        <f t="shared" si="163"/>
        <v>48680.6484375</v>
      </c>
      <c r="F1407" s="5">
        <v>0.72286830982193395</v>
      </c>
      <c r="G1407">
        <f t="shared" si="164"/>
        <v>973.61296875000005</v>
      </c>
      <c r="H1407">
        <f t="shared" si="165"/>
        <v>7.2286830982193392E-2</v>
      </c>
      <c r="I1407">
        <f t="shared" si="166"/>
        <v>7.1793593073887108E-2</v>
      </c>
      <c r="J1407">
        <f t="shared" si="167"/>
        <v>7638.5597939715744</v>
      </c>
      <c r="K1407" s="5">
        <f t="shared" si="168"/>
        <v>1043.9923648641029</v>
      </c>
      <c r="L1407" s="5">
        <f t="shared" si="169"/>
        <v>6.9793593073887106E-2</v>
      </c>
    </row>
    <row r="1408" spans="2:12">
      <c r="B1408">
        <v>13.67578125</v>
      </c>
      <c r="C1408">
        <v>2.2818280849605799</v>
      </c>
      <c r="D1408">
        <v>48.671460937500001</v>
      </c>
      <c r="E1408" s="5">
        <f t="shared" si="163"/>
        <v>48671.4609375</v>
      </c>
      <c r="F1408" s="5">
        <v>0.72376499883830503</v>
      </c>
      <c r="G1408">
        <f t="shared" si="164"/>
        <v>973.42921875000002</v>
      </c>
      <c r="H1408">
        <f t="shared" si="165"/>
        <v>7.2376499883830506E-2</v>
      </c>
      <c r="I1408">
        <f t="shared" si="166"/>
        <v>7.1877213566109766E-2</v>
      </c>
      <c r="J1408">
        <f t="shared" si="167"/>
        <v>7647.7116387428832</v>
      </c>
      <c r="K1408" s="5">
        <f t="shared" si="168"/>
        <v>1043.8826184877767</v>
      </c>
      <c r="L1408" s="5">
        <f t="shared" si="169"/>
        <v>6.9877213566109764E-2</v>
      </c>
    </row>
    <row r="1409" spans="2:12">
      <c r="B1409">
        <v>13.685546875</v>
      </c>
      <c r="C1409">
        <v>2.2827968932688201</v>
      </c>
      <c r="D1409">
        <v>48.650457031249999</v>
      </c>
      <c r="E1409" s="5">
        <f t="shared" si="163"/>
        <v>48650.45703125</v>
      </c>
      <c r="F1409" s="5">
        <v>0.72470546001568403</v>
      </c>
      <c r="G1409">
        <f t="shared" si="164"/>
        <v>973.00914062499999</v>
      </c>
      <c r="H1409">
        <f t="shared" si="165"/>
        <v>7.2470546001568409E-2</v>
      </c>
      <c r="I1409">
        <f t="shared" si="166"/>
        <v>7.1964908507321138E-2</v>
      </c>
      <c r="J1409">
        <f t="shared" si="167"/>
        <v>7657.3094115837621</v>
      </c>
      <c r="K1409" s="5">
        <f t="shared" si="168"/>
        <v>1043.5236443106105</v>
      </c>
      <c r="L1409" s="5">
        <f t="shared" si="169"/>
        <v>6.9964908507321136E-2</v>
      </c>
    </row>
    <row r="1410" spans="2:12">
      <c r="B1410">
        <v>13.6953125</v>
      </c>
      <c r="C1410">
        <v>2.2855519782751799</v>
      </c>
      <c r="D1410">
        <v>48.663511718750001</v>
      </c>
      <c r="E1410" s="5">
        <f t="shared" si="163"/>
        <v>48663.51171875</v>
      </c>
      <c r="F1410" s="5">
        <v>0.72561175329610705</v>
      </c>
      <c r="G1410">
        <f t="shared" si="164"/>
        <v>973.27023437499997</v>
      </c>
      <c r="H1410">
        <f t="shared" si="165"/>
        <v>7.2561175329610705E-2</v>
      </c>
      <c r="I1410">
        <f t="shared" si="166"/>
        <v>7.2049410127688743E-2</v>
      </c>
      <c r="J1410">
        <f t="shared" si="167"/>
        <v>7666.5576914248941</v>
      </c>
      <c r="K1410" s="5">
        <f t="shared" si="168"/>
        <v>1043.8918664945757</v>
      </c>
      <c r="L1410" s="5">
        <f t="shared" si="169"/>
        <v>7.0049410127688741E-2</v>
      </c>
    </row>
    <row r="1411" spans="2:12">
      <c r="B1411">
        <v>13.705078125</v>
      </c>
      <c r="C1411">
        <v>2.28690053336322</v>
      </c>
      <c r="D1411">
        <v>48.665468750000002</v>
      </c>
      <c r="E1411" s="5">
        <f t="shared" si="163"/>
        <v>48665.46875</v>
      </c>
      <c r="F1411" s="5">
        <v>0.72655768599361203</v>
      </c>
      <c r="G1411">
        <f t="shared" si="164"/>
        <v>973.30937500000005</v>
      </c>
      <c r="H1411">
        <f t="shared" si="165"/>
        <v>7.2655768599361209E-2</v>
      </c>
      <c r="I1411">
        <f t="shared" si="166"/>
        <v>7.2137600061186594E-2</v>
      </c>
      <c r="J1411">
        <f t="shared" si="167"/>
        <v>7676.2096386965668</v>
      </c>
      <c r="K1411" s="5">
        <f t="shared" si="168"/>
        <v>1044.0259157255889</v>
      </c>
      <c r="L1411" s="5">
        <f t="shared" si="169"/>
        <v>7.0137600061186592E-2</v>
      </c>
    </row>
    <row r="1412" spans="2:12">
      <c r="B1412">
        <v>13.71484375</v>
      </c>
      <c r="C1412">
        <v>2.2895336151122998</v>
      </c>
      <c r="D1412">
        <v>48.692359375000002</v>
      </c>
      <c r="E1412" s="5">
        <f t="shared" si="163"/>
        <v>48692.359375</v>
      </c>
      <c r="F1412" s="5">
        <v>0.72759942850098003</v>
      </c>
      <c r="G1412">
        <f t="shared" si="164"/>
        <v>973.84718750000002</v>
      </c>
      <c r="H1412">
        <f t="shared" si="165"/>
        <v>7.2759942850098E-2</v>
      </c>
      <c r="I1412">
        <f t="shared" si="166"/>
        <v>7.2234713408742282E-2</v>
      </c>
      <c r="J1412">
        <f t="shared" si="167"/>
        <v>7686.8382090197993</v>
      </c>
      <c r="K1412" s="5">
        <f t="shared" si="168"/>
        <v>1044.7042532072287</v>
      </c>
      <c r="L1412" s="5">
        <f t="shared" si="169"/>
        <v>7.023471340874228E-2</v>
      </c>
    </row>
    <row r="1413" spans="2:12">
      <c r="B1413">
        <v>13.724609375</v>
      </c>
      <c r="C1413">
        <v>2.2907138336449901</v>
      </c>
      <c r="D1413">
        <v>48.674710937500002</v>
      </c>
      <c r="E1413" s="5">
        <f t="shared" si="163"/>
        <v>48674.7109375</v>
      </c>
      <c r="F1413" s="5">
        <v>0.72852667653933201</v>
      </c>
      <c r="G1413">
        <f t="shared" si="164"/>
        <v>973.49421874999996</v>
      </c>
      <c r="H1413">
        <f t="shared" si="165"/>
        <v>7.2852667653933195E-2</v>
      </c>
      <c r="I1413">
        <f t="shared" si="166"/>
        <v>7.2321145417427291E-2</v>
      </c>
      <c r="J1413">
        <f t="shared" si="167"/>
        <v>7696.2977602103292</v>
      </c>
      <c r="K1413" s="5">
        <f t="shared" si="168"/>
        <v>1044.4158695316189</v>
      </c>
      <c r="L1413" s="5">
        <f t="shared" si="169"/>
        <v>7.0321145417427289E-2</v>
      </c>
    </row>
    <row r="1414" spans="2:12">
      <c r="B1414">
        <v>13.734375</v>
      </c>
      <c r="C1414">
        <v>2.2923336364328901</v>
      </c>
      <c r="D1414">
        <v>48.6755703125</v>
      </c>
      <c r="E1414" s="5">
        <f t="shared" si="163"/>
        <v>48675.5703125</v>
      </c>
      <c r="F1414" s="5">
        <v>0.72944938438013196</v>
      </c>
      <c r="G1414">
        <f t="shared" si="164"/>
        <v>973.51140625000005</v>
      </c>
      <c r="H1414">
        <f t="shared" si="165"/>
        <v>7.2944938438013196E-2</v>
      </c>
      <c r="I1414">
        <f t="shared" si="166"/>
        <v>7.2407146803461969E-2</v>
      </c>
      <c r="J1414">
        <f t="shared" si="167"/>
        <v>7705.7101819048949</v>
      </c>
      <c r="K1414" s="5">
        <f t="shared" si="168"/>
        <v>1044.5241358476101</v>
      </c>
      <c r="L1414" s="5">
        <f t="shared" si="169"/>
        <v>7.0407146803461967E-2</v>
      </c>
    </row>
    <row r="1415" spans="2:12">
      <c r="B1415">
        <v>13.744140625</v>
      </c>
      <c r="C1415">
        <v>2.2933899890631402</v>
      </c>
      <c r="D1415">
        <v>48.668953125000002</v>
      </c>
      <c r="E1415" s="5">
        <f t="shared" si="163"/>
        <v>48668.953125</v>
      </c>
      <c r="F1415" s="5">
        <v>0.73044217424467195</v>
      </c>
      <c r="G1415">
        <f t="shared" si="164"/>
        <v>973.37906250000003</v>
      </c>
      <c r="H1415">
        <f t="shared" si="165"/>
        <v>7.3044217424467192E-2</v>
      </c>
      <c r="I1415">
        <f t="shared" si="166"/>
        <v>7.2499671955561298E-2</v>
      </c>
      <c r="J1415">
        <f t="shared" si="167"/>
        <v>7715.836597176406</v>
      </c>
      <c r="K1415" s="5">
        <f t="shared" si="168"/>
        <v>1044.4787743776742</v>
      </c>
      <c r="L1415" s="5">
        <f t="shared" si="169"/>
        <v>7.0499671955561297E-2</v>
      </c>
    </row>
    <row r="1416" spans="2:12">
      <c r="B1416">
        <v>13.75390625</v>
      </c>
      <c r="C1416">
        <v>2.2953748703002899</v>
      </c>
      <c r="D1416">
        <v>48.656683593750003</v>
      </c>
      <c r="E1416" s="5">
        <f t="shared" si="163"/>
        <v>48656.68359375</v>
      </c>
      <c r="F1416" s="5">
        <v>0.73130318196490396</v>
      </c>
      <c r="G1416">
        <f t="shared" si="164"/>
        <v>973.133671875</v>
      </c>
      <c r="H1416">
        <f t="shared" si="165"/>
        <v>7.3130318196490393E-2</v>
      </c>
      <c r="I1416">
        <f t="shared" si="166"/>
        <v>7.2579908460692025E-2</v>
      </c>
      <c r="J1416">
        <f t="shared" si="167"/>
        <v>7724.6180814804384</v>
      </c>
      <c r="K1416" s="5">
        <f t="shared" si="168"/>
        <v>1044.299246946938</v>
      </c>
      <c r="L1416" s="5">
        <f t="shared" si="169"/>
        <v>7.0579908460692023E-2</v>
      </c>
    </row>
    <row r="1417" spans="2:12">
      <c r="B1417">
        <v>13.763671875</v>
      </c>
      <c r="C1417">
        <v>2.2971483413130001</v>
      </c>
      <c r="D1417">
        <v>48.654976562500003</v>
      </c>
      <c r="E1417" s="5">
        <f t="shared" ref="E1417:E1480" si="170" xml:space="preserve"> D1417*R$3</f>
        <v>48654.9765625</v>
      </c>
      <c r="F1417" s="5">
        <v>0.73222065111622203</v>
      </c>
      <c r="G1417">
        <f t="shared" ref="G1417:G1480" si="171" xml:space="preserve"> E1417/C$3</f>
        <v>973.09953125000004</v>
      </c>
      <c r="H1417">
        <f t="shared" ref="H1417:H1480" si="172" xml:space="preserve"> F1417/C$4</f>
        <v>7.32220651116222E-2</v>
      </c>
      <c r="I1417">
        <f t="shared" ref="I1417:I1480" si="173">L1417+0.002</f>
        <v>7.2665399469438938E-2</v>
      </c>
      <c r="J1417">
        <f t="shared" ref="J1417:J1480" si="174">L1417*G$2</f>
        <v>7733.974644932744</v>
      </c>
      <c r="K1417" s="5">
        <f t="shared" ref="K1417:K1480" si="175" xml:space="preserve"> G1417 * (1 + H1417)</f>
        <v>1044.3518884872767</v>
      </c>
      <c r="L1417" s="5">
        <f t="shared" ref="L1417:L1480" si="176">LN(1 + H1417)</f>
        <v>7.0665399469438936E-2</v>
      </c>
    </row>
    <row r="1418" spans="2:12">
      <c r="B1418">
        <v>13.7734375</v>
      </c>
      <c r="C1418">
        <v>2.29822541587055</v>
      </c>
      <c r="D1418">
        <v>48.657964843750001</v>
      </c>
      <c r="E1418" s="5">
        <f t="shared" si="170"/>
        <v>48657.96484375</v>
      </c>
      <c r="F1418" s="5">
        <v>0.73322578100487601</v>
      </c>
      <c r="G1418">
        <f t="shared" si="171"/>
        <v>973.159296875</v>
      </c>
      <c r="H1418">
        <f t="shared" si="172"/>
        <v>7.3322578100487604E-2</v>
      </c>
      <c r="I1418">
        <f t="shared" si="173"/>
        <v>7.2759050434730244E-2</v>
      </c>
      <c r="J1418">
        <f t="shared" si="174"/>
        <v>7744.224274829051</v>
      </c>
      <c r="K1418" s="5">
        <f t="shared" si="175"/>
        <v>1044.5138454243327</v>
      </c>
      <c r="L1418" s="5">
        <f t="shared" si="176"/>
        <v>7.0759050434730242E-2</v>
      </c>
    </row>
    <row r="1419" spans="2:12">
      <c r="B1419">
        <v>13.783203125</v>
      </c>
      <c r="C1419">
        <v>2.3001327645033598</v>
      </c>
      <c r="D1419">
        <v>48.652042968750003</v>
      </c>
      <c r="E1419" s="5">
        <f t="shared" si="170"/>
        <v>48652.04296875</v>
      </c>
      <c r="F1419" s="5">
        <v>0.73405145667493299</v>
      </c>
      <c r="G1419">
        <f t="shared" si="171"/>
        <v>973.04085937499997</v>
      </c>
      <c r="H1419">
        <f t="shared" si="172"/>
        <v>7.3405145667493302E-2</v>
      </c>
      <c r="I1419">
        <f t="shared" si="173"/>
        <v>7.2835974551498567E-2</v>
      </c>
      <c r="J1419">
        <f t="shared" si="174"/>
        <v>7752.6432347887603</v>
      </c>
      <c r="K1419" s="5">
        <f t="shared" si="175"/>
        <v>1044.4670653978446</v>
      </c>
      <c r="L1419" s="5">
        <f t="shared" si="176"/>
        <v>7.0835974551498565E-2</v>
      </c>
    </row>
    <row r="1420" spans="2:12">
      <c r="B1420">
        <v>13.79296875</v>
      </c>
      <c r="C1420">
        <v>2.3013234604150101</v>
      </c>
      <c r="D1420">
        <v>48.654601562499998</v>
      </c>
      <c r="E1420" s="5">
        <f t="shared" si="170"/>
        <v>48654.6015625</v>
      </c>
      <c r="F1420" s="5">
        <v>0.73493464151397303</v>
      </c>
      <c r="G1420">
        <f t="shared" si="171"/>
        <v>973.09203124999999</v>
      </c>
      <c r="H1420">
        <f t="shared" si="172"/>
        <v>7.3493464151397306E-2</v>
      </c>
      <c r="I1420">
        <f t="shared" si="173"/>
        <v>7.2918249963620868E-2</v>
      </c>
      <c r="J1420">
        <f t="shared" si="174"/>
        <v>7761.6478672684862</v>
      </c>
      <c r="K1420" s="5">
        <f t="shared" si="175"/>
        <v>1044.6079355646823</v>
      </c>
      <c r="L1420" s="5">
        <f t="shared" si="176"/>
        <v>7.0918249963620866E-2</v>
      </c>
    </row>
    <row r="1421" spans="2:12">
      <c r="B1421">
        <v>13.802734375</v>
      </c>
      <c r="C1421">
        <v>2.3030892480164802</v>
      </c>
      <c r="D1421">
        <v>48.658472656249998</v>
      </c>
      <c r="E1421" s="5">
        <f t="shared" si="170"/>
        <v>48658.47265625</v>
      </c>
      <c r="F1421" s="5">
        <v>0.735956593416631</v>
      </c>
      <c r="G1421">
        <f t="shared" si="171"/>
        <v>973.16945312500002</v>
      </c>
      <c r="H1421">
        <f t="shared" si="172"/>
        <v>7.3595659341663094E-2</v>
      </c>
      <c r="I1421">
        <f t="shared" si="173"/>
        <v>7.3013444139982481E-2</v>
      </c>
      <c r="J1421">
        <f t="shared" si="174"/>
        <v>7772.0663939003825</v>
      </c>
      <c r="K1421" s="5">
        <f t="shared" si="175"/>
        <v>1044.7905006789001</v>
      </c>
      <c r="L1421" s="5">
        <f t="shared" si="176"/>
        <v>7.1013444139982479E-2</v>
      </c>
    </row>
    <row r="1422" spans="2:12">
      <c r="B1422">
        <v>13.8125</v>
      </c>
      <c r="C1422">
        <v>2.3042827378958499</v>
      </c>
      <c r="D1422">
        <v>48.634332031249997</v>
      </c>
      <c r="E1422" s="5">
        <f t="shared" si="170"/>
        <v>48634.33203125</v>
      </c>
      <c r="F1422" s="5">
        <v>0.73683960363268897</v>
      </c>
      <c r="G1422">
        <f t="shared" si="171"/>
        <v>972.686640625</v>
      </c>
      <c r="H1422">
        <f t="shared" si="172"/>
        <v>7.3683960363268894E-2</v>
      </c>
      <c r="I1422">
        <f t="shared" si="173"/>
        <v>7.3095688688708402E-2</v>
      </c>
      <c r="J1422">
        <f t="shared" si="174"/>
        <v>7781.0676485356908</v>
      </c>
      <c r="K1422" s="5">
        <f t="shared" si="175"/>
        <v>1044.3580444986935</v>
      </c>
      <c r="L1422" s="5">
        <f t="shared" si="176"/>
        <v>7.10956886887084E-2</v>
      </c>
    </row>
    <row r="1423" spans="2:12">
      <c r="B1423">
        <v>13.822265625</v>
      </c>
      <c r="C1423">
        <v>2.3064403794705899</v>
      </c>
      <c r="D1423">
        <v>48.656710937500002</v>
      </c>
      <c r="E1423" s="5">
        <f t="shared" si="170"/>
        <v>48656.7109375</v>
      </c>
      <c r="F1423" s="5">
        <v>0.73781120590865601</v>
      </c>
      <c r="G1423">
        <f t="shared" si="171"/>
        <v>973.13421874999995</v>
      </c>
      <c r="H1423">
        <f t="shared" si="172"/>
        <v>7.3781120590865598E-2</v>
      </c>
      <c r="I1423">
        <f t="shared" si="173"/>
        <v>7.3186176984443477E-2</v>
      </c>
      <c r="J1423">
        <f t="shared" si="174"/>
        <v>7790.9711400624165</v>
      </c>
      <c r="K1423" s="5">
        <f t="shared" si="175"/>
        <v>1044.9331518946915</v>
      </c>
      <c r="L1423" s="5">
        <f t="shared" si="176"/>
        <v>7.1186176984443475E-2</v>
      </c>
    </row>
    <row r="1424" spans="2:12">
      <c r="B1424">
        <v>13.83203125</v>
      </c>
      <c r="C1424">
        <v>2.3088201414793699</v>
      </c>
      <c r="D1424">
        <v>48.660617187500002</v>
      </c>
      <c r="E1424" s="5">
        <f t="shared" si="170"/>
        <v>48660.6171875</v>
      </c>
      <c r="F1424" s="5">
        <v>0.73888013139367104</v>
      </c>
      <c r="G1424">
        <f t="shared" si="171"/>
        <v>973.21234374999995</v>
      </c>
      <c r="H1424">
        <f t="shared" si="172"/>
        <v>7.3888013139367104E-2</v>
      </c>
      <c r="I1424">
        <f t="shared" si="173"/>
        <v>7.3285719830136931E-2</v>
      </c>
      <c r="J1424">
        <f t="shared" si="174"/>
        <v>7801.865606809336</v>
      </c>
      <c r="K1424" s="5">
        <f t="shared" si="175"/>
        <v>1045.1210701923942</v>
      </c>
      <c r="L1424" s="5">
        <f t="shared" si="176"/>
        <v>7.1285719830136929E-2</v>
      </c>
    </row>
    <row r="1425" spans="2:12">
      <c r="B1425">
        <v>13.841796875</v>
      </c>
      <c r="C1425">
        <v>2.31027463451028</v>
      </c>
      <c r="D1425">
        <v>48.660062500000002</v>
      </c>
      <c r="E1425" s="5">
        <f t="shared" si="170"/>
        <v>48660.0625</v>
      </c>
      <c r="F1425" s="5">
        <v>0.73977041756734296</v>
      </c>
      <c r="G1425">
        <f t="shared" si="171"/>
        <v>973.20124999999996</v>
      </c>
      <c r="H1425">
        <f t="shared" si="172"/>
        <v>7.3977041756734294E-2</v>
      </c>
      <c r="I1425">
        <f t="shared" si="173"/>
        <v>7.3368619467816865E-2</v>
      </c>
      <c r="J1425">
        <f t="shared" si="174"/>
        <v>7810.9385576552168</v>
      </c>
      <c r="K1425" s="5">
        <f t="shared" si="175"/>
        <v>1045.1957995089558</v>
      </c>
      <c r="L1425" s="5">
        <f t="shared" si="176"/>
        <v>7.1368619467816863E-2</v>
      </c>
    </row>
    <row r="1426" spans="2:12">
      <c r="B1426">
        <v>13.8515625</v>
      </c>
      <c r="C1426">
        <v>2.31214752420783</v>
      </c>
      <c r="D1426">
        <v>48.662679687500003</v>
      </c>
      <c r="E1426" s="5">
        <f t="shared" si="170"/>
        <v>48662.6796875</v>
      </c>
      <c r="F1426" s="5">
        <v>0.74069289257749904</v>
      </c>
      <c r="G1426">
        <f t="shared" si="171"/>
        <v>973.25359375000005</v>
      </c>
      <c r="H1426">
        <f t="shared" si="172"/>
        <v>7.4069289257749901E-2</v>
      </c>
      <c r="I1426">
        <f t="shared" si="173"/>
        <v>7.345450914323072E-2</v>
      </c>
      <c r="J1426">
        <f t="shared" si="174"/>
        <v>7820.3387531808858</v>
      </c>
      <c r="K1426" s="5">
        <f t="shared" si="175"/>
        <v>1045.3417957066135</v>
      </c>
      <c r="L1426" s="5">
        <f t="shared" si="176"/>
        <v>7.1454509143230718E-2</v>
      </c>
    </row>
    <row r="1427" spans="2:12">
      <c r="B1427">
        <v>13.861328125</v>
      </c>
      <c r="C1427">
        <v>2.3132131900638302</v>
      </c>
      <c r="D1427">
        <v>48.677359375000002</v>
      </c>
      <c r="E1427" s="5">
        <f t="shared" si="170"/>
        <v>48677.359375</v>
      </c>
      <c r="F1427" s="5">
        <v>0.74175884947180704</v>
      </c>
      <c r="G1427">
        <f t="shared" si="171"/>
        <v>973.54718749999995</v>
      </c>
      <c r="H1427">
        <f t="shared" si="172"/>
        <v>7.4175884947180706E-2</v>
      </c>
      <c r="I1427">
        <f t="shared" si="173"/>
        <v>7.3553748923492548E-2</v>
      </c>
      <c r="J1427">
        <f t="shared" si="174"/>
        <v>7831.2000509316422</v>
      </c>
      <c r="K1427" s="5">
        <f t="shared" si="175"/>
        <v>1045.7609116706512</v>
      </c>
      <c r="L1427" s="5">
        <f t="shared" si="176"/>
        <v>7.1553748923492547E-2</v>
      </c>
    </row>
    <row r="1428" spans="2:12">
      <c r="B1428">
        <v>13.87109375</v>
      </c>
      <c r="C1428">
        <v>2.3161589633673398</v>
      </c>
      <c r="D1428">
        <v>48.682246093750003</v>
      </c>
      <c r="E1428" s="5">
        <f t="shared" si="170"/>
        <v>48682.24609375</v>
      </c>
      <c r="F1428" s="5">
        <v>0.74273493373766497</v>
      </c>
      <c r="G1428">
        <f t="shared" si="171"/>
        <v>973.64492187500002</v>
      </c>
      <c r="H1428">
        <f t="shared" si="172"/>
        <v>7.42734933737665E-2</v>
      </c>
      <c r="I1428">
        <f t="shared" si="173"/>
        <v>7.3644612992842168E-2</v>
      </c>
      <c r="J1428">
        <f t="shared" si="174"/>
        <v>7841.144669001611</v>
      </c>
      <c r="K1428" s="5">
        <f t="shared" si="175"/>
        <v>1045.9609315282844</v>
      </c>
      <c r="L1428" s="5">
        <f t="shared" si="176"/>
        <v>7.1644612992842166E-2</v>
      </c>
    </row>
    <row r="1429" spans="2:12">
      <c r="B1429">
        <v>13.880859375</v>
      </c>
      <c r="C1429">
        <v>2.31706351041794</v>
      </c>
      <c r="D1429">
        <v>48.667718749999999</v>
      </c>
      <c r="E1429" s="5">
        <f t="shared" si="170"/>
        <v>48667.71875</v>
      </c>
      <c r="F1429" s="5">
        <v>0.74374291580170404</v>
      </c>
      <c r="G1429">
        <f t="shared" si="171"/>
        <v>973.354375</v>
      </c>
      <c r="H1429">
        <f t="shared" si="172"/>
        <v>7.4374291580170407E-2</v>
      </c>
      <c r="I1429">
        <f t="shared" si="173"/>
        <v>7.3738437776209309E-2</v>
      </c>
      <c r="J1429">
        <f t="shared" si="174"/>
        <v>7851.4133224172274</v>
      </c>
      <c r="K1429" s="5">
        <f t="shared" si="175"/>
        <v>1045.7469170970846</v>
      </c>
      <c r="L1429" s="5">
        <f t="shared" si="176"/>
        <v>7.1738437776209307E-2</v>
      </c>
    </row>
    <row r="1430" spans="2:12">
      <c r="B1430">
        <v>13.890625</v>
      </c>
      <c r="C1430">
        <v>2.31964443810284</v>
      </c>
      <c r="D1430">
        <v>48.678765624999997</v>
      </c>
      <c r="E1430" s="5">
        <f t="shared" si="170"/>
        <v>48678.765625</v>
      </c>
      <c r="F1430" s="5">
        <v>0.74469833634793803</v>
      </c>
      <c r="G1430">
        <f t="shared" si="171"/>
        <v>973.5753125</v>
      </c>
      <c r="H1430">
        <f t="shared" si="172"/>
        <v>7.44698336347938E-2</v>
      </c>
      <c r="I1430">
        <f t="shared" si="173"/>
        <v>7.3827361913204839E-2</v>
      </c>
      <c r="J1430">
        <f t="shared" si="174"/>
        <v>7861.1456245907038</v>
      </c>
      <c r="K1430" s="5">
        <f t="shared" si="175"/>
        <v>1046.0773040528172</v>
      </c>
      <c r="L1430" s="5">
        <f t="shared" si="176"/>
        <v>7.1827361913204837E-2</v>
      </c>
    </row>
    <row r="1431" spans="2:12">
      <c r="B1431">
        <v>13.900390625</v>
      </c>
      <c r="C1431">
        <v>2.32025375589728</v>
      </c>
      <c r="D1431">
        <v>48.650847656250001</v>
      </c>
      <c r="E1431" s="5">
        <f t="shared" si="170"/>
        <v>48650.84765625</v>
      </c>
      <c r="F1431" s="5">
        <v>0.74554211460053899</v>
      </c>
      <c r="G1431">
        <f t="shared" si="171"/>
        <v>973.01695312499999</v>
      </c>
      <c r="H1431">
        <f t="shared" si="172"/>
        <v>7.4554211460053893E-2</v>
      </c>
      <c r="I1431">
        <f t="shared" si="173"/>
        <v>7.3905888559285052E-2</v>
      </c>
      <c r="J1431">
        <f t="shared" si="174"/>
        <v>7869.7399733709526</v>
      </c>
      <c r="K1431" s="5">
        <f t="shared" si="175"/>
        <v>1045.5594648024985</v>
      </c>
      <c r="L1431" s="5">
        <f t="shared" si="176"/>
        <v>7.190588855928505E-2</v>
      </c>
    </row>
    <row r="1432" spans="2:12">
      <c r="B1432">
        <v>13.91015625</v>
      </c>
      <c r="C1432">
        <v>2.3213848471641501</v>
      </c>
      <c r="D1432">
        <v>48.639949218749997</v>
      </c>
      <c r="E1432" s="5">
        <f t="shared" si="170"/>
        <v>48639.94921875</v>
      </c>
      <c r="F1432" s="5">
        <v>0.74651098111644398</v>
      </c>
      <c r="G1432">
        <f t="shared" si="171"/>
        <v>972.79898437500003</v>
      </c>
      <c r="H1432">
        <f t="shared" si="172"/>
        <v>7.4651098111644401E-2</v>
      </c>
      <c r="I1432">
        <f t="shared" si="173"/>
        <v>7.3996049002519215E-2</v>
      </c>
      <c r="J1432">
        <f t="shared" si="174"/>
        <v>7879.6075830807149</v>
      </c>
      <c r="K1432" s="5">
        <f t="shared" si="175"/>
        <v>1045.4194968004863</v>
      </c>
      <c r="L1432" s="5">
        <f t="shared" si="176"/>
        <v>7.1996049002519213E-2</v>
      </c>
    </row>
    <row r="1433" spans="2:12">
      <c r="B1433">
        <v>13.919921875</v>
      </c>
      <c r="C1433">
        <v>2.3256631102412899</v>
      </c>
      <c r="D1433">
        <v>48.654386718749997</v>
      </c>
      <c r="E1433" s="5">
        <f t="shared" si="170"/>
        <v>48654.38671875</v>
      </c>
      <c r="F1433" s="5">
        <v>0.747461745049804</v>
      </c>
      <c r="G1433">
        <f t="shared" si="171"/>
        <v>973.08773437499997</v>
      </c>
      <c r="H1433">
        <f t="shared" si="172"/>
        <v>7.4746174504980403E-2</v>
      </c>
      <c r="I1433">
        <f t="shared" si="173"/>
        <v>7.4084516960126995E-2</v>
      </c>
      <c r="J1433">
        <f t="shared" si="174"/>
        <v>7889.2899587010988</v>
      </c>
      <c r="K1433" s="5">
        <f t="shared" si="175"/>
        <v>1045.8223199772497</v>
      </c>
      <c r="L1433" s="5">
        <f t="shared" si="176"/>
        <v>7.2084516960126993E-2</v>
      </c>
    </row>
    <row r="1434" spans="2:12">
      <c r="B1434">
        <v>13.9296875</v>
      </c>
      <c r="C1434">
        <v>2.3238167632371201</v>
      </c>
      <c r="D1434">
        <v>48.652035156250001</v>
      </c>
      <c r="E1434" s="5">
        <f t="shared" si="170"/>
        <v>48652.03515625</v>
      </c>
      <c r="F1434" s="5">
        <v>0.748432707041502</v>
      </c>
      <c r="G1434">
        <f t="shared" si="171"/>
        <v>973.04070312500005</v>
      </c>
      <c r="H1434">
        <f t="shared" si="172"/>
        <v>7.48432707041502E-2</v>
      </c>
      <c r="I1434">
        <f t="shared" si="173"/>
        <v>7.4174856256732855E-2</v>
      </c>
      <c r="J1434">
        <f t="shared" si="174"/>
        <v>7899.177143018127</v>
      </c>
      <c r="K1434" s="5">
        <f t="shared" si="175"/>
        <v>1045.8662518751412</v>
      </c>
      <c r="L1434" s="5">
        <f t="shared" si="176"/>
        <v>7.2174856256732853E-2</v>
      </c>
    </row>
    <row r="1435" spans="2:12">
      <c r="B1435">
        <v>13.939453125</v>
      </c>
      <c r="C1435">
        <v>2.3256705608218899</v>
      </c>
      <c r="D1435">
        <v>48.639859375</v>
      </c>
      <c r="E1435" s="5">
        <f t="shared" si="170"/>
        <v>48639.859375</v>
      </c>
      <c r="F1435" s="5">
        <v>0.74946822132915303</v>
      </c>
      <c r="G1435">
        <f t="shared" si="171"/>
        <v>972.79718749999995</v>
      </c>
      <c r="H1435">
        <f t="shared" si="172"/>
        <v>7.49468221329153E-2</v>
      </c>
      <c r="I1435">
        <f t="shared" si="173"/>
        <v>7.4271192572720329E-2</v>
      </c>
      <c r="J1435">
        <f t="shared" si="174"/>
        <v>7909.7206711213767</v>
      </c>
      <c r="K1435" s="5">
        <f t="shared" si="175"/>
        <v>1045.7052452829626</v>
      </c>
      <c r="L1435" s="5">
        <f t="shared" si="176"/>
        <v>7.2271192572720327E-2</v>
      </c>
    </row>
    <row r="1436" spans="2:12">
      <c r="B1436">
        <v>13.94921875</v>
      </c>
      <c r="C1436">
        <v>2.3265541531145599</v>
      </c>
      <c r="D1436">
        <v>48.636503906249999</v>
      </c>
      <c r="E1436" s="5">
        <f t="shared" si="170"/>
        <v>48636.50390625</v>
      </c>
      <c r="F1436" s="5">
        <v>0.75030740117654204</v>
      </c>
      <c r="G1436">
        <f t="shared" si="171"/>
        <v>972.73007812499998</v>
      </c>
      <c r="H1436">
        <f t="shared" si="172"/>
        <v>7.5030740117654204E-2</v>
      </c>
      <c r="I1436">
        <f t="shared" si="173"/>
        <v>7.4349256629066773E-2</v>
      </c>
      <c r="J1436">
        <f t="shared" si="174"/>
        <v>7918.2643917682126</v>
      </c>
      <c r="K1436" s="5">
        <f t="shared" si="175"/>
        <v>1045.7147358214222</v>
      </c>
      <c r="L1436" s="5">
        <f t="shared" si="176"/>
        <v>7.2349256629066772E-2</v>
      </c>
    </row>
    <row r="1437" spans="2:12">
      <c r="B1437">
        <v>13.958984375</v>
      </c>
      <c r="C1437">
        <v>2.3300410248339198</v>
      </c>
      <c r="D1437">
        <v>48.634824218749998</v>
      </c>
      <c r="E1437" s="5">
        <f t="shared" si="170"/>
        <v>48634.82421875</v>
      </c>
      <c r="F1437" s="5">
        <v>0.75134425424039397</v>
      </c>
      <c r="G1437">
        <f t="shared" si="171"/>
        <v>972.69648437499995</v>
      </c>
      <c r="H1437">
        <f t="shared" si="172"/>
        <v>7.5134425424039392E-2</v>
      </c>
      <c r="I1437">
        <f t="shared" si="173"/>
        <v>7.4445700667996606E-2</v>
      </c>
      <c r="J1437">
        <f t="shared" si="174"/>
        <v>7928.8197096088879</v>
      </c>
      <c r="K1437" s="5">
        <f t="shared" si="175"/>
        <v>1045.7794758404987</v>
      </c>
      <c r="L1437" s="5">
        <f t="shared" si="176"/>
        <v>7.2445700667996604E-2</v>
      </c>
    </row>
    <row r="1438" spans="2:12">
      <c r="B1438">
        <v>13.96875</v>
      </c>
      <c r="C1438">
        <v>2.3295311257243201</v>
      </c>
      <c r="D1438">
        <v>48.63640625</v>
      </c>
      <c r="E1438" s="5">
        <f t="shared" si="170"/>
        <v>48636.40625</v>
      </c>
      <c r="F1438" s="5">
        <v>0.75230270158499501</v>
      </c>
      <c r="G1438">
        <f t="shared" si="171"/>
        <v>972.72812499999998</v>
      </c>
      <c r="H1438">
        <f t="shared" si="172"/>
        <v>7.5230270158499507E-2</v>
      </c>
      <c r="I1438">
        <f t="shared" si="173"/>
        <v>7.4534843439658063E-2</v>
      </c>
      <c r="J1438">
        <f t="shared" si="174"/>
        <v>7938.5759402533768</v>
      </c>
      <c r="K1438" s="5">
        <f t="shared" si="175"/>
        <v>1045.9067246345205</v>
      </c>
      <c r="L1438" s="5">
        <f t="shared" si="176"/>
        <v>7.2534843439658062E-2</v>
      </c>
    </row>
    <row r="1439" spans="2:12">
      <c r="B1439">
        <v>13.978515625</v>
      </c>
      <c r="C1439">
        <v>2.3320256732404201</v>
      </c>
      <c r="D1439">
        <v>48.627976562500002</v>
      </c>
      <c r="E1439" s="5">
        <f t="shared" si="170"/>
        <v>48627.9765625</v>
      </c>
      <c r="F1439" s="5">
        <v>0.753182859625667</v>
      </c>
      <c r="G1439">
        <f t="shared" si="171"/>
        <v>972.55953124999996</v>
      </c>
      <c r="H1439">
        <f t="shared" si="172"/>
        <v>7.5318285962566706E-2</v>
      </c>
      <c r="I1439">
        <f t="shared" si="173"/>
        <v>7.461669772178145E-2</v>
      </c>
      <c r="J1439">
        <f t="shared" si="174"/>
        <v>7947.5344821603703</v>
      </c>
      <c r="K1439" s="5">
        <f t="shared" si="175"/>
        <v>1045.8110481403073</v>
      </c>
      <c r="L1439" s="5">
        <f t="shared" si="176"/>
        <v>7.2616697721781448E-2</v>
      </c>
    </row>
    <row r="1440" spans="2:12">
      <c r="B1440">
        <v>13.98828125</v>
      </c>
      <c r="C1440">
        <v>2.3343190550804098</v>
      </c>
      <c r="D1440">
        <v>48.636609374999999</v>
      </c>
      <c r="E1440" s="5">
        <f t="shared" si="170"/>
        <v>48636.609375</v>
      </c>
      <c r="F1440" s="5">
        <v>0.75420353095978498</v>
      </c>
      <c r="G1440">
        <f t="shared" si="171"/>
        <v>972.73218750000001</v>
      </c>
      <c r="H1440">
        <f t="shared" si="172"/>
        <v>7.5420353095978498E-2</v>
      </c>
      <c r="I1440">
        <f t="shared" si="173"/>
        <v>7.471161128462428E-2</v>
      </c>
      <c r="J1440">
        <f t="shared" si="174"/>
        <v>7957.922297045704</v>
      </c>
      <c r="K1440" s="5">
        <f t="shared" si="175"/>
        <v>1046.0959925490736</v>
      </c>
      <c r="L1440" s="5">
        <f t="shared" si="176"/>
        <v>7.2711611284624278E-2</v>
      </c>
    </row>
    <row r="1441" spans="2:12">
      <c r="B1441">
        <v>13.998046875</v>
      </c>
      <c r="C1441">
        <v>2.33533838763833</v>
      </c>
      <c r="D1441">
        <v>48.611480468750003</v>
      </c>
      <c r="E1441" s="5">
        <f t="shared" si="170"/>
        <v>48611.48046875</v>
      </c>
      <c r="F1441" s="5">
        <v>0.75505749555304602</v>
      </c>
      <c r="G1441">
        <f t="shared" si="171"/>
        <v>972.229609375</v>
      </c>
      <c r="H1441">
        <f t="shared" si="172"/>
        <v>7.5505749555304605E-2</v>
      </c>
      <c r="I1441">
        <f t="shared" si="173"/>
        <v>7.4791015648415074E-2</v>
      </c>
      <c r="J1441">
        <f t="shared" si="174"/>
        <v>7966.6127076407874</v>
      </c>
      <c r="K1441" s="5">
        <f t="shared" si="175"/>
        <v>1045.6385347707203</v>
      </c>
      <c r="L1441" s="5">
        <f t="shared" si="176"/>
        <v>7.2791015648415072E-2</v>
      </c>
    </row>
    <row r="1442" spans="2:12">
      <c r="B1442">
        <v>14.0078125</v>
      </c>
      <c r="C1442">
        <v>2.3365721572190501</v>
      </c>
      <c r="D1442">
        <v>48.615359374999997</v>
      </c>
      <c r="E1442" s="5">
        <f t="shared" si="170"/>
        <v>48615.359375</v>
      </c>
      <c r="F1442" s="5">
        <v>0.75603200821205996</v>
      </c>
      <c r="G1442">
        <f t="shared" si="171"/>
        <v>972.30718750000005</v>
      </c>
      <c r="H1442">
        <f t="shared" si="172"/>
        <v>7.5603200821206001E-2</v>
      </c>
      <c r="I1442">
        <f t="shared" si="173"/>
        <v>7.4881621255305356E-2</v>
      </c>
      <c r="J1442">
        <f t="shared" si="174"/>
        <v>7976.5290382868943</v>
      </c>
      <c r="K1442" s="5">
        <f t="shared" si="175"/>
        <v>1045.8167230564645</v>
      </c>
      <c r="L1442" s="5">
        <f t="shared" si="176"/>
        <v>7.2881621255305354E-2</v>
      </c>
    </row>
    <row r="1443" spans="2:12">
      <c r="B1443">
        <v>14.017578125</v>
      </c>
      <c r="C1443">
        <v>2.3383900988847</v>
      </c>
      <c r="D1443">
        <v>48.610414062499999</v>
      </c>
      <c r="E1443" s="5">
        <f t="shared" si="170"/>
        <v>48610.4140625</v>
      </c>
      <c r="F1443" s="5">
        <v>0.75696589192375496</v>
      </c>
      <c r="G1443">
        <f t="shared" si="171"/>
        <v>972.20828125000003</v>
      </c>
      <c r="H1443">
        <f t="shared" si="172"/>
        <v>7.5696589192375499E-2</v>
      </c>
      <c r="I1443">
        <f t="shared" si="173"/>
        <v>7.4968441671187644E-2</v>
      </c>
      <c r="J1443">
        <f t="shared" si="174"/>
        <v>7986.0310987031316</v>
      </c>
      <c r="K1443" s="5">
        <f t="shared" si="175"/>
        <v>1045.8011321252068</v>
      </c>
      <c r="L1443" s="5">
        <f t="shared" si="176"/>
        <v>7.2968441671187642E-2</v>
      </c>
    </row>
    <row r="1444" spans="2:12">
      <c r="B1444">
        <v>14.02734375</v>
      </c>
      <c r="C1444">
        <v>2.3406476248055701</v>
      </c>
      <c r="D1444">
        <v>48.610273437499998</v>
      </c>
      <c r="E1444" s="5">
        <f t="shared" si="170"/>
        <v>48610.2734375</v>
      </c>
      <c r="F1444" s="5">
        <v>0.75785804074257601</v>
      </c>
      <c r="G1444">
        <f t="shared" si="171"/>
        <v>972.20546875000002</v>
      </c>
      <c r="H1444">
        <f t="shared" si="172"/>
        <v>7.5785804074257598E-2</v>
      </c>
      <c r="I1444">
        <f t="shared" si="173"/>
        <v>7.5051375077672788E-2</v>
      </c>
      <c r="J1444">
        <f t="shared" si="174"/>
        <v>7995.107745375898</v>
      </c>
      <c r="K1444" s="5">
        <f t="shared" si="175"/>
        <v>1045.8848419246094</v>
      </c>
      <c r="L1444" s="5">
        <f t="shared" si="176"/>
        <v>7.3051375077672787E-2</v>
      </c>
    </row>
    <row r="1445" spans="2:12">
      <c r="B1445">
        <v>14.037109375</v>
      </c>
      <c r="C1445">
        <v>2.3427889682352498</v>
      </c>
      <c r="D1445">
        <v>48.611039062499998</v>
      </c>
      <c r="E1445" s="5">
        <f t="shared" si="170"/>
        <v>48611.0390625</v>
      </c>
      <c r="F1445" s="5">
        <v>0.75881957309320602</v>
      </c>
      <c r="G1445">
        <f t="shared" si="171"/>
        <v>972.22078124999996</v>
      </c>
      <c r="H1445">
        <f t="shared" si="172"/>
        <v>7.5881957309320597E-2</v>
      </c>
      <c r="I1445">
        <f t="shared" si="173"/>
        <v>7.5140750618685803E-2</v>
      </c>
      <c r="J1445">
        <f t="shared" si="174"/>
        <v>8004.8894514620679</v>
      </c>
      <c r="K1445" s="5">
        <f t="shared" si="175"/>
        <v>1045.9947970680466</v>
      </c>
      <c r="L1445" s="5">
        <f t="shared" si="176"/>
        <v>7.3140750618685801E-2</v>
      </c>
    </row>
    <row r="1446" spans="2:12">
      <c r="B1446">
        <v>14.046875</v>
      </c>
      <c r="C1446">
        <v>2.3444057442247899</v>
      </c>
      <c r="D1446">
        <v>48.611332031250001</v>
      </c>
      <c r="E1446" s="5">
        <f t="shared" si="170"/>
        <v>48611.33203125</v>
      </c>
      <c r="F1446" s="5">
        <v>0.75973168713971995</v>
      </c>
      <c r="G1446">
        <f t="shared" si="171"/>
        <v>972.22664062499996</v>
      </c>
      <c r="H1446">
        <f t="shared" si="172"/>
        <v>7.5973168713972E-2</v>
      </c>
      <c r="I1446">
        <f t="shared" si="173"/>
        <v>7.5225525289250722E-2</v>
      </c>
      <c r="J1446">
        <f t="shared" si="174"/>
        <v>8014.1676152820455</v>
      </c>
      <c r="K1446" s="5">
        <f t="shared" si="175"/>
        <v>1046.0897792214212</v>
      </c>
      <c r="L1446" s="5">
        <f t="shared" si="176"/>
        <v>7.322552528925072E-2</v>
      </c>
    </row>
    <row r="1447" spans="2:12">
      <c r="B1447">
        <v>14.056640625</v>
      </c>
      <c r="C1447">
        <v>2.3461356759071399</v>
      </c>
      <c r="D1447">
        <v>48.593566406249998</v>
      </c>
      <c r="E1447" s="5">
        <f t="shared" si="170"/>
        <v>48593.56640625</v>
      </c>
      <c r="F1447" s="5">
        <v>0.76059496495872703</v>
      </c>
      <c r="G1447">
        <f t="shared" si="171"/>
        <v>971.87132812499999</v>
      </c>
      <c r="H1447">
        <f t="shared" si="172"/>
        <v>7.6059496495872708E-2</v>
      </c>
      <c r="I1447">
        <f t="shared" si="173"/>
        <v>7.5305754352073664E-2</v>
      </c>
      <c r="J1447">
        <f t="shared" si="174"/>
        <v>8022.9482850627019</v>
      </c>
      <c r="K1447" s="5">
        <f t="shared" si="175"/>
        <v>1045.7913720009626</v>
      </c>
      <c r="L1447" s="5">
        <f t="shared" si="176"/>
        <v>7.3305754352073663E-2</v>
      </c>
    </row>
    <row r="1448" spans="2:12">
      <c r="B1448">
        <v>14.06640625</v>
      </c>
      <c r="C1448">
        <v>2.3477196227759101</v>
      </c>
      <c r="D1448">
        <v>48.593937500000003</v>
      </c>
      <c r="E1448" s="5">
        <f t="shared" si="170"/>
        <v>48593.9375</v>
      </c>
      <c r="F1448" s="5">
        <v>0.76162721961736701</v>
      </c>
      <c r="G1448">
        <f t="shared" si="171"/>
        <v>971.87874999999997</v>
      </c>
      <c r="H1448">
        <f t="shared" si="172"/>
        <v>7.6162721961736707E-2</v>
      </c>
      <c r="I1448">
        <f t="shared" si="173"/>
        <v>7.5401678894676957E-2</v>
      </c>
      <c r="J1448">
        <f t="shared" si="174"/>
        <v>8033.4467466279193</v>
      </c>
      <c r="K1448" s="5">
        <f t="shared" si="175"/>
        <v>1045.89968101677</v>
      </c>
      <c r="L1448" s="5">
        <f t="shared" si="176"/>
        <v>7.3401678894676956E-2</v>
      </c>
    </row>
    <row r="1449" spans="2:12">
      <c r="B1449">
        <v>14.076171875</v>
      </c>
      <c r="C1449">
        <v>2.3470984306186402</v>
      </c>
      <c r="D1449">
        <v>48.588335937499998</v>
      </c>
      <c r="E1449" s="5">
        <f t="shared" si="170"/>
        <v>48588.3359375</v>
      </c>
      <c r="F1449" s="5">
        <v>0.76250627171248198</v>
      </c>
      <c r="G1449">
        <f t="shared" si="171"/>
        <v>971.76671875</v>
      </c>
      <c r="H1449">
        <f t="shared" si="172"/>
        <v>7.6250627171248198E-2</v>
      </c>
      <c r="I1449">
        <f t="shared" si="173"/>
        <v>7.548335949714656E-2</v>
      </c>
      <c r="J1449">
        <f t="shared" si="174"/>
        <v>8042.3862801652049</v>
      </c>
      <c r="K1449" s="5">
        <f t="shared" si="175"/>
        <v>1045.8645405188333</v>
      </c>
      <c r="L1449" s="5">
        <f t="shared" si="176"/>
        <v>7.3483359497146558E-2</v>
      </c>
    </row>
    <row r="1450" spans="2:12">
      <c r="B1450">
        <v>14.0859375</v>
      </c>
      <c r="C1450">
        <v>2.3483261466026302</v>
      </c>
      <c r="D1450">
        <v>48.615136718750001</v>
      </c>
      <c r="E1450" s="5">
        <f t="shared" si="170"/>
        <v>48615.13671875</v>
      </c>
      <c r="F1450" s="5">
        <v>0.76345982961356595</v>
      </c>
      <c r="G1450">
        <f t="shared" si="171"/>
        <v>972.302734375</v>
      </c>
      <c r="H1450">
        <f t="shared" si="172"/>
        <v>7.6345982961356598E-2</v>
      </c>
      <c r="I1450">
        <f t="shared" si="173"/>
        <v>7.5571955558035961E-2</v>
      </c>
      <c r="J1450">
        <f t="shared" si="174"/>
        <v>8052.0826760492455</v>
      </c>
      <c r="K1450" s="5">
        <f t="shared" si="175"/>
        <v>1046.5341423668742</v>
      </c>
      <c r="L1450" s="5">
        <f t="shared" si="176"/>
        <v>7.3571955558035959E-2</v>
      </c>
    </row>
    <row r="1451" spans="2:12">
      <c r="B1451">
        <v>14.095703125</v>
      </c>
      <c r="C1451">
        <v>2.3504600394517201</v>
      </c>
      <c r="D1451">
        <v>48.596382812500003</v>
      </c>
      <c r="E1451" s="5">
        <f t="shared" si="170"/>
        <v>48596.3828125</v>
      </c>
      <c r="F1451" s="5">
        <v>0.76438556425273396</v>
      </c>
      <c r="G1451">
        <f t="shared" si="171"/>
        <v>971.92765625000004</v>
      </c>
      <c r="H1451">
        <f t="shared" si="172"/>
        <v>7.6438556425273391E-2</v>
      </c>
      <c r="I1451">
        <f t="shared" si="173"/>
        <v>7.5657959022182183E-2</v>
      </c>
      <c r="J1451">
        <f t="shared" si="174"/>
        <v>8061.4953251827292</v>
      </c>
      <c r="K1451" s="5">
        <f t="shared" si="175"/>
        <v>1046.2204032435495</v>
      </c>
      <c r="L1451" s="5">
        <f t="shared" si="176"/>
        <v>7.3657959022182182E-2</v>
      </c>
    </row>
    <row r="1452" spans="2:12">
      <c r="B1452">
        <v>14.10546875</v>
      </c>
      <c r="C1452">
        <v>2.3537783417850702</v>
      </c>
      <c r="D1452">
        <v>48.604621093749998</v>
      </c>
      <c r="E1452" s="5">
        <f t="shared" si="170"/>
        <v>48604.62109375</v>
      </c>
      <c r="F1452" s="5">
        <v>0.76524692121893201</v>
      </c>
      <c r="G1452">
        <f t="shared" si="171"/>
        <v>972.09242187500001</v>
      </c>
      <c r="H1452">
        <f t="shared" si="172"/>
        <v>7.6524692121893195E-2</v>
      </c>
      <c r="I1452">
        <f t="shared" si="173"/>
        <v>7.5737974969248473E-2</v>
      </c>
      <c r="J1452">
        <f t="shared" si="174"/>
        <v>8070.2526705093987</v>
      </c>
      <c r="K1452" s="5">
        <f t="shared" si="175"/>
        <v>1046.48149517301</v>
      </c>
      <c r="L1452" s="5">
        <f t="shared" si="176"/>
        <v>7.3737974969248471E-2</v>
      </c>
    </row>
    <row r="1453" spans="2:12">
      <c r="B1453">
        <v>14.115234375</v>
      </c>
      <c r="C1453">
        <v>2.3559464607387799</v>
      </c>
      <c r="D1453">
        <v>48.603859374999999</v>
      </c>
      <c r="E1453" s="5">
        <f t="shared" si="170"/>
        <v>48603.859375</v>
      </c>
      <c r="F1453" s="5">
        <v>0.76625775545835495</v>
      </c>
      <c r="G1453">
        <f t="shared" si="171"/>
        <v>972.07718750000004</v>
      </c>
      <c r="H1453">
        <f t="shared" si="172"/>
        <v>7.6625775545835495E-2</v>
      </c>
      <c r="I1453">
        <f t="shared" si="173"/>
        <v>7.5831868476027936E-2</v>
      </c>
      <c r="J1453">
        <f t="shared" si="174"/>
        <v>8080.5288453588773</v>
      </c>
      <c r="K1453" s="5">
        <f t="shared" si="175"/>
        <v>1046.5633558826021</v>
      </c>
      <c r="L1453" s="5">
        <f t="shared" si="176"/>
        <v>7.3831868476027934E-2</v>
      </c>
    </row>
    <row r="1454" spans="2:12">
      <c r="B1454">
        <v>14.125</v>
      </c>
      <c r="C1454">
        <v>2.35722353681922</v>
      </c>
      <c r="D1454">
        <v>48.614707031249999</v>
      </c>
      <c r="E1454" s="5">
        <f t="shared" si="170"/>
        <v>48614.70703125</v>
      </c>
      <c r="F1454" s="5">
        <v>0.76721952063962795</v>
      </c>
      <c r="G1454">
        <f t="shared" si="171"/>
        <v>972.29414062499995</v>
      </c>
      <c r="H1454">
        <f t="shared" si="172"/>
        <v>7.6721952063962789E-2</v>
      </c>
      <c r="I1454">
        <f t="shared" si="173"/>
        <v>7.5921195914377182E-2</v>
      </c>
      <c r="J1454">
        <f t="shared" si="174"/>
        <v>8090.3052868490104</v>
      </c>
      <c r="K1454" s="5">
        <f t="shared" si="175"/>
        <v>1046.8904450741031</v>
      </c>
      <c r="L1454" s="5">
        <f t="shared" si="176"/>
        <v>7.392119591437718E-2</v>
      </c>
    </row>
    <row r="1455" spans="2:12">
      <c r="B1455">
        <v>14.134765625</v>
      </c>
      <c r="C1455">
        <v>2.3586452007293701</v>
      </c>
      <c r="D1455">
        <v>48.630472656249999</v>
      </c>
      <c r="E1455" s="5">
        <f t="shared" si="170"/>
        <v>48630.47265625</v>
      </c>
      <c r="F1455" s="5">
        <v>0.76824781717732504</v>
      </c>
      <c r="G1455">
        <f t="shared" si="171"/>
        <v>972.60945312499996</v>
      </c>
      <c r="H1455">
        <f t="shared" si="172"/>
        <v>7.6824781717732507E-2</v>
      </c>
      <c r="I1455">
        <f t="shared" si="173"/>
        <v>7.601669386873762E-2</v>
      </c>
      <c r="J1455">
        <f t="shared" si="174"/>
        <v>8100.7570604639886</v>
      </c>
      <c r="K1455" s="5">
        <f t="shared" si="175"/>
        <v>1047.3299620579312</v>
      </c>
      <c r="L1455" s="5">
        <f t="shared" si="176"/>
        <v>7.4016693868737618E-2</v>
      </c>
    </row>
    <row r="1456" spans="2:12">
      <c r="B1456">
        <v>14.14453125</v>
      </c>
      <c r="C1456">
        <v>2.3598698899149899</v>
      </c>
      <c r="D1456">
        <v>48.615210937500002</v>
      </c>
      <c r="E1456" s="5">
        <f t="shared" si="170"/>
        <v>48615.2109375</v>
      </c>
      <c r="F1456" s="5">
        <v>0.76920434366911705</v>
      </c>
      <c r="G1456">
        <f t="shared" si="171"/>
        <v>972.30421875000002</v>
      </c>
      <c r="H1456">
        <f t="shared" si="172"/>
        <v>7.6920434366911705E-2</v>
      </c>
      <c r="I1456">
        <f t="shared" si="173"/>
        <v>7.6105518348557832E-2</v>
      </c>
      <c r="J1456">
        <f t="shared" si="174"/>
        <v>8110.4784556579116</v>
      </c>
      <c r="K1456" s="5">
        <f t="shared" si="175"/>
        <v>1047.0942815930307</v>
      </c>
      <c r="L1456" s="5">
        <f t="shared" si="176"/>
        <v>7.4105518348557831E-2</v>
      </c>
    </row>
    <row r="1457" spans="2:12">
      <c r="B1457">
        <v>14.154296875</v>
      </c>
      <c r="C1457">
        <v>2.3623346351087098</v>
      </c>
      <c r="D1457">
        <v>48.61781640625</v>
      </c>
      <c r="E1457" s="5">
        <f t="shared" si="170"/>
        <v>48617.81640625</v>
      </c>
      <c r="F1457" s="5">
        <v>0.77007745858281895</v>
      </c>
      <c r="G1457">
        <f t="shared" si="171"/>
        <v>972.356328125</v>
      </c>
      <c r="H1457">
        <f t="shared" si="172"/>
        <v>7.7007745858281892E-2</v>
      </c>
      <c r="I1457">
        <f t="shared" si="173"/>
        <v>7.6186590217359781E-2</v>
      </c>
      <c r="J1457">
        <f t="shared" si="174"/>
        <v>8119.3513663389413</v>
      </c>
      <c r="K1457" s="5">
        <f t="shared" si="175"/>
        <v>1047.2352971249422</v>
      </c>
      <c r="L1457" s="5">
        <f t="shared" si="176"/>
        <v>7.418659021735978E-2</v>
      </c>
    </row>
    <row r="1458" spans="2:12">
      <c r="B1458">
        <v>14.1640625</v>
      </c>
      <c r="C1458">
        <v>2.3633600212633601</v>
      </c>
      <c r="D1458">
        <v>48.629140624999998</v>
      </c>
      <c r="E1458" s="5">
        <f t="shared" si="170"/>
        <v>48629.140625</v>
      </c>
      <c r="F1458" s="5">
        <v>0.771139864809811</v>
      </c>
      <c r="G1458">
        <f t="shared" si="171"/>
        <v>972.58281250000005</v>
      </c>
      <c r="H1458">
        <f t="shared" si="172"/>
        <v>7.7113986480981098E-2</v>
      </c>
      <c r="I1458">
        <f t="shared" si="173"/>
        <v>7.6285229603602858E-2</v>
      </c>
      <c r="J1458">
        <f t="shared" si="174"/>
        <v>8130.1469539663149</v>
      </c>
      <c r="K1458" s="5">
        <f t="shared" si="175"/>
        <v>1047.5825503547596</v>
      </c>
      <c r="L1458" s="5">
        <f t="shared" si="176"/>
        <v>7.4285229603602856E-2</v>
      </c>
    </row>
    <row r="1459" spans="2:12">
      <c r="B1459">
        <v>14.173828125</v>
      </c>
      <c r="C1459">
        <v>2.36448342911899</v>
      </c>
      <c r="D1459">
        <v>48.620109374999998</v>
      </c>
      <c r="E1459" s="5">
        <f t="shared" si="170"/>
        <v>48620.109375</v>
      </c>
      <c r="F1459" s="5">
        <v>0.77210139716044102</v>
      </c>
      <c r="G1459">
        <f t="shared" si="171"/>
        <v>972.40218749999997</v>
      </c>
      <c r="H1459">
        <f t="shared" si="172"/>
        <v>7.7210139716044096E-2</v>
      </c>
      <c r="I1459">
        <f t="shared" si="173"/>
        <v>7.6374494941123389E-2</v>
      </c>
      <c r="J1459">
        <f t="shared" si="174"/>
        <v>8139.9165988312488</v>
      </c>
      <c r="K1459" s="5">
        <f t="shared" si="175"/>
        <v>1047.4814962570617</v>
      </c>
      <c r="L1459" s="5">
        <f t="shared" si="176"/>
        <v>7.4374494941123387E-2</v>
      </c>
    </row>
    <row r="1460" spans="2:12">
      <c r="B1460">
        <v>14.18359375</v>
      </c>
      <c r="C1460">
        <v>2.36812373623252</v>
      </c>
      <c r="D1460">
        <v>48.647906249999998</v>
      </c>
      <c r="E1460" s="5">
        <f t="shared" si="170"/>
        <v>48647.90625</v>
      </c>
      <c r="F1460" s="5">
        <v>0.77312777284532797</v>
      </c>
      <c r="G1460">
        <f t="shared" si="171"/>
        <v>972.958125</v>
      </c>
      <c r="H1460">
        <f t="shared" si="172"/>
        <v>7.7312777284532799E-2</v>
      </c>
      <c r="I1460">
        <f t="shared" si="173"/>
        <v>7.6469771317862284E-2</v>
      </c>
      <c r="J1460">
        <f t="shared" si="174"/>
        <v>8150.3441218834378</v>
      </c>
      <c r="K1460" s="5">
        <f t="shared" si="175"/>
        <v>1048.1802198253015</v>
      </c>
      <c r="L1460" s="5">
        <f t="shared" si="176"/>
        <v>7.4469771317862282E-2</v>
      </c>
    </row>
    <row r="1461" spans="2:12">
      <c r="B1461">
        <v>14.193359375</v>
      </c>
      <c r="C1461">
        <v>2.36965878866613</v>
      </c>
      <c r="D1461">
        <v>48.625542968749997</v>
      </c>
      <c r="E1461" s="5">
        <f t="shared" si="170"/>
        <v>48625.54296875</v>
      </c>
      <c r="F1461" s="5">
        <v>0.77417341526597705</v>
      </c>
      <c r="G1461">
        <f t="shared" si="171"/>
        <v>972.510859375</v>
      </c>
      <c r="H1461">
        <f t="shared" si="172"/>
        <v>7.7417341526597711E-2</v>
      </c>
      <c r="I1461">
        <f t="shared" si="173"/>
        <v>7.6566826852784431E-2</v>
      </c>
      <c r="J1461">
        <f t="shared" si="174"/>
        <v>8160.9663649029917</v>
      </c>
      <c r="K1461" s="5">
        <f t="shared" si="175"/>
        <v>1047.8000647135593</v>
      </c>
      <c r="L1461" s="5">
        <f t="shared" si="176"/>
        <v>7.4566826852784429E-2</v>
      </c>
    </row>
    <row r="1462" spans="2:12">
      <c r="B1462">
        <v>14.203125</v>
      </c>
      <c r="C1462">
        <v>2.3702515754848701</v>
      </c>
      <c r="D1462">
        <v>48.619207031249999</v>
      </c>
      <c r="E1462" s="5">
        <f t="shared" si="170"/>
        <v>48619.20703125</v>
      </c>
      <c r="F1462" s="5">
        <v>0.77508541289717003</v>
      </c>
      <c r="G1462">
        <f t="shared" si="171"/>
        <v>972.38414062499999</v>
      </c>
      <c r="H1462">
        <f t="shared" si="172"/>
        <v>7.7508541289717001E-2</v>
      </c>
      <c r="I1462">
        <f t="shared" si="173"/>
        <v>7.6651469915361106E-2</v>
      </c>
      <c r="J1462">
        <f t="shared" si="174"/>
        <v>8170.2301248866961</v>
      </c>
      <c r="K1462" s="5">
        <f t="shared" si="175"/>
        <v>1047.7522169380986</v>
      </c>
      <c r="L1462" s="5">
        <f t="shared" si="176"/>
        <v>7.4651469915361104E-2</v>
      </c>
    </row>
    <row r="1463" spans="2:12">
      <c r="B1463">
        <v>14.212890625</v>
      </c>
      <c r="C1463">
        <v>2.3716450668871398</v>
      </c>
      <c r="D1463">
        <v>48.618062500000001</v>
      </c>
      <c r="E1463" s="5">
        <f t="shared" si="170"/>
        <v>48618.0625</v>
      </c>
      <c r="F1463" s="5">
        <v>0.77600067015737295</v>
      </c>
      <c r="G1463">
        <f t="shared" si="171"/>
        <v>972.36125000000004</v>
      </c>
      <c r="H1463">
        <f t="shared" si="172"/>
        <v>7.7600067015737295E-2</v>
      </c>
      <c r="I1463">
        <f t="shared" si="173"/>
        <v>7.6736408303823431E-2</v>
      </c>
      <c r="J1463">
        <f t="shared" si="174"/>
        <v>8179.5262068119555</v>
      </c>
      <c r="K1463" s="5">
        <f t="shared" si="175"/>
        <v>1047.8165481635062</v>
      </c>
      <c r="L1463" s="5">
        <f t="shared" si="176"/>
        <v>7.4736408303823429E-2</v>
      </c>
    </row>
    <row r="1464" spans="2:12">
      <c r="B1464">
        <v>14.22265625</v>
      </c>
      <c r="C1464">
        <v>2.3733661510050301</v>
      </c>
      <c r="D1464">
        <v>48.614382812499997</v>
      </c>
      <c r="E1464" s="5">
        <f t="shared" si="170"/>
        <v>48614.3828125</v>
      </c>
      <c r="F1464" s="5">
        <v>0.777003064285964</v>
      </c>
      <c r="G1464">
        <f t="shared" si="171"/>
        <v>972.28765625000005</v>
      </c>
      <c r="H1464">
        <f t="shared" si="172"/>
        <v>7.7700306428596405E-2</v>
      </c>
      <c r="I1464">
        <f t="shared" si="173"/>
        <v>7.6829424956320141E-2</v>
      </c>
      <c r="J1464">
        <f t="shared" si="174"/>
        <v>8189.7064143444577</v>
      </c>
      <c r="K1464" s="5">
        <f t="shared" si="175"/>
        <v>1047.8347050773668</v>
      </c>
      <c r="L1464" s="5">
        <f t="shared" si="176"/>
        <v>7.482942495632014E-2</v>
      </c>
    </row>
    <row r="1465" spans="2:12">
      <c r="B1465">
        <v>14.232421875</v>
      </c>
      <c r="C1465">
        <v>2.3741750046610801</v>
      </c>
      <c r="D1465">
        <v>48.60609765625</v>
      </c>
      <c r="E1465" s="5">
        <f t="shared" si="170"/>
        <v>48606.09765625</v>
      </c>
      <c r="F1465" s="5">
        <v>0.77794992830604304</v>
      </c>
      <c r="G1465">
        <f t="shared" si="171"/>
        <v>972.121953125</v>
      </c>
      <c r="H1465">
        <f t="shared" si="172"/>
        <v>7.7794992830604301E-2</v>
      </c>
      <c r="I1465">
        <f t="shared" si="173"/>
        <v>7.691728077498175E-2</v>
      </c>
      <c r="J1465">
        <f t="shared" si="174"/>
        <v>8199.3217944178778</v>
      </c>
      <c r="K1465" s="5">
        <f t="shared" si="175"/>
        <v>1047.7481734988326</v>
      </c>
      <c r="L1465" s="5">
        <f t="shared" si="176"/>
        <v>7.4917280774981748E-2</v>
      </c>
    </row>
    <row r="1466" spans="2:12">
      <c r="B1466">
        <v>14.2421875</v>
      </c>
      <c r="C1466">
        <v>2.3756877053529002</v>
      </c>
      <c r="D1466">
        <v>48.580378906249997</v>
      </c>
      <c r="E1466" s="5">
        <f t="shared" si="170"/>
        <v>48580.37890625</v>
      </c>
      <c r="F1466" s="5">
        <v>0.77879341552033998</v>
      </c>
      <c r="G1466">
        <f t="shared" si="171"/>
        <v>971.60757812500003</v>
      </c>
      <c r="H1466">
        <f t="shared" si="172"/>
        <v>7.7879341552033993E-2</v>
      </c>
      <c r="I1466">
        <f t="shared" si="173"/>
        <v>7.6995538163055086E-2</v>
      </c>
      <c r="J1466">
        <f t="shared" si="174"/>
        <v>8207.8866742555638</v>
      </c>
      <c r="K1466" s="5">
        <f t="shared" si="175"/>
        <v>1047.2757365563416</v>
      </c>
      <c r="L1466" s="5">
        <f t="shared" si="176"/>
        <v>7.4995538163055084E-2</v>
      </c>
    </row>
    <row r="1467" spans="2:12">
      <c r="B1467">
        <v>14.251953125</v>
      </c>
      <c r="C1467">
        <v>2.3782995995134102</v>
      </c>
      <c r="D1467">
        <v>48.562105468749998</v>
      </c>
      <c r="E1467" s="5">
        <f t="shared" si="170"/>
        <v>48562.10546875</v>
      </c>
      <c r="F1467" s="5">
        <v>0.77978096669539798</v>
      </c>
      <c r="G1467">
        <f t="shared" si="171"/>
        <v>971.24210937500004</v>
      </c>
      <c r="H1467">
        <f t="shared" si="172"/>
        <v>7.7978096669539795E-2</v>
      </c>
      <c r="I1467">
        <f t="shared" si="173"/>
        <v>7.7087153792014612E-2</v>
      </c>
      <c r="J1467">
        <f t="shared" si="174"/>
        <v>8217.9135467670385</v>
      </c>
      <c r="K1467" s="5">
        <f t="shared" si="175"/>
        <v>1046.9777204693717</v>
      </c>
      <c r="L1467" s="5">
        <f t="shared" si="176"/>
        <v>7.508715379201461E-2</v>
      </c>
    </row>
    <row r="1468" spans="2:12">
      <c r="B1468">
        <v>14.26171875</v>
      </c>
      <c r="C1468">
        <v>2.37903441302478</v>
      </c>
      <c r="D1468">
        <v>48.561445312499998</v>
      </c>
      <c r="E1468" s="5">
        <f t="shared" si="170"/>
        <v>48561.4453125</v>
      </c>
      <c r="F1468" s="5">
        <v>0.78061467502266202</v>
      </c>
      <c r="G1468">
        <f t="shared" si="171"/>
        <v>971.22890625000002</v>
      </c>
      <c r="H1468">
        <f t="shared" si="172"/>
        <v>7.8061467502266196E-2</v>
      </c>
      <c r="I1468">
        <f t="shared" si="173"/>
        <v>7.7164490807673625E-2</v>
      </c>
      <c r="J1468">
        <f t="shared" si="174"/>
        <v>8226.3776964458393</v>
      </c>
      <c r="K1468" s="5">
        <f t="shared" si="175"/>
        <v>1047.044459952496</v>
      </c>
      <c r="L1468" s="5">
        <f t="shared" si="176"/>
        <v>7.5164490807673623E-2</v>
      </c>
    </row>
    <row r="1469" spans="2:12">
      <c r="B1469">
        <v>14.271484375</v>
      </c>
      <c r="C1469">
        <v>2.3821142967790401</v>
      </c>
      <c r="D1469">
        <v>48.594675781249997</v>
      </c>
      <c r="E1469" s="5">
        <f t="shared" si="170"/>
        <v>48594.67578125</v>
      </c>
      <c r="F1469" s="5">
        <v>0.78164914157241605</v>
      </c>
      <c r="G1469">
        <f t="shared" si="171"/>
        <v>971.89351562499996</v>
      </c>
      <c r="H1469">
        <f t="shared" si="172"/>
        <v>7.8164914157241611E-2</v>
      </c>
      <c r="I1469">
        <f t="shared" si="173"/>
        <v>7.7260442379303296E-2</v>
      </c>
      <c r="J1469">
        <f t="shared" si="174"/>
        <v>8236.8791162028483</v>
      </c>
      <c r="K1469" s="5">
        <f t="shared" si="175"/>
        <v>1047.8614888438078</v>
      </c>
      <c r="L1469" s="5">
        <f t="shared" si="176"/>
        <v>7.5260442379303294E-2</v>
      </c>
    </row>
    <row r="1470" spans="2:12">
      <c r="B1470">
        <v>14.28125</v>
      </c>
      <c r="C1470">
        <v>2.3825063835829501</v>
      </c>
      <c r="D1470">
        <v>48.612875000000003</v>
      </c>
      <c r="E1470" s="5">
        <f t="shared" si="170"/>
        <v>48612.875</v>
      </c>
      <c r="F1470" s="5">
        <v>0.78267429489642404</v>
      </c>
      <c r="G1470">
        <f t="shared" si="171"/>
        <v>972.25750000000005</v>
      </c>
      <c r="H1470">
        <f t="shared" si="172"/>
        <v>7.8267429489642409E-2</v>
      </c>
      <c r="I1470">
        <f t="shared" si="173"/>
        <v>7.7355521024158574E-2</v>
      </c>
      <c r="J1470">
        <f t="shared" si="174"/>
        <v>8247.2849984890345</v>
      </c>
      <c r="K1470" s="5">
        <f t="shared" si="175"/>
        <v>1048.3535953270261</v>
      </c>
      <c r="L1470" s="5">
        <f t="shared" si="176"/>
        <v>7.5355521024158573E-2</v>
      </c>
    </row>
    <row r="1471" spans="2:12">
      <c r="B1471">
        <v>14.291015625</v>
      </c>
      <c r="C1471">
        <v>2.3849189747124901</v>
      </c>
      <c r="D1471">
        <v>48.636667968749997</v>
      </c>
      <c r="E1471" s="5">
        <f t="shared" si="170"/>
        <v>48636.66796875</v>
      </c>
      <c r="F1471" s="5">
        <v>0.78374781878665101</v>
      </c>
      <c r="G1471">
        <f t="shared" si="171"/>
        <v>972.73335937499996</v>
      </c>
      <c r="H1471">
        <f t="shared" si="172"/>
        <v>7.8374781878665103E-2</v>
      </c>
      <c r="I1471">
        <f t="shared" si="173"/>
        <v>7.7455076146047117E-2</v>
      </c>
      <c r="J1471">
        <f t="shared" si="174"/>
        <v>8258.1808088041271</v>
      </c>
      <c r="K1471" s="5">
        <f t="shared" si="175"/>
        <v>1048.9711242421167</v>
      </c>
      <c r="L1471" s="5">
        <f t="shared" si="176"/>
        <v>7.5455076146047115E-2</v>
      </c>
    </row>
    <row r="1472" spans="2:12">
      <c r="B1472">
        <v>14.30078125</v>
      </c>
      <c r="C1472">
        <v>2.38696625456214</v>
      </c>
      <c r="D1472">
        <v>48.622144531250001</v>
      </c>
      <c r="E1472" s="5">
        <f t="shared" si="170"/>
        <v>48622.14453125</v>
      </c>
      <c r="F1472" s="5">
        <v>0.78478769864886999</v>
      </c>
      <c r="G1472">
        <f t="shared" si="171"/>
        <v>972.44289062500002</v>
      </c>
      <c r="H1472">
        <f t="shared" si="172"/>
        <v>7.8478769864886999E-2</v>
      </c>
      <c r="I1472">
        <f t="shared" si="173"/>
        <v>7.755150178071149E-2</v>
      </c>
      <c r="J1472">
        <f t="shared" si="174"/>
        <v>8268.7341123899696</v>
      </c>
      <c r="K1472" s="5">
        <f t="shared" si="175"/>
        <v>1048.7590124451049</v>
      </c>
      <c r="L1472" s="5">
        <f t="shared" si="176"/>
        <v>7.5551501780711489E-2</v>
      </c>
    </row>
    <row r="1473" spans="2:12">
      <c r="B1473">
        <v>14.310546875</v>
      </c>
      <c r="C1473">
        <v>2.3876323830336301</v>
      </c>
      <c r="D1473">
        <v>48.613339843749998</v>
      </c>
      <c r="E1473" s="5">
        <f t="shared" si="170"/>
        <v>48613.33984375</v>
      </c>
      <c r="F1473" s="5">
        <v>0.78571378253400304</v>
      </c>
      <c r="G1473">
        <f t="shared" si="171"/>
        <v>972.26679687499995</v>
      </c>
      <c r="H1473">
        <f t="shared" si="172"/>
        <v>7.8571378253400298E-2</v>
      </c>
      <c r="I1473">
        <f t="shared" si="173"/>
        <v>7.763736755314242E-2</v>
      </c>
      <c r="J1473">
        <f t="shared" si="174"/>
        <v>8278.1316918536722</v>
      </c>
      <c r="K1473" s="5">
        <f t="shared" si="175"/>
        <v>1048.6591391354875</v>
      </c>
      <c r="L1473" s="5">
        <f t="shared" si="176"/>
        <v>7.5637367553142418E-2</v>
      </c>
    </row>
    <row r="1474" spans="2:12">
      <c r="B1474">
        <v>14.3203125</v>
      </c>
      <c r="C1474">
        <v>2.3903637193143399</v>
      </c>
      <c r="D1474">
        <v>48.592855468750003</v>
      </c>
      <c r="E1474" s="5">
        <f t="shared" si="170"/>
        <v>48592.85546875</v>
      </c>
      <c r="F1474" s="5">
        <v>0.78666972694918502</v>
      </c>
      <c r="G1474">
        <f t="shared" si="171"/>
        <v>971.85710937500005</v>
      </c>
      <c r="H1474">
        <f t="shared" si="172"/>
        <v>7.8666972694918499E-2</v>
      </c>
      <c r="I1474">
        <f t="shared" si="173"/>
        <v>7.7725994237846721E-2</v>
      </c>
      <c r="J1474">
        <f t="shared" si="174"/>
        <v>8287.8314393611345</v>
      </c>
      <c r="K1474" s="5">
        <f t="shared" si="175"/>
        <v>1048.3101660615657</v>
      </c>
      <c r="L1474" s="5">
        <f t="shared" si="176"/>
        <v>7.5725994237846719E-2</v>
      </c>
    </row>
    <row r="1475" spans="2:12">
      <c r="B1475">
        <v>14.330078125</v>
      </c>
      <c r="C1475">
        <v>2.3899911902844901</v>
      </c>
      <c r="D1475">
        <v>48.588386718750002</v>
      </c>
      <c r="E1475" s="5">
        <f t="shared" si="170"/>
        <v>48588.38671875</v>
      </c>
      <c r="F1475" s="5">
        <v>0.78769208630546905</v>
      </c>
      <c r="G1475">
        <f t="shared" si="171"/>
        <v>971.76773437500003</v>
      </c>
      <c r="H1475">
        <f t="shared" si="172"/>
        <v>7.87692086305469E-2</v>
      </c>
      <c r="I1475">
        <f t="shared" si="173"/>
        <v>7.7820769635228007E-2</v>
      </c>
      <c r="J1475">
        <f t="shared" si="174"/>
        <v>8298.2041327275292</v>
      </c>
      <c r="K1475" s="5">
        <f t="shared" si="175"/>
        <v>1048.3131097844184</v>
      </c>
      <c r="L1475" s="5">
        <f t="shared" si="176"/>
        <v>7.5820769635228005E-2</v>
      </c>
    </row>
    <row r="1476" spans="2:12">
      <c r="B1476">
        <v>14.33984375</v>
      </c>
      <c r="C1476">
        <v>2.3931411560624798</v>
      </c>
      <c r="D1476">
        <v>48.601046875000002</v>
      </c>
      <c r="E1476" s="5">
        <f t="shared" si="170"/>
        <v>48601.046875</v>
      </c>
      <c r="F1476" s="5">
        <v>0.78861863585188996</v>
      </c>
      <c r="G1476">
        <f t="shared" si="171"/>
        <v>972.02093749999995</v>
      </c>
      <c r="H1476">
        <f t="shared" si="172"/>
        <v>7.8861863585188999E-2</v>
      </c>
      <c r="I1476">
        <f t="shared" si="173"/>
        <v>7.7906655453143916E-2</v>
      </c>
      <c r="J1476">
        <f t="shared" si="174"/>
        <v>8307.6039060693365</v>
      </c>
      <c r="K1476" s="5">
        <f t="shared" si="175"/>
        <v>1048.6763200750725</v>
      </c>
      <c r="L1476" s="5">
        <f t="shared" si="176"/>
        <v>7.5906655453143915E-2</v>
      </c>
    </row>
    <row r="1477" spans="2:12">
      <c r="B1477">
        <v>14.349609375</v>
      </c>
      <c r="C1477">
        <v>2.3953870404511699</v>
      </c>
      <c r="D1477">
        <v>48.593980468749997</v>
      </c>
      <c r="E1477" s="5">
        <f t="shared" si="170"/>
        <v>48593.98046875</v>
      </c>
      <c r="F1477" s="5">
        <v>0.78959559323266104</v>
      </c>
      <c r="G1477">
        <f t="shared" si="171"/>
        <v>971.87960937499997</v>
      </c>
      <c r="H1477">
        <f t="shared" si="172"/>
        <v>7.8959559323266107E-2</v>
      </c>
      <c r="I1477">
        <f t="shared" si="173"/>
        <v>7.7997205799068492E-2</v>
      </c>
      <c r="J1477">
        <f t="shared" si="174"/>
        <v>8317.5141886790516</v>
      </c>
      <c r="K1477" s="5">
        <f t="shared" si="175"/>
        <v>1048.618795046518</v>
      </c>
      <c r="L1477" s="5">
        <f t="shared" si="176"/>
        <v>7.599720579906849E-2</v>
      </c>
    </row>
    <row r="1478" spans="2:12">
      <c r="B1478">
        <v>14.359375</v>
      </c>
      <c r="C1478">
        <v>2.39411741495132</v>
      </c>
      <c r="D1478">
        <v>48.580363281250001</v>
      </c>
      <c r="E1478" s="5">
        <f t="shared" si="170"/>
        <v>48580.36328125</v>
      </c>
      <c r="F1478" s="5">
        <v>0.79057441325858202</v>
      </c>
      <c r="G1478">
        <f t="shared" si="171"/>
        <v>971.60726562499997</v>
      </c>
      <c r="H1478">
        <f t="shared" si="172"/>
        <v>7.9057441325858208E-2</v>
      </c>
      <c r="I1478">
        <f t="shared" si="173"/>
        <v>7.8087920564179028E-2</v>
      </c>
      <c r="J1478">
        <f t="shared" si="174"/>
        <v>8327.4424661465728</v>
      </c>
      <c r="K1478" s="5">
        <f t="shared" si="175"/>
        <v>1048.4200500189258</v>
      </c>
      <c r="L1478" s="5">
        <f t="shared" si="176"/>
        <v>7.6087920564179026E-2</v>
      </c>
    </row>
    <row r="1479" spans="2:12">
      <c r="B1479">
        <v>14.369140625</v>
      </c>
      <c r="C1479">
        <v>2.3973556235432598</v>
      </c>
      <c r="D1479">
        <v>48.590859375000001</v>
      </c>
      <c r="E1479" s="5">
        <f t="shared" si="170"/>
        <v>48590.859375</v>
      </c>
      <c r="F1479" s="5">
        <v>0.791484548244625</v>
      </c>
      <c r="G1479">
        <f t="shared" si="171"/>
        <v>971.81718750000005</v>
      </c>
      <c r="H1479">
        <f t="shared" si="172"/>
        <v>7.9148454824462505E-2</v>
      </c>
      <c r="I1479">
        <f t="shared" si="173"/>
        <v>7.8172262376812005E-2</v>
      </c>
      <c r="J1479">
        <f t="shared" si="174"/>
        <v>8336.6732558301901</v>
      </c>
      <c r="K1479" s="5">
        <f t="shared" si="175"/>
        <v>1048.73501626248</v>
      </c>
      <c r="L1479" s="5">
        <f t="shared" si="176"/>
        <v>7.6172262376812003E-2</v>
      </c>
    </row>
    <row r="1480" spans="2:12">
      <c r="B1480">
        <v>14.37890625</v>
      </c>
      <c r="C1480">
        <v>2.3978920653462401</v>
      </c>
      <c r="D1480">
        <v>48.582910156250001</v>
      </c>
      <c r="E1480" s="5">
        <f t="shared" si="170"/>
        <v>48582.91015625</v>
      </c>
      <c r="F1480" s="5">
        <v>0.79250748967751905</v>
      </c>
      <c r="G1480">
        <f t="shared" si="171"/>
        <v>971.658203125</v>
      </c>
      <c r="H1480">
        <f t="shared" si="172"/>
        <v>7.9250748967751902E-2</v>
      </c>
      <c r="I1480">
        <f t="shared" si="173"/>
        <v>7.8267049423792187E-2</v>
      </c>
      <c r="J1480">
        <f t="shared" si="174"/>
        <v>8347.0472241869356</v>
      </c>
      <c r="K1480" s="5">
        <f t="shared" si="175"/>
        <v>1048.6628434633162</v>
      </c>
      <c r="L1480" s="5">
        <f t="shared" si="176"/>
        <v>7.6267049423792185E-2</v>
      </c>
    </row>
    <row r="1481" spans="2:12">
      <c r="B1481">
        <v>14.388671875</v>
      </c>
      <c r="C1481">
        <v>2.4010867346078202</v>
      </c>
      <c r="D1481">
        <v>48.612402343749999</v>
      </c>
      <c r="E1481" s="5">
        <f t="shared" ref="E1481:E1544" si="177" xml:space="preserve"> D1481*R$3</f>
        <v>48612.40234375</v>
      </c>
      <c r="F1481" s="5">
        <v>0.79359696246683598</v>
      </c>
      <c r="G1481">
        <f t="shared" ref="G1481:G1544" si="178" xml:space="preserve"> E1481/C$3</f>
        <v>972.248046875</v>
      </c>
      <c r="H1481">
        <f t="shared" ref="H1481:H1544" si="179" xml:space="preserve"> F1481/C$4</f>
        <v>7.9359696246683598E-2</v>
      </c>
      <c r="I1481">
        <f t="shared" ref="I1481:I1544" si="180">L1481+0.002</f>
        <v>7.8367991471270715E-2</v>
      </c>
      <c r="J1481">
        <f t="shared" ref="J1481:J1544" si="181">L1481*G$2</f>
        <v>8358.0948265732241</v>
      </c>
      <c r="K1481" s="5">
        <f t="shared" ref="K1481:K1544" si="182" xml:space="preserve"> G1481 * (1 + H1481)</f>
        <v>1049.4053565514314</v>
      </c>
      <c r="L1481" s="5">
        <f t="shared" ref="L1481:L1544" si="183">LN(1 + H1481)</f>
        <v>7.6367991471270713E-2</v>
      </c>
    </row>
    <row r="1482" spans="2:12">
      <c r="B1482">
        <v>14.3984375</v>
      </c>
      <c r="C1482">
        <v>2.4036599788814801</v>
      </c>
      <c r="D1482">
        <v>48.601992187500002</v>
      </c>
      <c r="E1482" s="5">
        <f t="shared" si="177"/>
        <v>48601.9921875</v>
      </c>
      <c r="F1482" s="5">
        <v>0.79451734200120006</v>
      </c>
      <c r="G1482">
        <f t="shared" si="178"/>
        <v>972.03984375000005</v>
      </c>
      <c r="H1482">
        <f t="shared" si="179"/>
        <v>7.945173420012E-2</v>
      </c>
      <c r="I1482">
        <f t="shared" si="180"/>
        <v>7.8453258718047425E-2</v>
      </c>
      <c r="J1482">
        <f t="shared" si="181"/>
        <v>8367.4269003967001</v>
      </c>
      <c r="K1482" s="5">
        <f t="shared" si="182"/>
        <v>1049.2700950475512</v>
      </c>
      <c r="L1482" s="5">
        <f t="shared" si="183"/>
        <v>7.6453258718047423E-2</v>
      </c>
    </row>
    <row r="1483" spans="2:12">
      <c r="B1483">
        <v>14.408203125</v>
      </c>
      <c r="C1483">
        <v>2.4038241244852498</v>
      </c>
      <c r="D1483">
        <v>48.582222656250003</v>
      </c>
      <c r="E1483" s="5">
        <f t="shared" si="177"/>
        <v>48582.22265625</v>
      </c>
      <c r="F1483" s="5">
        <v>0.79547020141035296</v>
      </c>
      <c r="G1483">
        <f t="shared" si="178"/>
        <v>971.64445312500004</v>
      </c>
      <c r="H1483">
        <f t="shared" si="179"/>
        <v>7.9547020141035291E-2</v>
      </c>
      <c r="I1483">
        <f t="shared" si="180"/>
        <v>7.8541527357189167E-2</v>
      </c>
      <c r="J1483">
        <f t="shared" si="181"/>
        <v>8377.0874616075689</v>
      </c>
      <c r="K1483" s="5">
        <f t="shared" si="182"/>
        <v>1048.9358740076598</v>
      </c>
      <c r="L1483" s="5">
        <f t="shared" si="183"/>
        <v>7.6541527357189165E-2</v>
      </c>
    </row>
    <row r="1484" spans="2:12">
      <c r="B1484">
        <v>14.41796875</v>
      </c>
      <c r="C1484">
        <v>2.4066434707492599</v>
      </c>
      <c r="D1484">
        <v>48.593546875000001</v>
      </c>
      <c r="E1484" s="5">
        <f t="shared" si="177"/>
        <v>48593.546875</v>
      </c>
      <c r="F1484" s="5">
        <v>0.79649331746622898</v>
      </c>
      <c r="G1484">
        <f t="shared" si="178"/>
        <v>971.87093749999997</v>
      </c>
      <c r="H1484">
        <f t="shared" si="179"/>
        <v>7.9649331746622892E-2</v>
      </c>
      <c r="I1484">
        <f t="shared" si="180"/>
        <v>7.8636295584798233E-2</v>
      </c>
      <c r="J1484">
        <f t="shared" si="181"/>
        <v>8387.4593702782422</v>
      </c>
      <c r="K1484" s="5">
        <f t="shared" si="182"/>
        <v>1049.2798082158388</v>
      </c>
      <c r="L1484" s="5">
        <f t="shared" si="183"/>
        <v>7.6636295584798231E-2</v>
      </c>
    </row>
    <row r="1485" spans="2:12">
      <c r="B1485">
        <v>14.427734375</v>
      </c>
      <c r="C1485">
        <v>2.4063824675977199</v>
      </c>
      <c r="D1485">
        <v>48.568386718749998</v>
      </c>
      <c r="E1485" s="5">
        <f t="shared" si="177"/>
        <v>48568.38671875</v>
      </c>
      <c r="F1485" s="5">
        <v>0.79734076280146804</v>
      </c>
      <c r="G1485">
        <f t="shared" si="178"/>
        <v>971.36773437500005</v>
      </c>
      <c r="H1485">
        <f t="shared" si="179"/>
        <v>7.9734076280146809E-2</v>
      </c>
      <c r="I1485">
        <f t="shared" si="180"/>
        <v>7.8714785151081296E-2</v>
      </c>
      <c r="J1485">
        <f t="shared" si="181"/>
        <v>8396.0496608600915</v>
      </c>
      <c r="K1485" s="5">
        <f t="shared" si="182"/>
        <v>1048.8188434037297</v>
      </c>
      <c r="L1485" s="5">
        <f t="shared" si="183"/>
        <v>7.6714785151081294E-2</v>
      </c>
    </row>
    <row r="1486" spans="2:12">
      <c r="B1486">
        <v>14.4375</v>
      </c>
      <c r="C1486">
        <v>2.4090125225484398</v>
      </c>
      <c r="D1486">
        <v>48.5655</v>
      </c>
      <c r="E1486" s="5">
        <f t="shared" si="177"/>
        <v>48565.5</v>
      </c>
      <c r="F1486" s="5">
        <v>0.79841620754450604</v>
      </c>
      <c r="G1486">
        <f t="shared" si="178"/>
        <v>971.31</v>
      </c>
      <c r="H1486">
        <f t="shared" si="179"/>
        <v>7.9841620754450601E-2</v>
      </c>
      <c r="I1486">
        <f t="shared" si="180"/>
        <v>7.8814382932756916E-2</v>
      </c>
      <c r="J1486">
        <f t="shared" si="181"/>
        <v>8406.9501400755798</v>
      </c>
      <c r="K1486" s="5">
        <f t="shared" si="182"/>
        <v>1048.8609646550053</v>
      </c>
      <c r="L1486" s="5">
        <f t="shared" si="183"/>
        <v>7.6814382932756914E-2</v>
      </c>
    </row>
    <row r="1487" spans="2:12">
      <c r="B1487">
        <v>14.447265625</v>
      </c>
      <c r="C1487">
        <v>2.4096874985843901</v>
      </c>
      <c r="D1487">
        <v>48.581874999999997</v>
      </c>
      <c r="E1487" s="5">
        <f t="shared" si="177"/>
        <v>48581.875</v>
      </c>
      <c r="F1487" s="5">
        <v>0.79943094169720996</v>
      </c>
      <c r="G1487">
        <f t="shared" si="178"/>
        <v>971.63750000000005</v>
      </c>
      <c r="H1487">
        <f t="shared" si="179"/>
        <v>7.9943094169720993E-2</v>
      </c>
      <c r="I1487">
        <f t="shared" si="180"/>
        <v>7.8908349164339101E-2</v>
      </c>
      <c r="J1487">
        <f t="shared" si="181"/>
        <v>8417.2342742910932</v>
      </c>
      <c r="K1487" s="5">
        <f t="shared" si="182"/>
        <v>1049.3132081613323</v>
      </c>
      <c r="L1487" s="5">
        <f t="shared" si="183"/>
        <v>7.6908349164339099E-2</v>
      </c>
    </row>
    <row r="1488" spans="2:12">
      <c r="B1488">
        <v>14.45703125</v>
      </c>
      <c r="C1488">
        <v>2.4111985694617002</v>
      </c>
      <c r="D1488">
        <v>48.562894531250002</v>
      </c>
      <c r="E1488" s="5">
        <f t="shared" si="177"/>
        <v>48562.89453125</v>
      </c>
      <c r="F1488" s="5">
        <v>0.80031901597976696</v>
      </c>
      <c r="G1488">
        <f t="shared" si="178"/>
        <v>971.25789062499996</v>
      </c>
      <c r="H1488">
        <f t="shared" si="179"/>
        <v>8.0031901597976698E-2</v>
      </c>
      <c r="I1488">
        <f t="shared" si="180"/>
        <v>7.8990579216520015E-2</v>
      </c>
      <c r="J1488">
        <f t="shared" si="181"/>
        <v>8426.2339423520334</v>
      </c>
      <c r="K1488" s="5">
        <f t="shared" si="182"/>
        <v>1048.9895065537582</v>
      </c>
      <c r="L1488" s="5">
        <f t="shared" si="183"/>
        <v>7.6990579216520014E-2</v>
      </c>
    </row>
    <row r="1489" spans="2:12">
      <c r="B1489">
        <v>14.466796875</v>
      </c>
      <c r="C1489">
        <v>2.4129450321197501</v>
      </c>
      <c r="D1489">
        <v>48.565726562499997</v>
      </c>
      <c r="E1489" s="5">
        <f t="shared" si="177"/>
        <v>48565.7265625</v>
      </c>
      <c r="F1489" s="5">
        <v>0.80133799929171801</v>
      </c>
      <c r="G1489">
        <f t="shared" si="178"/>
        <v>971.31453124999996</v>
      </c>
      <c r="H1489">
        <f t="shared" si="179"/>
        <v>8.0133799929171801E-2</v>
      </c>
      <c r="I1489">
        <f t="shared" si="180"/>
        <v>7.9084922285849055E-2</v>
      </c>
      <c r="J1489">
        <f t="shared" si="181"/>
        <v>8436.5593195747497</v>
      </c>
      <c r="K1489" s="5">
        <f t="shared" si="182"/>
        <v>1049.1496555654846</v>
      </c>
      <c r="L1489" s="5">
        <f t="shared" si="183"/>
        <v>7.7084922285849053E-2</v>
      </c>
    </row>
    <row r="1490" spans="2:12">
      <c r="B1490">
        <v>14.4765625</v>
      </c>
      <c r="C1490">
        <v>2.4154470302164599</v>
      </c>
      <c r="D1490">
        <v>48.56954296875</v>
      </c>
      <c r="E1490" s="5">
        <f t="shared" si="177"/>
        <v>48569.54296875</v>
      </c>
      <c r="F1490" s="5">
        <v>0.80228562001138903</v>
      </c>
      <c r="G1490">
        <f t="shared" si="178"/>
        <v>971.39085937499999</v>
      </c>
      <c r="H1490">
        <f t="shared" si="179"/>
        <v>8.0228562001138898E-2</v>
      </c>
      <c r="I1490">
        <f t="shared" si="180"/>
        <v>7.9172650227881169E-2</v>
      </c>
      <c r="J1490">
        <f t="shared" si="181"/>
        <v>8446.1607041904535</v>
      </c>
      <c r="K1490" s="5">
        <f t="shared" si="182"/>
        <v>1049.3241511637068</v>
      </c>
      <c r="L1490" s="5">
        <f t="shared" si="183"/>
        <v>7.7172650227881168E-2</v>
      </c>
    </row>
    <row r="1491" spans="2:12">
      <c r="B1491">
        <v>14.486328125</v>
      </c>
      <c r="C1491">
        <v>2.4176284205168499</v>
      </c>
      <c r="D1491">
        <v>48.564015625000003</v>
      </c>
      <c r="E1491" s="5">
        <f t="shared" si="177"/>
        <v>48564.015625</v>
      </c>
      <c r="F1491" s="5">
        <v>0.80329662887379505</v>
      </c>
      <c r="G1491">
        <f t="shared" si="178"/>
        <v>971.28031250000004</v>
      </c>
      <c r="H1491">
        <f t="shared" si="179"/>
        <v>8.0329662887379499E-2</v>
      </c>
      <c r="I1491">
        <f t="shared" si="180"/>
        <v>7.9266237973075693E-2</v>
      </c>
      <c r="J1491">
        <f t="shared" si="181"/>
        <v>8456.4034149632698</v>
      </c>
      <c r="K1491" s="5">
        <f t="shared" si="182"/>
        <v>1049.3029325722737</v>
      </c>
      <c r="L1491" s="5">
        <f t="shared" si="183"/>
        <v>7.7266237973075691E-2</v>
      </c>
    </row>
    <row r="1492" spans="2:12">
      <c r="B1492">
        <v>14.49609375</v>
      </c>
      <c r="C1492">
        <v>2.4185152724385302</v>
      </c>
      <c r="D1492">
        <v>48.579085937499997</v>
      </c>
      <c r="E1492" s="5">
        <f t="shared" si="177"/>
        <v>48579.0859375</v>
      </c>
      <c r="F1492" s="5">
        <v>0.80432556569576297</v>
      </c>
      <c r="G1492">
        <f t="shared" si="178"/>
        <v>971.58171875000005</v>
      </c>
      <c r="H1492">
        <f t="shared" si="179"/>
        <v>8.0432556569576291E-2</v>
      </c>
      <c r="I1492">
        <f t="shared" si="180"/>
        <v>7.9361476293468361E-2</v>
      </c>
      <c r="J1492">
        <f t="shared" si="181"/>
        <v>8466.8267729386444</v>
      </c>
      <c r="K1492" s="5">
        <f t="shared" si="182"/>
        <v>1049.7285203053257</v>
      </c>
      <c r="L1492" s="5">
        <f t="shared" si="183"/>
        <v>7.7361476293468359E-2</v>
      </c>
    </row>
    <row r="1493" spans="2:12">
      <c r="B1493">
        <v>14.505859375</v>
      </c>
      <c r="C1493">
        <v>2.4224906228482701</v>
      </c>
      <c r="D1493">
        <v>48.565257812500001</v>
      </c>
      <c r="E1493" s="5">
        <f t="shared" si="177"/>
        <v>48565.2578125</v>
      </c>
      <c r="F1493" s="5">
        <v>0.80530461855232705</v>
      </c>
      <c r="G1493">
        <f t="shared" si="178"/>
        <v>971.30515624999998</v>
      </c>
      <c r="H1493">
        <f t="shared" si="179"/>
        <v>8.0530461855232702E-2</v>
      </c>
      <c r="I1493">
        <f t="shared" si="180"/>
        <v>7.9452088936895093E-2</v>
      </c>
      <c r="J1493">
        <f t="shared" si="181"/>
        <v>8476.7438736984841</v>
      </c>
      <c r="K1493" s="5">
        <f t="shared" si="182"/>
        <v>1049.5248090851815</v>
      </c>
      <c r="L1493" s="5">
        <f t="shared" si="183"/>
        <v>7.7452088936895092E-2</v>
      </c>
    </row>
    <row r="1494" spans="2:12">
      <c r="B1494">
        <v>14.515625</v>
      </c>
      <c r="C1494">
        <v>2.42426246404648</v>
      </c>
      <c r="D1494">
        <v>48.562730468749997</v>
      </c>
      <c r="E1494" s="5">
        <f t="shared" si="177"/>
        <v>48562.73046875</v>
      </c>
      <c r="F1494" s="5">
        <v>0.80629187868908003</v>
      </c>
      <c r="G1494">
        <f t="shared" si="178"/>
        <v>971.25460937499997</v>
      </c>
      <c r="H1494">
        <f t="shared" si="179"/>
        <v>8.0629187868908006E-2</v>
      </c>
      <c r="I1494">
        <f t="shared" si="180"/>
        <v>7.9543452861588593E-2</v>
      </c>
      <c r="J1494">
        <f t="shared" si="181"/>
        <v>8486.743198436563</v>
      </c>
      <c r="K1494" s="5">
        <f t="shared" si="182"/>
        <v>1049.5660797428397</v>
      </c>
      <c r="L1494" s="5">
        <f t="shared" si="183"/>
        <v>7.7543452861588591E-2</v>
      </c>
    </row>
    <row r="1495" spans="2:12">
      <c r="B1495">
        <v>14.525390625</v>
      </c>
      <c r="C1495">
        <v>2.42523546330631</v>
      </c>
      <c r="D1495">
        <v>48.559507812500001</v>
      </c>
      <c r="E1495" s="5">
        <f t="shared" si="177"/>
        <v>48559.5078125</v>
      </c>
      <c r="F1495" s="5">
        <v>0.80724782310426202</v>
      </c>
      <c r="G1495">
        <f t="shared" si="178"/>
        <v>971.19015624999997</v>
      </c>
      <c r="H1495">
        <f t="shared" si="179"/>
        <v>8.0724782310426207E-2</v>
      </c>
      <c r="I1495">
        <f t="shared" si="180"/>
        <v>7.9631910784630777E-2</v>
      </c>
      <c r="J1495">
        <f t="shared" si="181"/>
        <v>8496.4244758239147</v>
      </c>
      <c r="K1495" s="5">
        <f t="shared" si="182"/>
        <v>1049.5892701953101</v>
      </c>
      <c r="L1495" s="5">
        <f t="shared" si="183"/>
        <v>7.7631910784630775E-2</v>
      </c>
    </row>
    <row r="1496" spans="2:12">
      <c r="B1496">
        <v>14.53515625</v>
      </c>
      <c r="C1496">
        <v>2.4253339506685698</v>
      </c>
      <c r="D1496">
        <v>48.555929687499997</v>
      </c>
      <c r="E1496" s="5">
        <f t="shared" si="177"/>
        <v>48555.9296875</v>
      </c>
      <c r="F1496" s="5">
        <v>0.80821046140044905</v>
      </c>
      <c r="G1496">
        <f t="shared" si="178"/>
        <v>971.11859374999995</v>
      </c>
      <c r="H1496">
        <f t="shared" si="179"/>
        <v>8.08210461400449E-2</v>
      </c>
      <c r="I1496">
        <f t="shared" si="180"/>
        <v>7.9720980216715254E-2</v>
      </c>
      <c r="J1496">
        <f t="shared" si="181"/>
        <v>8506.1726798184009</v>
      </c>
      <c r="K1496" s="5">
        <f t="shared" si="182"/>
        <v>1049.6054144229242</v>
      </c>
      <c r="L1496" s="5">
        <f t="shared" si="183"/>
        <v>7.7720980216715252E-2</v>
      </c>
    </row>
    <row r="1497" spans="2:12">
      <c r="B1497">
        <v>14.544921875</v>
      </c>
      <c r="C1497">
        <v>2.4261132348328802</v>
      </c>
      <c r="D1497">
        <v>48.5787890625</v>
      </c>
      <c r="E1497" s="5">
        <f t="shared" si="177"/>
        <v>48578.7890625</v>
      </c>
      <c r="F1497" s="5">
        <v>0.80924754729494497</v>
      </c>
      <c r="G1497">
        <f t="shared" si="178"/>
        <v>971.57578124999998</v>
      </c>
      <c r="H1497">
        <f t="shared" si="179"/>
        <v>8.0924754729494494E-2</v>
      </c>
      <c r="I1497">
        <f t="shared" si="180"/>
        <v>7.9816929138635098E-2</v>
      </c>
      <c r="J1497">
        <f t="shared" si="181"/>
        <v>8516.6738095779183</v>
      </c>
      <c r="K1497" s="5">
        <f t="shared" si="182"/>
        <v>1050.2003130487731</v>
      </c>
      <c r="L1497" s="5">
        <f t="shared" si="183"/>
        <v>7.7816929138635096E-2</v>
      </c>
    </row>
    <row r="1498" spans="2:12">
      <c r="B1498">
        <v>14.5546875</v>
      </c>
      <c r="C1498">
        <v>2.4289579596370499</v>
      </c>
      <c r="D1498">
        <v>48.580015625000001</v>
      </c>
      <c r="E1498" s="5">
        <f t="shared" si="177"/>
        <v>48580.015625</v>
      </c>
      <c r="F1498" s="5">
        <v>0.81029644934460499</v>
      </c>
      <c r="G1498">
        <f t="shared" si="178"/>
        <v>971.60031249999997</v>
      </c>
      <c r="H1498">
        <f t="shared" si="179"/>
        <v>8.1029644934460493E-2</v>
      </c>
      <c r="I1498">
        <f t="shared" si="180"/>
        <v>7.9913961902198169E-2</v>
      </c>
      <c r="J1498">
        <f t="shared" si="181"/>
        <v>8527.2935603860788</v>
      </c>
      <c r="K1498" s="5">
        <f t="shared" si="182"/>
        <v>1050.3287408400859</v>
      </c>
      <c r="L1498" s="5">
        <f t="shared" si="183"/>
        <v>7.7913961902198167E-2</v>
      </c>
    </row>
    <row r="1499" spans="2:12">
      <c r="B1499">
        <v>14.564453125</v>
      </c>
      <c r="C1499">
        <v>2.4296431802213201</v>
      </c>
      <c r="D1499">
        <v>48.554343750000001</v>
      </c>
      <c r="E1499" s="5">
        <f t="shared" si="177"/>
        <v>48554.34375</v>
      </c>
      <c r="F1499" s="5">
        <v>0.81125053111463796</v>
      </c>
      <c r="G1499">
        <f t="shared" si="178"/>
        <v>971.08687499999996</v>
      </c>
      <c r="H1499">
        <f t="shared" si="179"/>
        <v>8.1125053111463799E-2</v>
      </c>
      <c r="I1499">
        <f t="shared" si="180"/>
        <v>8.0002214770645938E-2</v>
      </c>
      <c r="J1499">
        <f t="shared" si="181"/>
        <v>8536.9523955733439</v>
      </c>
      <c r="K1499" s="5">
        <f t="shared" si="182"/>
        <v>1049.8663493102204</v>
      </c>
      <c r="L1499" s="5">
        <f t="shared" si="183"/>
        <v>7.8002214770645936E-2</v>
      </c>
    </row>
    <row r="1500" spans="2:12">
      <c r="B1500">
        <v>14.57421875</v>
      </c>
      <c r="C1500">
        <v>2.4318143259733902</v>
      </c>
      <c r="D1500">
        <v>48.551808593750003</v>
      </c>
      <c r="E1500" s="5">
        <f t="shared" si="177"/>
        <v>48551.80859375</v>
      </c>
      <c r="F1500" s="5">
        <v>0.81220443826168798</v>
      </c>
      <c r="G1500">
        <f t="shared" si="178"/>
        <v>971.03617187500004</v>
      </c>
      <c r="H1500">
        <f t="shared" si="179"/>
        <v>8.1220443826168803E-2</v>
      </c>
      <c r="I1500">
        <f t="shared" si="180"/>
        <v>8.0090443700668423E-2</v>
      </c>
      <c r="J1500">
        <f t="shared" si="181"/>
        <v>8546.608610819656</v>
      </c>
      <c r="K1500" s="5">
        <f t="shared" si="182"/>
        <v>1049.9041607259514</v>
      </c>
      <c r="L1500" s="5">
        <f t="shared" si="183"/>
        <v>7.8090443700668422E-2</v>
      </c>
    </row>
    <row r="1501" spans="2:12">
      <c r="B1501">
        <v>14.583984375</v>
      </c>
      <c r="C1501">
        <v>2.4337782524526101</v>
      </c>
      <c r="D1501">
        <v>48.557734375000003</v>
      </c>
      <c r="E1501" s="5">
        <f t="shared" si="177"/>
        <v>48557.734375</v>
      </c>
      <c r="F1501" s="5">
        <v>0.81323122140020099</v>
      </c>
      <c r="G1501">
        <f t="shared" si="178"/>
        <v>971.15468750000002</v>
      </c>
      <c r="H1501">
        <f t="shared" si="179"/>
        <v>8.1323122140020104E-2</v>
      </c>
      <c r="I1501">
        <f t="shared" si="180"/>
        <v>8.018540439005703E-2</v>
      </c>
      <c r="J1501">
        <f t="shared" si="181"/>
        <v>8557.0015834697915</v>
      </c>
      <c r="K1501" s="5">
        <f t="shared" si="182"/>
        <v>1050.1320187684157</v>
      </c>
      <c r="L1501" s="5">
        <f t="shared" si="183"/>
        <v>7.8185404390057028E-2</v>
      </c>
    </row>
    <row r="1502" spans="2:12">
      <c r="B1502">
        <v>14.59375</v>
      </c>
      <c r="C1502">
        <v>2.4352504406124398</v>
      </c>
      <c r="D1502">
        <v>48.542308593750001</v>
      </c>
      <c r="E1502" s="5">
        <f t="shared" si="177"/>
        <v>48542.30859375</v>
      </c>
      <c r="F1502" s="5">
        <v>0.81413093721494101</v>
      </c>
      <c r="G1502">
        <f t="shared" si="178"/>
        <v>970.84617187499998</v>
      </c>
      <c r="H1502">
        <f t="shared" si="179"/>
        <v>8.1413093721494106E-2</v>
      </c>
      <c r="I1502">
        <f t="shared" si="180"/>
        <v>8.0268606012951202E-2</v>
      </c>
      <c r="J1502">
        <f t="shared" si="181"/>
        <v>8566.107585087444</v>
      </c>
      <c r="K1502" s="5">
        <f t="shared" si="182"/>
        <v>1049.8857622550131</v>
      </c>
      <c r="L1502" s="5">
        <f t="shared" si="183"/>
        <v>7.82686060129512E-2</v>
      </c>
    </row>
    <row r="1503" spans="2:12">
      <c r="B1503">
        <v>14.603515625</v>
      </c>
      <c r="C1503">
        <v>2.43723392486572</v>
      </c>
      <c r="D1503">
        <v>48.566035156250003</v>
      </c>
      <c r="E1503" s="5">
        <f t="shared" si="177"/>
        <v>48566.03515625</v>
      </c>
      <c r="F1503" s="5">
        <v>0.81511616008356202</v>
      </c>
      <c r="G1503">
        <f t="shared" si="178"/>
        <v>971.32070312500002</v>
      </c>
      <c r="H1503">
        <f t="shared" si="179"/>
        <v>8.15116160083562E-2</v>
      </c>
      <c r="I1503">
        <f t="shared" si="180"/>
        <v>8.0359706999025365E-2</v>
      </c>
      <c r="J1503">
        <f t="shared" si="181"/>
        <v>8576.0781325083317</v>
      </c>
      <c r="K1503" s="5">
        <f t="shared" si="182"/>
        <v>1050.4946232990917</v>
      </c>
      <c r="L1503" s="5">
        <f t="shared" si="183"/>
        <v>7.8359706999025364E-2</v>
      </c>
    </row>
    <row r="1504" spans="2:12">
      <c r="B1504">
        <v>14.61328125</v>
      </c>
      <c r="C1504">
        <v>2.4387864395976102</v>
      </c>
      <c r="D1504">
        <v>48.556843749999999</v>
      </c>
      <c r="E1504" s="5">
        <f t="shared" si="177"/>
        <v>48556.84375</v>
      </c>
      <c r="F1504" s="5">
        <v>0.816168379969895</v>
      </c>
      <c r="G1504">
        <f t="shared" si="178"/>
        <v>971.13687500000003</v>
      </c>
      <c r="H1504">
        <f t="shared" si="179"/>
        <v>8.1616837996989502E-2</v>
      </c>
      <c r="I1504">
        <f t="shared" si="180"/>
        <v>8.0456993860119008E-2</v>
      </c>
      <c r="J1504">
        <f t="shared" si="181"/>
        <v>8586.7256930207241</v>
      </c>
      <c r="K1504" s="5">
        <f t="shared" si="182"/>
        <v>1050.3979959997778</v>
      </c>
      <c r="L1504" s="5">
        <f t="shared" si="183"/>
        <v>7.8456993860119006E-2</v>
      </c>
    </row>
    <row r="1505" spans="2:12">
      <c r="B1505">
        <v>14.623046875</v>
      </c>
      <c r="C1505">
        <v>2.4396686349064098</v>
      </c>
      <c r="D1505">
        <v>48.548773437500003</v>
      </c>
      <c r="E1505" s="5">
        <f t="shared" si="177"/>
        <v>48548.7734375</v>
      </c>
      <c r="F1505" s="5">
        <v>0.81711914390325502</v>
      </c>
      <c r="G1505">
        <f t="shared" si="178"/>
        <v>970.97546875</v>
      </c>
      <c r="H1505">
        <f t="shared" si="179"/>
        <v>8.1711914390325505E-2</v>
      </c>
      <c r="I1505">
        <f t="shared" si="180"/>
        <v>8.054489209869449E-2</v>
      </c>
      <c r="J1505">
        <f t="shared" si="181"/>
        <v>8596.3457157416178</v>
      </c>
      <c r="K1505" s="5">
        <f t="shared" si="182"/>
        <v>1050.3157331276063</v>
      </c>
      <c r="L1505" s="5">
        <f t="shared" si="183"/>
        <v>7.8544892098694488E-2</v>
      </c>
    </row>
    <row r="1506" spans="2:12">
      <c r="B1506">
        <v>14.6328125</v>
      </c>
      <c r="C1506">
        <v>2.4406134616583599</v>
      </c>
      <c r="D1506">
        <v>48.528710937500001</v>
      </c>
      <c r="E1506" s="5">
        <f t="shared" si="177"/>
        <v>48528.7109375</v>
      </c>
      <c r="F1506" s="5">
        <v>0.81809994298964706</v>
      </c>
      <c r="G1506">
        <f t="shared" si="178"/>
        <v>970.57421875</v>
      </c>
      <c r="H1506">
        <f t="shared" si="179"/>
        <v>8.1809994298964711E-2</v>
      </c>
      <c r="I1506">
        <f t="shared" si="180"/>
        <v>8.0635558995398857E-2</v>
      </c>
      <c r="J1506">
        <f t="shared" si="181"/>
        <v>8606.2687542514268</v>
      </c>
      <c r="K1506" s="5">
        <f t="shared" si="182"/>
        <v>1049.9768900526597</v>
      </c>
      <c r="L1506" s="5">
        <f t="shared" si="183"/>
        <v>7.8635558995398855E-2</v>
      </c>
    </row>
    <row r="1507" spans="2:12">
      <c r="B1507">
        <v>14.642578125</v>
      </c>
      <c r="C1507">
        <v>2.4426965974271302</v>
      </c>
      <c r="D1507">
        <v>48.526531249999998</v>
      </c>
      <c r="E1507" s="5">
        <f t="shared" si="177"/>
        <v>48526.53125</v>
      </c>
      <c r="F1507" s="5">
        <v>0.81909110303968202</v>
      </c>
      <c r="G1507">
        <f t="shared" si="178"/>
        <v>970.53062499999999</v>
      </c>
      <c r="H1507">
        <f t="shared" si="179"/>
        <v>8.1909110303968205E-2</v>
      </c>
      <c r="I1507">
        <f t="shared" si="180"/>
        <v>8.0727175328463463E-2</v>
      </c>
      <c r="J1507">
        <f t="shared" si="181"/>
        <v>8616.2957038236837</v>
      </c>
      <c r="K1507" s="5">
        <f t="shared" si="182"/>
        <v>1050.0259250165041</v>
      </c>
      <c r="L1507" s="5">
        <f t="shared" si="183"/>
        <v>7.8727175328463461E-2</v>
      </c>
    </row>
    <row r="1508" spans="2:12">
      <c r="B1508">
        <v>14.65234375</v>
      </c>
      <c r="C1508">
        <v>2.4455250240862401</v>
      </c>
      <c r="D1508">
        <v>48.563156249999999</v>
      </c>
      <c r="E1508" s="5">
        <f t="shared" si="177"/>
        <v>48563.15625</v>
      </c>
      <c r="F1508" s="5">
        <v>0.82012382335960898</v>
      </c>
      <c r="G1508">
        <f t="shared" si="178"/>
        <v>971.26312499999995</v>
      </c>
      <c r="H1508">
        <f t="shared" si="179"/>
        <v>8.2012382335960893E-2</v>
      </c>
      <c r="I1508">
        <f t="shared" si="180"/>
        <v>8.0822624292228862E-2</v>
      </c>
      <c r="J1508">
        <f t="shared" si="181"/>
        <v>8626.742115662988</v>
      </c>
      <c r="K1508" s="5">
        <f t="shared" si="182"/>
        <v>1050.9187277563201</v>
      </c>
      <c r="L1508" s="5">
        <f t="shared" si="183"/>
        <v>7.882262429222886E-2</v>
      </c>
    </row>
    <row r="1509" spans="2:12">
      <c r="B1509">
        <v>14.662109375</v>
      </c>
      <c r="C1509">
        <v>2.4473203811794502</v>
      </c>
      <c r="D1509">
        <v>48.568878906249999</v>
      </c>
      <c r="E1509" s="5">
        <f t="shared" si="177"/>
        <v>48568.87890625</v>
      </c>
      <c r="F1509" s="5">
        <v>0.82117831334471703</v>
      </c>
      <c r="G1509">
        <f t="shared" si="178"/>
        <v>971.37757812500001</v>
      </c>
      <c r="H1509">
        <f t="shared" si="179"/>
        <v>8.2117831334471703E-2</v>
      </c>
      <c r="I1509">
        <f t="shared" si="180"/>
        <v>8.0920075913141681E-2</v>
      </c>
      <c r="J1509">
        <f t="shared" si="181"/>
        <v>8637.4077083137909</v>
      </c>
      <c r="K1509" s="5">
        <f t="shared" si="182"/>
        <v>1051.1449982475565</v>
      </c>
      <c r="L1509" s="5">
        <f t="shared" si="183"/>
        <v>7.892007591314168E-2</v>
      </c>
    </row>
    <row r="1510" spans="2:12">
      <c r="B1510">
        <v>14.671875</v>
      </c>
      <c r="C1510">
        <v>2.4475499521940902</v>
      </c>
      <c r="D1510">
        <v>48.565058593750003</v>
      </c>
      <c r="E1510" s="5">
        <f t="shared" si="177"/>
        <v>48565.05859375</v>
      </c>
      <c r="F1510" s="5">
        <v>0.82221865886822298</v>
      </c>
      <c r="G1510">
        <f t="shared" si="178"/>
        <v>971.30117187500002</v>
      </c>
      <c r="H1510">
        <f t="shared" si="179"/>
        <v>8.2221865886822301E-2</v>
      </c>
      <c r="I1510">
        <f t="shared" si="180"/>
        <v>8.1016211055480319E-2</v>
      </c>
      <c r="J1510">
        <f t="shared" si="181"/>
        <v>8647.9292189670432</v>
      </c>
      <c r="K1510" s="5">
        <f t="shared" si="182"/>
        <v>1051.1633665646198</v>
      </c>
      <c r="L1510" s="5">
        <f t="shared" si="183"/>
        <v>7.9016211055480318E-2</v>
      </c>
    </row>
    <row r="1511" spans="2:12">
      <c r="B1511">
        <v>14.681640625</v>
      </c>
      <c r="C1511">
        <v>2.4494694080203798</v>
      </c>
      <c r="D1511">
        <v>48.555703125000001</v>
      </c>
      <c r="E1511" s="5">
        <f t="shared" si="177"/>
        <v>48555.703125</v>
      </c>
      <c r="F1511" s="5">
        <v>0.82320725778117798</v>
      </c>
      <c r="G1511">
        <f t="shared" si="178"/>
        <v>971.11406250000005</v>
      </c>
      <c r="H1511">
        <f t="shared" si="179"/>
        <v>8.2320725778117804E-2</v>
      </c>
      <c r="I1511">
        <f t="shared" si="180"/>
        <v>8.1107555889021465E-2</v>
      </c>
      <c r="J1511">
        <f t="shared" si="181"/>
        <v>8657.9264542739547</v>
      </c>
      <c r="K1511" s="5">
        <f t="shared" si="182"/>
        <v>1051.0568769383365</v>
      </c>
      <c r="L1511" s="5">
        <f t="shared" si="183"/>
        <v>7.9107555889021464E-2</v>
      </c>
    </row>
    <row r="1512" spans="2:12">
      <c r="B1512">
        <v>14.69140625</v>
      </c>
      <c r="C1512">
        <v>2.4510039947926998</v>
      </c>
      <c r="D1512">
        <v>48.565242187499997</v>
      </c>
      <c r="E1512" s="5">
        <f t="shared" si="177"/>
        <v>48565.2421875</v>
      </c>
      <c r="F1512" s="5">
        <v>0.82424323773011599</v>
      </c>
      <c r="G1512">
        <f t="shared" si="178"/>
        <v>971.30484375000003</v>
      </c>
      <c r="H1512">
        <f t="shared" si="179"/>
        <v>8.2424323773011593E-2</v>
      </c>
      <c r="I1512">
        <f t="shared" si="180"/>
        <v>8.1203269696053251E-2</v>
      </c>
      <c r="J1512">
        <f t="shared" si="181"/>
        <v>8668.4018518845478</v>
      </c>
      <c r="K1512" s="5">
        <f t="shared" si="182"/>
        <v>1051.3639886735446</v>
      </c>
      <c r="L1512" s="5">
        <f t="shared" si="183"/>
        <v>7.920326969605325E-2</v>
      </c>
    </row>
    <row r="1513" spans="2:12">
      <c r="B1513">
        <v>14.701171875</v>
      </c>
      <c r="C1513">
        <v>2.4535835254937401</v>
      </c>
      <c r="D1513">
        <v>48.555765624999999</v>
      </c>
      <c r="E1513" s="5">
        <f t="shared" si="177"/>
        <v>48555.765625</v>
      </c>
      <c r="F1513" s="5">
        <v>0.82528166240081202</v>
      </c>
      <c r="G1513">
        <f t="shared" si="178"/>
        <v>971.11531249999996</v>
      </c>
      <c r="H1513">
        <f t="shared" si="179"/>
        <v>8.2528166240081205E-2</v>
      </c>
      <c r="I1513">
        <f t="shared" si="180"/>
        <v>8.1299200177325504E-2</v>
      </c>
      <c r="J1513">
        <f t="shared" si="181"/>
        <v>8678.90096340739</v>
      </c>
      <c r="K1513" s="5">
        <f t="shared" si="182"/>
        <v>1051.2596784482882</v>
      </c>
      <c r="L1513" s="5">
        <f t="shared" si="183"/>
        <v>7.9299200177325502E-2</v>
      </c>
    </row>
    <row r="1514" spans="2:12">
      <c r="B1514">
        <v>14.7109375</v>
      </c>
      <c r="C1514">
        <v>2.4541469756513798</v>
      </c>
      <c r="D1514">
        <v>48.551753906249999</v>
      </c>
      <c r="E1514" s="5">
        <f t="shared" si="177"/>
        <v>48551.75390625</v>
      </c>
      <c r="F1514" s="5">
        <v>0.82628091331571296</v>
      </c>
      <c r="G1514">
        <f t="shared" si="178"/>
        <v>971.03507812500004</v>
      </c>
      <c r="H1514">
        <f t="shared" si="179"/>
        <v>8.2628091331571299E-2</v>
      </c>
      <c r="I1514">
        <f t="shared" si="180"/>
        <v>8.1391503068825047E-2</v>
      </c>
      <c r="J1514">
        <f t="shared" si="181"/>
        <v>8689.0030533675563</v>
      </c>
      <c r="K1514" s="5">
        <f t="shared" si="182"/>
        <v>1051.2698532464722</v>
      </c>
      <c r="L1514" s="5">
        <f t="shared" si="183"/>
        <v>7.9391503068825045E-2</v>
      </c>
    </row>
    <row r="1515" spans="2:12">
      <c r="B1515">
        <v>14.720703125</v>
      </c>
      <c r="C1515">
        <v>2.4567649234086302</v>
      </c>
      <c r="D1515">
        <v>48.548996093749999</v>
      </c>
      <c r="E1515" s="5">
        <f t="shared" si="177"/>
        <v>48548.99609375</v>
      </c>
      <c r="F1515" s="5">
        <v>0.82733598537743103</v>
      </c>
      <c r="G1515">
        <f t="shared" si="178"/>
        <v>970.97992187499995</v>
      </c>
      <c r="H1515">
        <f t="shared" si="179"/>
        <v>8.2733598537743105E-2</v>
      </c>
      <c r="I1515">
        <f t="shared" si="180"/>
        <v>8.1488953029955194E-2</v>
      </c>
      <c r="J1515">
        <f t="shared" si="181"/>
        <v>8699.6684643634453</v>
      </c>
      <c r="K1515" s="5">
        <f t="shared" si="182"/>
        <v>1051.3125849196153</v>
      </c>
      <c r="L1515" s="5">
        <f t="shared" si="183"/>
        <v>7.9488953029955192E-2</v>
      </c>
    </row>
    <row r="1516" spans="2:12">
      <c r="B1516">
        <v>14.73046875</v>
      </c>
      <c r="C1516">
        <v>2.4584517814218998</v>
      </c>
      <c r="D1516">
        <v>48.557175781250002</v>
      </c>
      <c r="E1516" s="5">
        <f t="shared" si="177"/>
        <v>48557.17578125</v>
      </c>
      <c r="F1516" s="5">
        <v>0.82828756421804395</v>
      </c>
      <c r="G1516">
        <f t="shared" si="178"/>
        <v>971.14351562499996</v>
      </c>
      <c r="H1516">
        <f t="shared" si="179"/>
        <v>8.28287564218044E-2</v>
      </c>
      <c r="I1516">
        <f t="shared" si="180"/>
        <v>8.1576835869167516E-2</v>
      </c>
      <c r="J1516">
        <f t="shared" si="181"/>
        <v>8709.2868017010387</v>
      </c>
      <c r="K1516" s="5">
        <f t="shared" si="182"/>
        <v>1051.5821253313179</v>
      </c>
      <c r="L1516" s="5">
        <f t="shared" si="183"/>
        <v>7.9576835869167514E-2</v>
      </c>
    </row>
    <row r="1517" spans="2:12">
      <c r="B1517">
        <v>14.740234375</v>
      </c>
      <c r="C1517">
        <v>2.4593709968030502</v>
      </c>
      <c r="D1517">
        <v>48.552683593749997</v>
      </c>
      <c r="E1517" s="5">
        <f t="shared" si="177"/>
        <v>48552.68359375</v>
      </c>
      <c r="F1517" s="5">
        <v>0.82931091310456395</v>
      </c>
      <c r="G1517">
        <f t="shared" si="178"/>
        <v>971.05367187499996</v>
      </c>
      <c r="H1517">
        <f t="shared" si="179"/>
        <v>8.2931091310456395E-2</v>
      </c>
      <c r="I1517">
        <f t="shared" si="180"/>
        <v>8.1671338395692128E-2</v>
      </c>
      <c r="J1517">
        <f t="shared" si="181"/>
        <v>8719.6296307165248</v>
      </c>
      <c r="K1517" s="5">
        <f t="shared" si="182"/>
        <v>1051.5842126046196</v>
      </c>
      <c r="L1517" s="5">
        <f t="shared" si="183"/>
        <v>7.9671338395692126E-2</v>
      </c>
    </row>
    <row r="1518" spans="2:12">
      <c r="B1518">
        <v>14.75</v>
      </c>
      <c r="C1518">
        <v>2.4607956875115602</v>
      </c>
      <c r="D1518">
        <v>48.554484375000001</v>
      </c>
      <c r="E1518" s="5">
        <f t="shared" si="177"/>
        <v>48554.484375</v>
      </c>
      <c r="F1518" s="5">
        <v>0.83043472841382004</v>
      </c>
      <c r="G1518">
        <f t="shared" si="178"/>
        <v>971.08968749999997</v>
      </c>
      <c r="H1518">
        <f t="shared" si="179"/>
        <v>8.3043472841381999E-2</v>
      </c>
      <c r="I1518">
        <f t="shared" si="180"/>
        <v>8.1775108340996619E-2</v>
      </c>
      <c r="J1518">
        <f t="shared" si="181"/>
        <v>8730.9867323803755</v>
      </c>
      <c r="K1518" s="5">
        <f t="shared" si="182"/>
        <v>1051.7323475904523</v>
      </c>
      <c r="L1518" s="5">
        <f t="shared" si="183"/>
        <v>7.9775108340996617E-2</v>
      </c>
    </row>
    <row r="1519" spans="2:12">
      <c r="B1519">
        <v>14.759765625</v>
      </c>
      <c r="C1519">
        <v>2.4645968805998599</v>
      </c>
      <c r="D1519">
        <v>48.561253906250002</v>
      </c>
      <c r="E1519" s="5">
        <f t="shared" si="177"/>
        <v>48561.25390625</v>
      </c>
      <c r="F1519" s="5">
        <v>0.83143805386498604</v>
      </c>
      <c r="G1519">
        <f t="shared" si="178"/>
        <v>971.22507812499998</v>
      </c>
      <c r="H1519">
        <f t="shared" si="179"/>
        <v>8.3143805386498598E-2</v>
      </c>
      <c r="I1519">
        <f t="shared" si="180"/>
        <v>8.1867743494195719E-2</v>
      </c>
      <c r="J1519">
        <f t="shared" si="181"/>
        <v>8741.1251867222509</v>
      </c>
      <c r="K1519" s="5">
        <f t="shared" si="182"/>
        <v>1051.9764270071119</v>
      </c>
      <c r="L1519" s="5">
        <f t="shared" si="183"/>
        <v>7.9867743494195717E-2</v>
      </c>
    </row>
    <row r="1520" spans="2:12">
      <c r="B1520">
        <v>14.76953125</v>
      </c>
      <c r="C1520">
        <v>2.4647831451147799</v>
      </c>
      <c r="D1520">
        <v>48.5353671875</v>
      </c>
      <c r="E1520" s="5">
        <f t="shared" si="177"/>
        <v>48535.3671875</v>
      </c>
      <c r="F1520" s="5">
        <v>0.83250569878146097</v>
      </c>
      <c r="G1520">
        <f t="shared" si="178"/>
        <v>970.70734374999995</v>
      </c>
      <c r="H1520">
        <f t="shared" si="179"/>
        <v>8.3250569878146094E-2</v>
      </c>
      <c r="I1520">
        <f t="shared" si="180"/>
        <v>8.1966307719576775E-2</v>
      </c>
      <c r="J1520">
        <f t="shared" si="181"/>
        <v>8751.9125483690805</v>
      </c>
      <c r="K1520" s="5">
        <f t="shared" si="182"/>
        <v>1051.5192833020888</v>
      </c>
      <c r="L1520" s="5">
        <f t="shared" si="183"/>
        <v>7.9966307719576774E-2</v>
      </c>
    </row>
    <row r="1521" spans="2:12">
      <c r="B1521">
        <v>14.779296875</v>
      </c>
      <c r="C1521">
        <v>2.4693801533430801</v>
      </c>
      <c r="D1521">
        <v>48.546742187500001</v>
      </c>
      <c r="E1521" s="5">
        <f t="shared" si="177"/>
        <v>48546.7421875</v>
      </c>
      <c r="F1521" s="5">
        <v>0.83349982742220197</v>
      </c>
      <c r="G1521">
        <f t="shared" si="178"/>
        <v>970.93484375000003</v>
      </c>
      <c r="H1521">
        <f t="shared" si="179"/>
        <v>8.3349982742220191E-2</v>
      </c>
      <c r="I1521">
        <f t="shared" si="180"/>
        <v>8.20580762405657E-2</v>
      </c>
      <c r="J1521">
        <f t="shared" si="181"/>
        <v>8761.9561541487128</v>
      </c>
      <c r="K1521" s="5">
        <f t="shared" si="182"/>
        <v>1051.8622462203828</v>
      </c>
      <c r="L1521" s="5">
        <f t="shared" si="183"/>
        <v>8.0058076240565698E-2</v>
      </c>
    </row>
    <row r="1522" spans="2:12">
      <c r="B1522">
        <v>14.7890625</v>
      </c>
      <c r="C1522">
        <v>2.4669198319315901</v>
      </c>
      <c r="D1522">
        <v>48.553246093749998</v>
      </c>
      <c r="E1522" s="5">
        <f t="shared" si="177"/>
        <v>48553.24609375</v>
      </c>
      <c r="F1522" s="5">
        <v>0.834500358905643</v>
      </c>
      <c r="G1522">
        <f t="shared" si="178"/>
        <v>971.06492187499998</v>
      </c>
      <c r="H1522">
        <f t="shared" si="179"/>
        <v>8.3450035890564295E-2</v>
      </c>
      <c r="I1522">
        <f t="shared" si="180"/>
        <v>8.2150427309012161E-2</v>
      </c>
      <c r="J1522">
        <f t="shared" si="181"/>
        <v>8772.0635168348363</v>
      </c>
      <c r="K1522" s="5">
        <f t="shared" si="182"/>
        <v>1052.1003244575368</v>
      </c>
      <c r="L1522" s="5">
        <f t="shared" si="183"/>
        <v>8.0150427309012159E-2</v>
      </c>
    </row>
    <row r="1523" spans="2:12">
      <c r="B1523">
        <v>14.798828125</v>
      </c>
      <c r="C1523">
        <v>2.47121602296829</v>
      </c>
      <c r="D1523">
        <v>48.541597656249998</v>
      </c>
      <c r="E1523" s="5">
        <f t="shared" si="177"/>
        <v>48541.59765625</v>
      </c>
      <c r="F1523" s="5">
        <v>0.83559594349935695</v>
      </c>
      <c r="G1523">
        <f t="shared" si="178"/>
        <v>970.83195312500004</v>
      </c>
      <c r="H1523">
        <f t="shared" si="179"/>
        <v>8.3559594349935692E-2</v>
      </c>
      <c r="I1523">
        <f t="shared" si="180"/>
        <v>8.2251542189108476E-2</v>
      </c>
      <c r="J1523">
        <f t="shared" si="181"/>
        <v>8783.1300348869772</v>
      </c>
      <c r="K1523" s="5">
        <f t="shared" si="182"/>
        <v>1051.9542773100809</v>
      </c>
      <c r="L1523" s="5">
        <f t="shared" si="183"/>
        <v>8.0251542189108474E-2</v>
      </c>
    </row>
    <row r="1524" spans="2:12">
      <c r="B1524">
        <v>14.80859375</v>
      </c>
      <c r="C1524">
        <v>2.4727224372327301</v>
      </c>
      <c r="D1524">
        <v>48.544664062499997</v>
      </c>
      <c r="E1524" s="5">
        <f t="shared" si="177"/>
        <v>48544.6640625</v>
      </c>
      <c r="F1524" s="5">
        <v>0.83659682422876402</v>
      </c>
      <c r="G1524">
        <f t="shared" si="178"/>
        <v>970.89328124999997</v>
      </c>
      <c r="H1524">
        <f t="shared" si="179"/>
        <v>8.36596824228764E-2</v>
      </c>
      <c r="I1524">
        <f t="shared" si="180"/>
        <v>8.2343907621701809E-2</v>
      </c>
      <c r="J1524">
        <f t="shared" si="181"/>
        <v>8793.2389696571536</v>
      </c>
      <c r="K1524" s="5">
        <f t="shared" si="182"/>
        <v>1052.1179048258794</v>
      </c>
      <c r="L1524" s="5">
        <f t="shared" si="183"/>
        <v>8.0343907621701807E-2</v>
      </c>
    </row>
    <row r="1525" spans="2:12">
      <c r="B1525">
        <v>14.818359375</v>
      </c>
      <c r="C1525">
        <v>2.4722649250179498</v>
      </c>
      <c r="D1525">
        <v>48.526957031249999</v>
      </c>
      <c r="E1525" s="5">
        <f t="shared" si="177"/>
        <v>48526.95703125</v>
      </c>
      <c r="F1525" s="5">
        <v>0.83764939336106203</v>
      </c>
      <c r="G1525">
        <f t="shared" si="178"/>
        <v>970.53914062499996</v>
      </c>
      <c r="H1525">
        <f t="shared" si="179"/>
        <v>8.3764939336106209E-2</v>
      </c>
      <c r="I1525">
        <f t="shared" si="180"/>
        <v>8.2441033872142896E-2</v>
      </c>
      <c r="J1525">
        <f t="shared" si="181"/>
        <v>8803.8689521366796</v>
      </c>
      <c r="K1525" s="5">
        <f t="shared" si="182"/>
        <v>1051.8362928627696</v>
      </c>
      <c r="L1525" s="5">
        <f t="shared" si="183"/>
        <v>8.0441033872142895E-2</v>
      </c>
    </row>
    <row r="1526" spans="2:12">
      <c r="B1526">
        <v>14.828125</v>
      </c>
      <c r="C1526">
        <v>2.47448682785034</v>
      </c>
      <c r="D1526">
        <v>48.513378906249997</v>
      </c>
      <c r="E1526" s="5">
        <f t="shared" si="177"/>
        <v>48513.37890625</v>
      </c>
      <c r="F1526" s="5">
        <v>0.83860795712098501</v>
      </c>
      <c r="G1526">
        <f t="shared" si="178"/>
        <v>970.267578125</v>
      </c>
      <c r="H1526">
        <f t="shared" si="179"/>
        <v>8.3860795712098507E-2</v>
      </c>
      <c r="I1526">
        <f t="shared" si="180"/>
        <v>8.2529477531493201E-2</v>
      </c>
      <c r="J1526">
        <f t="shared" si="181"/>
        <v>8813.5486684342723</v>
      </c>
      <c r="K1526" s="5">
        <f t="shared" si="182"/>
        <v>1051.6349892802132</v>
      </c>
      <c r="L1526" s="5">
        <f t="shared" si="183"/>
        <v>8.0529477531493199E-2</v>
      </c>
    </row>
    <row r="1527" spans="2:12">
      <c r="B1527">
        <v>14.837890625</v>
      </c>
      <c r="C1527">
        <v>2.4756968487054101</v>
      </c>
      <c r="D1527">
        <v>48.52308984375</v>
      </c>
      <c r="E1527" s="5">
        <f t="shared" si="177"/>
        <v>48523.08984375</v>
      </c>
      <c r="F1527" s="5">
        <v>0.839644693769515</v>
      </c>
      <c r="G1527">
        <f t="shared" si="178"/>
        <v>970.461796875</v>
      </c>
      <c r="H1527">
        <f t="shared" si="179"/>
        <v>8.3964469376951498E-2</v>
      </c>
      <c r="I1527">
        <f t="shared" si="180"/>
        <v>8.2625125152730572E-2</v>
      </c>
      <c r="J1527">
        <f t="shared" si="181"/>
        <v>8824.0168223405981</v>
      </c>
      <c r="K1527" s="5">
        <f t="shared" si="182"/>
        <v>1051.9461067002123</v>
      </c>
      <c r="L1527" s="5">
        <f t="shared" si="183"/>
        <v>8.062512515273057E-2</v>
      </c>
    </row>
    <row r="1528" spans="2:12">
      <c r="B1528">
        <v>14.84765625</v>
      </c>
      <c r="C1528">
        <v>2.4779126979410599</v>
      </c>
      <c r="D1528">
        <v>48.526539062499999</v>
      </c>
      <c r="E1528" s="5">
        <f t="shared" si="177"/>
        <v>48526.5390625</v>
      </c>
      <c r="F1528" s="5">
        <v>0.84066344425082196</v>
      </c>
      <c r="G1528">
        <f t="shared" si="178"/>
        <v>970.53078125000002</v>
      </c>
      <c r="H1528">
        <f t="shared" si="179"/>
        <v>8.4066344425082193E-2</v>
      </c>
      <c r="I1528">
        <f t="shared" si="180"/>
        <v>8.2719104488777992E-2</v>
      </c>
      <c r="J1528">
        <f t="shared" si="181"/>
        <v>8834.3023907743063</v>
      </c>
      <c r="K1528" s="5">
        <f t="shared" si="182"/>
        <v>1052.1197561817066</v>
      </c>
      <c r="L1528" s="5">
        <f t="shared" si="183"/>
        <v>8.071910448877799E-2</v>
      </c>
    </row>
    <row r="1529" spans="2:12">
      <c r="B1529">
        <v>14.857421875</v>
      </c>
      <c r="C1529">
        <v>2.4784505367279102</v>
      </c>
      <c r="D1529">
        <v>48.522835937499998</v>
      </c>
      <c r="E1529" s="5">
        <f t="shared" si="177"/>
        <v>48522.8359375</v>
      </c>
      <c r="F1529" s="5">
        <v>0.84170664194971301</v>
      </c>
      <c r="G1529">
        <f t="shared" si="178"/>
        <v>970.45671875000005</v>
      </c>
      <c r="H1529">
        <f t="shared" si="179"/>
        <v>8.4170664194971295E-2</v>
      </c>
      <c r="I1529">
        <f t="shared" si="180"/>
        <v>8.2815329919443445E-2</v>
      </c>
      <c r="J1529">
        <f t="shared" si="181"/>
        <v>8844.8337830334876</v>
      </c>
      <c r="K1529" s="5">
        <f t="shared" si="182"/>
        <v>1052.1407053396601</v>
      </c>
      <c r="L1529" s="5">
        <f t="shared" si="183"/>
        <v>8.0815329919443443E-2</v>
      </c>
    </row>
    <row r="1530" spans="2:12">
      <c r="B1530">
        <v>14.8671875</v>
      </c>
      <c r="C1530">
        <v>2.4807839654385999</v>
      </c>
      <c r="D1530">
        <v>48.539078125000003</v>
      </c>
      <c r="E1530" s="5">
        <f t="shared" si="177"/>
        <v>48539.078125</v>
      </c>
      <c r="F1530" s="5">
        <v>0.84279250586405396</v>
      </c>
      <c r="G1530">
        <f t="shared" si="178"/>
        <v>970.78156249999995</v>
      </c>
      <c r="H1530">
        <f t="shared" si="179"/>
        <v>8.4279250586405396E-2</v>
      </c>
      <c r="I1530">
        <f t="shared" si="180"/>
        <v>8.2915481083447415E-2</v>
      </c>
      <c r="J1530">
        <f t="shared" si="181"/>
        <v>8855.7948271779023</v>
      </c>
      <c r="K1530" s="5">
        <f t="shared" si="182"/>
        <v>1052.5983050705995</v>
      </c>
      <c r="L1530" s="5">
        <f t="shared" si="183"/>
        <v>8.0915481083447413E-2</v>
      </c>
    </row>
    <row r="1531" spans="2:12">
      <c r="B1531">
        <v>14.876953125</v>
      </c>
      <c r="C1531">
        <v>2.4825201835483299</v>
      </c>
      <c r="D1531">
        <v>48.519093750000003</v>
      </c>
      <c r="E1531" s="5">
        <f t="shared" si="177"/>
        <v>48519.09375</v>
      </c>
      <c r="F1531" s="5">
        <v>0.84379571489989802</v>
      </c>
      <c r="G1531">
        <f t="shared" si="178"/>
        <v>970.38187500000004</v>
      </c>
      <c r="H1531">
        <f t="shared" si="179"/>
        <v>8.4379571489989799E-2</v>
      </c>
      <c r="I1531">
        <f t="shared" si="180"/>
        <v>8.3007999927476428E-2</v>
      </c>
      <c r="J1531">
        <f t="shared" si="181"/>
        <v>8865.9205520626583</v>
      </c>
      <c r="K1531" s="5">
        <f t="shared" si="182"/>
        <v>1052.2622817941528</v>
      </c>
      <c r="L1531" s="5">
        <f t="shared" si="183"/>
        <v>8.1007999927476426E-2</v>
      </c>
    </row>
    <row r="1532" spans="2:12">
      <c r="B1532">
        <v>14.88671875</v>
      </c>
      <c r="C1532">
        <v>2.4850382469594501</v>
      </c>
      <c r="D1532">
        <v>48.537332031250003</v>
      </c>
      <c r="E1532" s="5">
        <f t="shared" si="177"/>
        <v>48537.33203125</v>
      </c>
      <c r="F1532" s="5">
        <v>0.84489857545122504</v>
      </c>
      <c r="G1532">
        <f t="shared" si="178"/>
        <v>970.74664062500005</v>
      </c>
      <c r="H1532">
        <f t="shared" si="179"/>
        <v>8.4489857545122504E-2</v>
      </c>
      <c r="I1532">
        <f t="shared" si="180"/>
        <v>8.3109699046613236E-2</v>
      </c>
      <c r="J1532">
        <f t="shared" si="181"/>
        <v>8877.0510121565858</v>
      </c>
      <c r="K1532" s="5">
        <f t="shared" si="182"/>
        <v>1052.7648860038125</v>
      </c>
      <c r="L1532" s="5">
        <f t="shared" si="183"/>
        <v>8.1109699046613234E-2</v>
      </c>
    </row>
    <row r="1533" spans="2:12">
      <c r="B1533">
        <v>14.896484375</v>
      </c>
      <c r="C1533">
        <v>2.4868727196007998</v>
      </c>
      <c r="D1533">
        <v>48.534769531249999</v>
      </c>
      <c r="E1533" s="5">
        <f t="shared" si="177"/>
        <v>48534.76953125</v>
      </c>
      <c r="F1533" s="5">
        <v>0.84598106332123302</v>
      </c>
      <c r="G1533">
        <f t="shared" si="178"/>
        <v>970.69539062499996</v>
      </c>
      <c r="H1533">
        <f t="shared" si="179"/>
        <v>8.4598106332123307E-2</v>
      </c>
      <c r="I1533">
        <f t="shared" si="180"/>
        <v>8.3209509463611858E-2</v>
      </c>
      <c r="J1533">
        <f t="shared" si="181"/>
        <v>8887.9747632449998</v>
      </c>
      <c r="K1533" s="5">
        <f t="shared" si="182"/>
        <v>1052.8143824971955</v>
      </c>
      <c r="L1533" s="5">
        <f t="shared" si="183"/>
        <v>8.1209509463611856E-2</v>
      </c>
    </row>
    <row r="1534" spans="2:12">
      <c r="B1534">
        <v>14.90625</v>
      </c>
      <c r="C1534">
        <v>2.48602335341275</v>
      </c>
      <c r="D1534">
        <v>48.522800781249998</v>
      </c>
      <c r="E1534" s="5">
        <f t="shared" si="177"/>
        <v>48522.80078125</v>
      </c>
      <c r="F1534" s="5">
        <v>0.84697303827852</v>
      </c>
      <c r="G1534">
        <f t="shared" si="178"/>
        <v>970.45601562499996</v>
      </c>
      <c r="H1534">
        <f t="shared" si="179"/>
        <v>8.4697303827851997E-2</v>
      </c>
      <c r="I1534">
        <f t="shared" si="180"/>
        <v>8.3300965422383785E-2</v>
      </c>
      <c r="J1534">
        <f t="shared" si="181"/>
        <v>8897.9841606527934</v>
      </c>
      <c r="K1534" s="5">
        <f t="shared" si="182"/>
        <v>1052.6510236319573</v>
      </c>
      <c r="L1534" s="5">
        <f t="shared" si="183"/>
        <v>8.1300965422383784E-2</v>
      </c>
    </row>
    <row r="1535" spans="2:12">
      <c r="B1535">
        <v>14.916015625</v>
      </c>
      <c r="C1535">
        <v>2.4900867138057898</v>
      </c>
      <c r="D1535">
        <v>48.537949218750001</v>
      </c>
      <c r="E1535" s="5">
        <f t="shared" si="177"/>
        <v>48537.94921875</v>
      </c>
      <c r="F1535" s="5">
        <v>0.84801734192296896</v>
      </c>
      <c r="G1535">
        <f t="shared" si="178"/>
        <v>970.75898437499995</v>
      </c>
      <c r="H1535">
        <f t="shared" si="179"/>
        <v>8.480173419229689E-2</v>
      </c>
      <c r="I1535">
        <f t="shared" si="180"/>
        <v>8.3397236831308508E-2</v>
      </c>
      <c r="J1535">
        <f t="shared" si="181"/>
        <v>8908.5205850025595</v>
      </c>
      <c r="K1535" s="5">
        <f t="shared" si="182"/>
        <v>1053.0810297327528</v>
      </c>
      <c r="L1535" s="5">
        <f t="shared" si="183"/>
        <v>8.1397236831308506E-2</v>
      </c>
    </row>
    <row r="1536" spans="2:12">
      <c r="B1536">
        <v>14.92578125</v>
      </c>
      <c r="C1536">
        <v>2.4888752959668601</v>
      </c>
      <c r="D1536">
        <v>48.508410156250001</v>
      </c>
      <c r="E1536" s="5">
        <f t="shared" si="177"/>
        <v>48508.41015625</v>
      </c>
      <c r="F1536" s="5">
        <v>0.84901298396289304</v>
      </c>
      <c r="G1536">
        <f t="shared" si="178"/>
        <v>970.16820312499999</v>
      </c>
      <c r="H1536">
        <f t="shared" si="179"/>
        <v>8.4901298396289307E-2</v>
      </c>
      <c r="I1536">
        <f t="shared" si="180"/>
        <v>8.3489013634462608E-2</v>
      </c>
      <c r="J1536">
        <f t="shared" si="181"/>
        <v>8918.5650972237599</v>
      </c>
      <c r="K1536" s="5">
        <f t="shared" si="182"/>
        <v>1052.5367432331075</v>
      </c>
      <c r="L1536" s="5">
        <f t="shared" si="183"/>
        <v>8.1489013634462606E-2</v>
      </c>
    </row>
    <row r="1537" spans="2:12">
      <c r="B1537">
        <v>14.935546875</v>
      </c>
      <c r="C1537">
        <v>2.4936767295002902</v>
      </c>
      <c r="D1537">
        <v>48.496015624999998</v>
      </c>
      <c r="E1537" s="5">
        <f t="shared" si="177"/>
        <v>48496.015625</v>
      </c>
      <c r="F1537" s="5">
        <v>0.85006258450448502</v>
      </c>
      <c r="G1537">
        <f t="shared" si="178"/>
        <v>969.92031250000002</v>
      </c>
      <c r="H1537">
        <f t="shared" si="179"/>
        <v>8.5006258450448499E-2</v>
      </c>
      <c r="I1537">
        <f t="shared" si="180"/>
        <v>8.3585755132882522E-2</v>
      </c>
      <c r="J1537">
        <f t="shared" si="181"/>
        <v>8929.1529705183275</v>
      </c>
      <c r="K1537" s="5">
        <f t="shared" si="182"/>
        <v>1052.3696092607149</v>
      </c>
      <c r="L1537" s="5">
        <f t="shared" si="183"/>
        <v>8.158575513288252E-2</v>
      </c>
    </row>
    <row r="1538" spans="2:12">
      <c r="B1538">
        <v>14.9453125</v>
      </c>
      <c r="C1538">
        <v>2.4957731366157501</v>
      </c>
      <c r="D1538">
        <v>48.482250000000001</v>
      </c>
      <c r="E1538" s="5">
        <f t="shared" si="177"/>
        <v>48482.25</v>
      </c>
      <c r="F1538" s="5">
        <v>0.85102085722610399</v>
      </c>
      <c r="G1538">
        <f t="shared" si="178"/>
        <v>969.64499999999998</v>
      </c>
      <c r="H1538">
        <f t="shared" si="179"/>
        <v>8.5102085722610396E-2</v>
      </c>
      <c r="I1538">
        <f t="shared" si="180"/>
        <v>8.3674070790007604E-2</v>
      </c>
      <c r="J1538">
        <f t="shared" si="181"/>
        <v>8938.8186776123821</v>
      </c>
      <c r="K1538" s="5">
        <f t="shared" si="182"/>
        <v>1052.1638119105005</v>
      </c>
      <c r="L1538" s="5">
        <f t="shared" si="183"/>
        <v>8.1674070790007602E-2</v>
      </c>
    </row>
    <row r="1539" spans="2:12">
      <c r="B1539">
        <v>14.955078125</v>
      </c>
      <c r="C1539">
        <v>2.4934038519859301</v>
      </c>
      <c r="D1539">
        <v>48.467160156250003</v>
      </c>
      <c r="E1539" s="5">
        <f t="shared" si="177"/>
        <v>48467.16015625</v>
      </c>
      <c r="F1539" s="5">
        <v>0.85196446161717199</v>
      </c>
      <c r="G1539">
        <f t="shared" si="178"/>
        <v>969.34320312499995</v>
      </c>
      <c r="H1539">
        <f t="shared" si="179"/>
        <v>8.5196446161717204E-2</v>
      </c>
      <c r="I1539">
        <f t="shared" si="180"/>
        <v>8.3761026973942679E-2</v>
      </c>
      <c r="J1539">
        <f t="shared" si="181"/>
        <v>8948.3355971631554</v>
      </c>
      <c r="K1539" s="5">
        <f t="shared" si="182"/>
        <v>1051.9277991422655</v>
      </c>
      <c r="L1539" s="5">
        <f t="shared" si="183"/>
        <v>8.1761026973942677E-2</v>
      </c>
    </row>
    <row r="1540" spans="2:12">
      <c r="B1540">
        <v>14.96484375</v>
      </c>
      <c r="C1540">
        <v>2.4966790806502099</v>
      </c>
      <c r="D1540">
        <v>48.487234375</v>
      </c>
      <c r="E1540" s="5">
        <f t="shared" si="177"/>
        <v>48487.234375</v>
      </c>
      <c r="F1540" s="5">
        <v>0.85299840429797802</v>
      </c>
      <c r="G1540">
        <f t="shared" si="178"/>
        <v>969.74468750000005</v>
      </c>
      <c r="H1540">
        <f t="shared" si="179"/>
        <v>8.5299840429797796E-2</v>
      </c>
      <c r="I1540">
        <f t="shared" si="180"/>
        <v>8.3856299441163684E-2</v>
      </c>
      <c r="J1540">
        <f t="shared" si="181"/>
        <v>8958.7626923381595</v>
      </c>
      <c r="K1540" s="5">
        <f t="shared" si="182"/>
        <v>1052.4637546013942</v>
      </c>
      <c r="L1540" s="5">
        <f t="shared" si="183"/>
        <v>8.1856299441163682E-2</v>
      </c>
    </row>
    <row r="1541" spans="2:12">
      <c r="B1541">
        <v>14.974609375</v>
      </c>
      <c r="C1541">
        <v>2.4994804989546502</v>
      </c>
      <c r="D1541">
        <v>48.483839843749998</v>
      </c>
      <c r="E1541" s="5">
        <f t="shared" si="177"/>
        <v>48483.83984375</v>
      </c>
      <c r="F1541" s="5">
        <v>0.85404323181137398</v>
      </c>
      <c r="G1541">
        <f t="shared" si="178"/>
        <v>969.67679687500004</v>
      </c>
      <c r="H1541">
        <f t="shared" si="179"/>
        <v>8.5404323181137401E-2</v>
      </c>
      <c r="I1541">
        <f t="shared" si="180"/>
        <v>8.3952565669581064E-2</v>
      </c>
      <c r="J1541">
        <f t="shared" si="181"/>
        <v>8969.2985497072987</v>
      </c>
      <c r="K1541" s="5">
        <f t="shared" si="182"/>
        <v>1052.4913874165627</v>
      </c>
      <c r="L1541" s="5">
        <f t="shared" si="183"/>
        <v>8.1952565669581062E-2</v>
      </c>
    </row>
    <row r="1542" spans="2:12">
      <c r="B1542">
        <v>14.984375</v>
      </c>
      <c r="C1542">
        <v>2.4998949375003598</v>
      </c>
      <c r="D1542">
        <v>48.482890625000003</v>
      </c>
      <c r="E1542" s="5">
        <f t="shared" si="177"/>
        <v>48482.890625</v>
      </c>
      <c r="F1542" s="5">
        <v>0.85508258780464497</v>
      </c>
      <c r="G1542">
        <f t="shared" si="178"/>
        <v>969.65781249999998</v>
      </c>
      <c r="H1542">
        <f t="shared" si="179"/>
        <v>8.5508258780464502E-2</v>
      </c>
      <c r="I1542">
        <f t="shared" si="180"/>
        <v>8.404831858038006E-2</v>
      </c>
      <c r="J1542">
        <f t="shared" si="181"/>
        <v>8979.7782270296957</v>
      </c>
      <c r="K1542" s="5">
        <f t="shared" si="182"/>
        <v>1052.571563659749</v>
      </c>
      <c r="L1542" s="5">
        <f t="shared" si="183"/>
        <v>8.2048318580380059E-2</v>
      </c>
    </row>
    <row r="1543" spans="2:12">
      <c r="B1543">
        <v>14.994140625</v>
      </c>
      <c r="C1543">
        <v>2.50153988599777</v>
      </c>
      <c r="D1543">
        <v>48.491148437500001</v>
      </c>
      <c r="E1543" s="5">
        <f t="shared" si="177"/>
        <v>48491.1484375</v>
      </c>
      <c r="F1543" s="5">
        <v>0.85605209460482001</v>
      </c>
      <c r="G1543">
        <f t="shared" si="178"/>
        <v>969.82296874999997</v>
      </c>
      <c r="H1543">
        <f t="shared" si="179"/>
        <v>8.5605209460482001E-2</v>
      </c>
      <c r="I1543">
        <f t="shared" si="180"/>
        <v>8.4137628219420224E-2</v>
      </c>
      <c r="J1543">
        <f t="shared" si="181"/>
        <v>8989.5527204744467</v>
      </c>
      <c r="K1543" s="5">
        <f t="shared" si="182"/>
        <v>1052.8448671294302</v>
      </c>
      <c r="L1543" s="5">
        <f t="shared" si="183"/>
        <v>8.2137628219420222E-2</v>
      </c>
    </row>
    <row r="1544" spans="2:12">
      <c r="B1544">
        <v>15.00390625</v>
      </c>
      <c r="C1544">
        <v>2.50374665483832</v>
      </c>
      <c r="D1544">
        <v>48.467855468750003</v>
      </c>
      <c r="E1544" s="5">
        <f t="shared" si="177"/>
        <v>48467.85546875</v>
      </c>
      <c r="F1544" s="5">
        <v>0.85706316167488705</v>
      </c>
      <c r="G1544">
        <f t="shared" si="178"/>
        <v>969.35710937500005</v>
      </c>
      <c r="H1544">
        <f t="shared" si="179"/>
        <v>8.5706316167488708E-2</v>
      </c>
      <c r="I1544">
        <f t="shared" si="180"/>
        <v>8.4230757837981549E-2</v>
      </c>
      <c r="J1544">
        <f t="shared" si="181"/>
        <v>8999.7452915778904</v>
      </c>
      <c r="K1544" s="5">
        <f t="shared" si="182"/>
        <v>1052.4371362702968</v>
      </c>
      <c r="L1544" s="5">
        <f t="shared" si="183"/>
        <v>8.2230757837981547E-2</v>
      </c>
    </row>
    <row r="1545" spans="2:12">
      <c r="B1545">
        <v>15.013671875</v>
      </c>
      <c r="C1545">
        <v>2.5053129065781801</v>
      </c>
      <c r="D1545">
        <v>48.462890625</v>
      </c>
      <c r="E1545" s="5">
        <f t="shared" ref="E1545:E1608" si="184" xml:space="preserve"> D1545*R$3</f>
        <v>48462.890625</v>
      </c>
      <c r="F1545" s="5">
        <v>0.85810391465201996</v>
      </c>
      <c r="G1545">
        <f t="shared" ref="G1545:G1608" si="185" xml:space="preserve"> E1545/C$3</f>
        <v>969.2578125</v>
      </c>
      <c r="H1545">
        <f t="shared" ref="H1545:H1608" si="186" xml:space="preserve"> F1545/C$4</f>
        <v>8.5810391465202002E-2</v>
      </c>
      <c r="I1545">
        <f t="shared" ref="I1545:I1608" si="187">L1545+0.002</f>
        <v>8.4326612774236143E-2</v>
      </c>
      <c r="J1545">
        <f t="shared" ref="J1545:J1608" si="188">L1545*G$2</f>
        <v>9010.2361350762749</v>
      </c>
      <c r="K1545" s="5">
        <f t="shared" ref="K1545:K1608" si="189" xml:space="preserve"> G1545 * (1 + H1545)</f>
        <v>1052.4302048213303</v>
      </c>
      <c r="L1545" s="5">
        <f t="shared" ref="L1545:L1608" si="190">LN(1 + H1545)</f>
        <v>8.2326612774236141E-2</v>
      </c>
    </row>
    <row r="1546" spans="2:12">
      <c r="B1546">
        <v>15.0234375</v>
      </c>
      <c r="C1546">
        <v>2.5072798598557702</v>
      </c>
      <c r="D1546">
        <v>48.48922265625</v>
      </c>
      <c r="E1546" s="5">
        <f t="shared" si="184"/>
        <v>48489.22265625</v>
      </c>
      <c r="F1546" s="5">
        <v>0.85912953363731503</v>
      </c>
      <c r="G1546">
        <f t="shared" si="185"/>
        <v>969.78445312500003</v>
      </c>
      <c r="H1546">
        <f t="shared" si="186"/>
        <v>8.5912953363731503E-2</v>
      </c>
      <c r="I1546">
        <f t="shared" si="187"/>
        <v>8.4421064858890463E-2</v>
      </c>
      <c r="J1546">
        <f t="shared" si="188"/>
        <v>9020.5734434812657</v>
      </c>
      <c r="K1546" s="5">
        <f t="shared" si="189"/>
        <v>1053.1014996192</v>
      </c>
      <c r="L1546" s="5">
        <f t="shared" si="190"/>
        <v>8.2421064858890461E-2</v>
      </c>
    </row>
    <row r="1547" spans="2:12">
      <c r="B1547">
        <v>15.033203125</v>
      </c>
      <c r="C1547">
        <v>2.50861351378262</v>
      </c>
      <c r="D1547">
        <v>48.493062500000001</v>
      </c>
      <c r="E1547" s="5">
        <f t="shared" si="184"/>
        <v>48493.0625</v>
      </c>
      <c r="F1547" s="5">
        <v>0.860217784065753</v>
      </c>
      <c r="G1547">
        <f t="shared" si="185"/>
        <v>969.86125000000004</v>
      </c>
      <c r="H1547">
        <f t="shared" si="186"/>
        <v>8.6021778406575294E-2</v>
      </c>
      <c r="I1547">
        <f t="shared" si="187"/>
        <v>8.4521275092046225E-2</v>
      </c>
      <c r="J1547">
        <f t="shared" si="188"/>
        <v>9031.5409524489987</v>
      </c>
      <c r="K1547" s="5">
        <f t="shared" si="189"/>
        <v>1053.2904395326243</v>
      </c>
      <c r="L1547" s="5">
        <f t="shared" si="190"/>
        <v>8.2521275092046223E-2</v>
      </c>
    </row>
    <row r="1548" spans="2:12">
      <c r="B1548">
        <v>15.04296875</v>
      </c>
      <c r="C1548">
        <v>2.5101378560066201</v>
      </c>
      <c r="D1548">
        <v>48.482941406249999</v>
      </c>
      <c r="E1548" s="5">
        <f t="shared" si="184"/>
        <v>48482.94140625</v>
      </c>
      <c r="F1548" s="5">
        <v>0.86122407810762502</v>
      </c>
      <c r="G1548">
        <f t="shared" si="185"/>
        <v>969.65882812500001</v>
      </c>
      <c r="H1548">
        <f t="shared" si="186"/>
        <v>8.6122407810762497E-2</v>
      </c>
      <c r="I1548">
        <f t="shared" si="187"/>
        <v>8.4613929534506999E-2</v>
      </c>
      <c r="J1548">
        <f t="shared" si="188"/>
        <v>9041.6815179041187</v>
      </c>
      <c r="K1548" s="5">
        <f t="shared" si="189"/>
        <v>1053.1681811580875</v>
      </c>
      <c r="L1548" s="5">
        <f t="shared" si="190"/>
        <v>8.2613929534506997E-2</v>
      </c>
    </row>
    <row r="1549" spans="2:12">
      <c r="B1549">
        <v>15.052734375</v>
      </c>
      <c r="C1549">
        <v>2.5118708144873398</v>
      </c>
      <c r="D1549">
        <v>48.484257812499997</v>
      </c>
      <c r="E1549" s="5">
        <f t="shared" si="184"/>
        <v>48484.2578125</v>
      </c>
      <c r="F1549" s="5">
        <v>0.86222996469587099</v>
      </c>
      <c r="G1549">
        <f t="shared" si="185"/>
        <v>969.68515624999998</v>
      </c>
      <c r="H1549">
        <f t="shared" si="186"/>
        <v>8.6222996469587102E-2</v>
      </c>
      <c r="I1549">
        <f t="shared" si="187"/>
        <v>8.4706537881870408E-2</v>
      </c>
      <c r="J1549">
        <f t="shared" si="188"/>
        <v>9051.8170384813075</v>
      </c>
      <c r="K1549" s="5">
        <f t="shared" si="189"/>
        <v>1053.2943160539546</v>
      </c>
      <c r="L1549" s="5">
        <f t="shared" si="190"/>
        <v>8.2706537881870407E-2</v>
      </c>
    </row>
    <row r="1550" spans="2:12">
      <c r="B1550">
        <v>15.0625</v>
      </c>
      <c r="C1550">
        <v>2.5125609245151299</v>
      </c>
      <c r="D1550">
        <v>48.477695312500003</v>
      </c>
      <c r="E1550" s="5">
        <f t="shared" si="184"/>
        <v>48477.6953125</v>
      </c>
      <c r="F1550" s="5">
        <v>0.86329143960028898</v>
      </c>
      <c r="G1550">
        <f t="shared" si="185"/>
        <v>969.55390624999995</v>
      </c>
      <c r="H1550">
        <f t="shared" si="186"/>
        <v>8.6329143960028901E-2</v>
      </c>
      <c r="I1550">
        <f t="shared" si="187"/>
        <v>8.4804254745416224E-2</v>
      </c>
      <c r="J1550">
        <f t="shared" si="188"/>
        <v>9062.5116606120791</v>
      </c>
      <c r="K1550" s="5">
        <f t="shared" si="189"/>
        <v>1053.2546649996646</v>
      </c>
      <c r="L1550" s="5">
        <f t="shared" si="190"/>
        <v>8.2804254745416223E-2</v>
      </c>
    </row>
    <row r="1551" spans="2:12">
      <c r="B1551">
        <v>15.072265625</v>
      </c>
      <c r="C1551">
        <v>2.5146857369691098</v>
      </c>
      <c r="D1551">
        <v>48.489445312500003</v>
      </c>
      <c r="E1551" s="5">
        <f t="shared" si="184"/>
        <v>48489.4453125</v>
      </c>
      <c r="F1551" s="5">
        <v>0.86435180855914995</v>
      </c>
      <c r="G1551">
        <f t="shared" si="185"/>
        <v>969.78890624999997</v>
      </c>
      <c r="H1551">
        <f t="shared" si="186"/>
        <v>8.6435180855914992E-2</v>
      </c>
      <c r="I1551">
        <f t="shared" si="187"/>
        <v>8.4901860265498785E-2</v>
      </c>
      <c r="J1551">
        <f t="shared" si="188"/>
        <v>9073.1940967575138</v>
      </c>
      <c r="K1551" s="5">
        <f t="shared" si="189"/>
        <v>1053.6127857537786</v>
      </c>
      <c r="L1551" s="5">
        <f t="shared" si="190"/>
        <v>8.2901860265498784E-2</v>
      </c>
    </row>
    <row r="1552" spans="2:12">
      <c r="B1552">
        <v>15.08203125</v>
      </c>
      <c r="C1552">
        <v>2.5169120635837299</v>
      </c>
      <c r="D1552">
        <v>48.475613281249998</v>
      </c>
      <c r="E1552" s="5">
        <f t="shared" si="184"/>
        <v>48475.61328125</v>
      </c>
      <c r="F1552" s="5">
        <v>0.86541223572567105</v>
      </c>
      <c r="G1552">
        <f t="shared" si="185"/>
        <v>969.51226562500005</v>
      </c>
      <c r="H1552">
        <f t="shared" si="186"/>
        <v>8.6541223572567105E-2</v>
      </c>
      <c r="I1552">
        <f t="shared" si="187"/>
        <v>8.4999461616825214E-2</v>
      </c>
      <c r="J1552">
        <f t="shared" si="188"/>
        <v>9083.876076653436</v>
      </c>
      <c r="K1552" s="5">
        <f t="shared" si="189"/>
        <v>1053.4150433607992</v>
      </c>
      <c r="L1552" s="5">
        <f t="shared" si="190"/>
        <v>8.2999461616825213E-2</v>
      </c>
    </row>
    <row r="1553" spans="2:12">
      <c r="B1553">
        <v>15.091796875</v>
      </c>
      <c r="C1553">
        <v>2.5177167262881999</v>
      </c>
      <c r="D1553">
        <v>48.477394531249999</v>
      </c>
      <c r="E1553" s="5">
        <f t="shared" si="184"/>
        <v>48477.39453125</v>
      </c>
      <c r="F1553" s="5">
        <v>0.86640473455190703</v>
      </c>
      <c r="G1553">
        <f t="shared" si="185"/>
        <v>969.54789062500004</v>
      </c>
      <c r="H1553">
        <f t="shared" si="186"/>
        <v>8.66404734551907E-2</v>
      </c>
      <c r="I1553">
        <f t="shared" si="187"/>
        <v>8.5090802237656235E-2</v>
      </c>
      <c r="J1553">
        <f t="shared" si="188"/>
        <v>9093.8728509002867</v>
      </c>
      <c r="K1553" s="5">
        <f t="shared" si="189"/>
        <v>1053.5499789062314</v>
      </c>
      <c r="L1553" s="5">
        <f t="shared" si="190"/>
        <v>8.3090802237656233E-2</v>
      </c>
    </row>
    <row r="1554" spans="2:12">
      <c r="B1554">
        <v>15.1015625</v>
      </c>
      <c r="C1554">
        <v>2.5191083550453199</v>
      </c>
      <c r="D1554">
        <v>48.473835937499999</v>
      </c>
      <c r="E1554" s="5">
        <f t="shared" si="184"/>
        <v>48473.8359375</v>
      </c>
      <c r="F1554" s="5">
        <v>0.86741102859377905</v>
      </c>
      <c r="G1554">
        <f t="shared" si="185"/>
        <v>969.47671875000003</v>
      </c>
      <c r="H1554">
        <f t="shared" si="186"/>
        <v>8.6741102859377903E-2</v>
      </c>
      <c r="I1554">
        <f t="shared" si="187"/>
        <v>8.5183403928363252E-2</v>
      </c>
      <c r="J1554">
        <f t="shared" si="188"/>
        <v>9104.0076429397159</v>
      </c>
      <c r="K1554" s="5">
        <f t="shared" si="189"/>
        <v>1053.570198530866</v>
      </c>
      <c r="L1554" s="5">
        <f t="shared" si="190"/>
        <v>8.318340392836325E-2</v>
      </c>
    </row>
    <row r="1555" spans="2:12">
      <c r="B1555">
        <v>15.111328125</v>
      </c>
      <c r="C1555">
        <v>2.5207786820828901</v>
      </c>
      <c r="D1555">
        <v>48.477414062500003</v>
      </c>
      <c r="E1555" s="5">
        <f t="shared" si="184"/>
        <v>48477.4140625</v>
      </c>
      <c r="F1555" s="5">
        <v>0.86851191008463502</v>
      </c>
      <c r="G1555">
        <f t="shared" si="185"/>
        <v>969.54828124999995</v>
      </c>
      <c r="H1555">
        <f t="shared" si="186"/>
        <v>8.6851191008463502E-2</v>
      </c>
      <c r="I1555">
        <f t="shared" si="187"/>
        <v>8.5284699971315145E-2</v>
      </c>
      <c r="J1555">
        <f t="shared" si="188"/>
        <v>9115.0939883605861</v>
      </c>
      <c r="K1555" s="5">
        <f t="shared" si="189"/>
        <v>1053.7547042167712</v>
      </c>
      <c r="L1555" s="5">
        <f t="shared" si="190"/>
        <v>8.3284699971315143E-2</v>
      </c>
    </row>
    <row r="1556" spans="2:12">
      <c r="B1556">
        <v>15.12109375</v>
      </c>
      <c r="C1556">
        <v>2.5230078026652301</v>
      </c>
      <c r="D1556">
        <v>48.4880390625</v>
      </c>
      <c r="E1556" s="5">
        <f t="shared" si="184"/>
        <v>48488.0390625</v>
      </c>
      <c r="F1556" s="5">
        <v>0.86956069571897399</v>
      </c>
      <c r="G1556">
        <f t="shared" si="185"/>
        <v>969.76078125000004</v>
      </c>
      <c r="H1556">
        <f t="shared" si="186"/>
        <v>8.6956069571897401E-2</v>
      </c>
      <c r="I1556">
        <f t="shared" si="187"/>
        <v>8.5381192945110138E-2</v>
      </c>
      <c r="J1556">
        <f t="shared" si="188"/>
        <v>9125.6546618775792</v>
      </c>
      <c r="K1556" s="5">
        <f t="shared" si="189"/>
        <v>1054.0873672124726</v>
      </c>
      <c r="L1556" s="5">
        <f t="shared" si="190"/>
        <v>8.3381192945110136E-2</v>
      </c>
    </row>
    <row r="1557" spans="2:12">
      <c r="B1557">
        <v>15.130859375</v>
      </c>
      <c r="C1557">
        <v>2.5242434348910998</v>
      </c>
      <c r="D1557">
        <v>48.477140624999997</v>
      </c>
      <c r="E1557" s="5">
        <f t="shared" si="184"/>
        <v>48477.140625</v>
      </c>
      <c r="F1557" s="5">
        <v>0.87063031969591997</v>
      </c>
      <c r="G1557">
        <f t="shared" si="185"/>
        <v>969.54281249999997</v>
      </c>
      <c r="H1557">
        <f t="shared" si="186"/>
        <v>8.7063031969592003E-2</v>
      </c>
      <c r="I1557">
        <f t="shared" si="187"/>
        <v>8.5479593550426849E-2</v>
      </c>
      <c r="J1557">
        <f t="shared" si="188"/>
        <v>9136.4241161264672</v>
      </c>
      <c r="K1557" s="5">
        <f t="shared" si="189"/>
        <v>1053.9541493805755</v>
      </c>
      <c r="L1557" s="5">
        <f t="shared" si="190"/>
        <v>8.3479593550426848E-2</v>
      </c>
    </row>
    <row r="1558" spans="2:12">
      <c r="B1558">
        <v>15.140625</v>
      </c>
      <c r="C1558">
        <v>2.5260983966291</v>
      </c>
      <c r="D1558">
        <v>48.482812500000001</v>
      </c>
      <c r="E1558" s="5">
        <f t="shared" si="184"/>
        <v>48482.8125</v>
      </c>
      <c r="F1558" s="5">
        <v>0.87173742940649401</v>
      </c>
      <c r="G1558">
        <f t="shared" si="185"/>
        <v>969.65625</v>
      </c>
      <c r="H1558">
        <f t="shared" si="186"/>
        <v>8.7173742940649404E-2</v>
      </c>
      <c r="I1558">
        <f t="shared" si="187"/>
        <v>8.5581432478395184E-2</v>
      </c>
      <c r="J1558">
        <f t="shared" si="188"/>
        <v>9147.5698775979599</v>
      </c>
      <c r="K1558" s="5">
        <f t="shared" si="189"/>
        <v>1054.1848146782941</v>
      </c>
      <c r="L1558" s="5">
        <f t="shared" si="190"/>
        <v>8.3581432478395182E-2</v>
      </c>
    </row>
    <row r="1559" spans="2:12">
      <c r="B1559">
        <v>15.150390625</v>
      </c>
      <c r="C1559">
        <v>2.5279507972300101</v>
      </c>
      <c r="D1559">
        <v>48.483582031250002</v>
      </c>
      <c r="E1559" s="5">
        <f t="shared" si="184"/>
        <v>48483.58203125</v>
      </c>
      <c r="F1559" s="5">
        <v>0.87279552826657902</v>
      </c>
      <c r="G1559">
        <f t="shared" si="185"/>
        <v>969.67164062500001</v>
      </c>
      <c r="H1559">
        <f t="shared" si="186"/>
        <v>8.7279552826657905E-2</v>
      </c>
      <c r="I1559">
        <f t="shared" si="187"/>
        <v>8.5678753387791573E-2</v>
      </c>
      <c r="J1559">
        <f t="shared" si="188"/>
        <v>9158.221164526849</v>
      </c>
      <c r="K1559" s="5">
        <f t="shared" si="189"/>
        <v>1054.3041478074417</v>
      </c>
      <c r="L1559" s="5">
        <f t="shared" si="190"/>
        <v>8.3678753387791571E-2</v>
      </c>
    </row>
    <row r="1560" spans="2:12">
      <c r="B1560">
        <v>15.16015625</v>
      </c>
      <c r="C1560">
        <v>2.5290786288678602</v>
      </c>
      <c r="D1560">
        <v>48.485089843750004</v>
      </c>
      <c r="E1560" s="5">
        <f t="shared" si="184"/>
        <v>48485.08984375</v>
      </c>
      <c r="F1560" s="5">
        <v>0.87383878417313099</v>
      </c>
      <c r="G1560">
        <f t="shared" si="185"/>
        <v>969.70179687500001</v>
      </c>
      <c r="H1560">
        <f t="shared" si="186"/>
        <v>8.7383878417313099E-2</v>
      </c>
      <c r="I1560">
        <f t="shared" si="187"/>
        <v>8.5774699812637245E-2</v>
      </c>
      <c r="J1560">
        <f t="shared" si="188"/>
        <v>9168.7220209940824</v>
      </c>
      <c r="K1560" s="5">
        <f t="shared" si="189"/>
        <v>1054.4381007941752</v>
      </c>
      <c r="L1560" s="5">
        <f t="shared" si="190"/>
        <v>8.3774699812637243E-2</v>
      </c>
    </row>
    <row r="1561" spans="2:12">
      <c r="B1561">
        <v>15.169921875</v>
      </c>
      <c r="C1561">
        <v>2.5302246212959298</v>
      </c>
      <c r="D1561">
        <v>48.47698046875</v>
      </c>
      <c r="E1561" s="5">
        <f t="shared" si="184"/>
        <v>48476.98046875</v>
      </c>
      <c r="F1561" s="5">
        <v>0.87495852494612303</v>
      </c>
      <c r="G1561">
        <f t="shared" si="185"/>
        <v>969.53960937500005</v>
      </c>
      <c r="H1561">
        <f t="shared" si="186"/>
        <v>8.7495852494612308E-2</v>
      </c>
      <c r="I1561">
        <f t="shared" si="187"/>
        <v>8.5877670175371942E-2</v>
      </c>
      <c r="J1561">
        <f t="shared" si="188"/>
        <v>9179.9916123435814</v>
      </c>
      <c r="K1561" s="5">
        <f t="shared" si="189"/>
        <v>1054.3703040245591</v>
      </c>
      <c r="L1561" s="5">
        <f t="shared" si="190"/>
        <v>8.3877670175371941E-2</v>
      </c>
    </row>
    <row r="1562" spans="2:12">
      <c r="B1562">
        <v>15.1796875</v>
      </c>
      <c r="C1562">
        <v>2.5322006549686198</v>
      </c>
      <c r="D1562">
        <v>48.472921874999997</v>
      </c>
      <c r="E1562" s="5">
        <f t="shared" si="184"/>
        <v>48472.921875</v>
      </c>
      <c r="F1562" s="5">
        <v>0.875986006576568</v>
      </c>
      <c r="G1562">
        <f t="shared" si="185"/>
        <v>969.45843749999995</v>
      </c>
      <c r="H1562">
        <f t="shared" si="186"/>
        <v>8.7598600657656803E-2</v>
      </c>
      <c r="I1562">
        <f t="shared" si="187"/>
        <v>8.5972147142082025E-2</v>
      </c>
      <c r="J1562">
        <f t="shared" si="188"/>
        <v>9190.3316439651662</v>
      </c>
      <c r="K1562" s="5">
        <f t="shared" si="189"/>
        <v>1054.3816400207584</v>
      </c>
      <c r="L1562" s="5">
        <f t="shared" si="190"/>
        <v>8.3972147142082024E-2</v>
      </c>
    </row>
    <row r="1563" spans="2:12">
      <c r="B1563">
        <v>15.189453125</v>
      </c>
      <c r="C1563">
        <v>2.5342509616166402</v>
      </c>
      <c r="D1563">
        <v>48.449410156250003</v>
      </c>
      <c r="E1563" s="5">
        <f t="shared" si="184"/>
        <v>48449.41015625</v>
      </c>
      <c r="F1563" s="5">
        <v>0.87696267291903496</v>
      </c>
      <c r="G1563">
        <f t="shared" si="185"/>
        <v>968.98820312500004</v>
      </c>
      <c r="H1563">
        <f t="shared" si="186"/>
        <v>8.7696267291903496E-2</v>
      </c>
      <c r="I1563">
        <f t="shared" si="187"/>
        <v>8.6061943367643293E-2</v>
      </c>
      <c r="J1563">
        <f t="shared" si="188"/>
        <v>9200.1593918717208</v>
      </c>
      <c r="K1563" s="5">
        <f t="shared" si="189"/>
        <v>1053.9648515889514</v>
      </c>
      <c r="L1563" s="5">
        <f t="shared" si="190"/>
        <v>8.4061943367643291E-2</v>
      </c>
    </row>
    <row r="1564" spans="2:12">
      <c r="B1564">
        <v>15.19921875</v>
      </c>
      <c r="C1564">
        <v>2.5340886786580099</v>
      </c>
      <c r="D1564">
        <v>48.432703125000003</v>
      </c>
      <c r="E1564" s="5">
        <f t="shared" si="184"/>
        <v>48432.703125</v>
      </c>
      <c r="F1564" s="5">
        <v>0.87800034089013901</v>
      </c>
      <c r="G1564">
        <f t="shared" si="185"/>
        <v>968.65406250000001</v>
      </c>
      <c r="H1564">
        <f t="shared" si="186"/>
        <v>8.7800034089013906E-2</v>
      </c>
      <c r="I1564">
        <f t="shared" si="187"/>
        <v>8.6157339344297687E-2</v>
      </c>
      <c r="J1564">
        <f t="shared" si="188"/>
        <v>9210.60000453666</v>
      </c>
      <c r="K1564" s="5">
        <f t="shared" si="189"/>
        <v>1053.7019222079618</v>
      </c>
      <c r="L1564" s="5">
        <f t="shared" si="190"/>
        <v>8.4157339344297685E-2</v>
      </c>
    </row>
    <row r="1565" spans="2:12">
      <c r="B1565">
        <v>15.208984375</v>
      </c>
      <c r="C1565">
        <v>2.5373443495482202</v>
      </c>
      <c r="D1565">
        <v>48.425972656250003</v>
      </c>
      <c r="E1565" s="5">
        <f t="shared" si="184"/>
        <v>48425.97265625</v>
      </c>
      <c r="F1565" s="5">
        <v>0.87901548249646999</v>
      </c>
      <c r="G1565">
        <f t="shared" si="185"/>
        <v>968.51945312500004</v>
      </c>
      <c r="H1565">
        <f t="shared" si="186"/>
        <v>8.7901548249646994E-2</v>
      </c>
      <c r="I1565">
        <f t="shared" si="187"/>
        <v>8.6250655598264503E-2</v>
      </c>
      <c r="J1565">
        <f t="shared" si="188"/>
        <v>9220.8130019520577</v>
      </c>
      <c r="K1565" s="5">
        <f t="shared" si="189"/>
        <v>1053.6538125645891</v>
      </c>
      <c r="L1565" s="5">
        <f t="shared" si="190"/>
        <v>8.4250655598264501E-2</v>
      </c>
    </row>
    <row r="1566" spans="2:12">
      <c r="B1566">
        <v>15.21875</v>
      </c>
      <c r="C1566">
        <v>2.5393338873982398</v>
      </c>
      <c r="D1566">
        <v>48.434964843750002</v>
      </c>
      <c r="E1566" s="5">
        <f t="shared" si="184"/>
        <v>48434.96484375</v>
      </c>
      <c r="F1566" s="5">
        <v>0.88007008889689997</v>
      </c>
      <c r="G1566">
        <f t="shared" si="185"/>
        <v>968.69929687499996</v>
      </c>
      <c r="H1566">
        <f t="shared" si="186"/>
        <v>8.800700888969E-2</v>
      </c>
      <c r="I1566">
        <f t="shared" si="187"/>
        <v>8.6347590407201733E-2</v>
      </c>
      <c r="J1566">
        <f t="shared" si="188"/>
        <v>9231.4220321161938</v>
      </c>
      <c r="K1566" s="5">
        <f t="shared" si="189"/>
        <v>1053.9516245065145</v>
      </c>
      <c r="L1566" s="5">
        <f t="shared" si="190"/>
        <v>8.4347590407201731E-2</v>
      </c>
    </row>
    <row r="1567" spans="2:12">
      <c r="B1567">
        <v>15.228515625</v>
      </c>
      <c r="C1567">
        <v>2.5396214332431599</v>
      </c>
      <c r="D1567">
        <v>48.460179687500002</v>
      </c>
      <c r="E1567" s="5">
        <f t="shared" si="184"/>
        <v>48460.1796875</v>
      </c>
      <c r="F1567" s="5">
        <v>0.88113325182348501</v>
      </c>
      <c r="G1567">
        <f t="shared" si="185"/>
        <v>969.20359374999998</v>
      </c>
      <c r="H1567">
        <f t="shared" si="186"/>
        <v>8.8113325182348504E-2</v>
      </c>
      <c r="I1567">
        <f t="shared" si="187"/>
        <v>8.6445302184513323E-2</v>
      </c>
      <c r="J1567">
        <f t="shared" si="188"/>
        <v>9242.1160975840612</v>
      </c>
      <c r="K1567" s="5">
        <f t="shared" si="189"/>
        <v>1054.6033451739945</v>
      </c>
      <c r="L1567" s="5">
        <f t="shared" si="190"/>
        <v>8.4445302184513321E-2</v>
      </c>
    </row>
    <row r="1568" spans="2:12">
      <c r="B1568">
        <v>15.23828125</v>
      </c>
      <c r="C1568">
        <v>2.5418372824788098</v>
      </c>
      <c r="D1568">
        <v>48.450023437500001</v>
      </c>
      <c r="E1568" s="5">
        <f t="shared" si="184"/>
        <v>48450.0234375</v>
      </c>
      <c r="F1568" s="5">
        <v>0.88226143270730994</v>
      </c>
      <c r="G1568">
        <f t="shared" si="185"/>
        <v>969.00046874999998</v>
      </c>
      <c r="H1568">
        <f t="shared" si="186"/>
        <v>8.8226143270731E-2</v>
      </c>
      <c r="I1568">
        <f t="shared" si="187"/>
        <v>8.6548979106352855E-2</v>
      </c>
      <c r="J1568">
        <f t="shared" si="188"/>
        <v>9253.4630182947876</v>
      </c>
      <c r="K1568" s="5">
        <f t="shared" si="189"/>
        <v>1054.491642935343</v>
      </c>
      <c r="L1568" s="5">
        <f t="shared" si="190"/>
        <v>8.4548979106352853E-2</v>
      </c>
    </row>
    <row r="1569" spans="2:12">
      <c r="B1569">
        <v>15.248046875</v>
      </c>
      <c r="C1569">
        <v>2.5444433558732298</v>
      </c>
      <c r="D1569">
        <v>48.463945312500002</v>
      </c>
      <c r="E1569" s="5">
        <f t="shared" si="184"/>
        <v>48463.9453125</v>
      </c>
      <c r="F1569" s="5">
        <v>0.88324415264651202</v>
      </c>
      <c r="G1569">
        <f t="shared" si="185"/>
        <v>969.27890624999998</v>
      </c>
      <c r="H1569">
        <f t="shared" si="186"/>
        <v>8.8324415264651207E-2</v>
      </c>
      <c r="I1569">
        <f t="shared" si="187"/>
        <v>8.6639279782899606E-2</v>
      </c>
      <c r="J1569">
        <f t="shared" si="188"/>
        <v>9263.3459758394474</v>
      </c>
      <c r="K1569" s="5">
        <f t="shared" si="189"/>
        <v>1054.8898988728918</v>
      </c>
      <c r="L1569" s="5">
        <f t="shared" si="190"/>
        <v>8.4639279782899604E-2</v>
      </c>
    </row>
    <row r="1570" spans="2:12">
      <c r="B1570">
        <v>15.2578125</v>
      </c>
      <c r="C1570">
        <v>2.5462568737566502</v>
      </c>
      <c r="D1570">
        <v>48.473347656249999</v>
      </c>
      <c r="E1570" s="5">
        <f t="shared" si="184"/>
        <v>48473.34765625</v>
      </c>
      <c r="F1570" s="5">
        <v>0.88436604710295796</v>
      </c>
      <c r="G1570">
        <f t="shared" si="185"/>
        <v>969.46695312500003</v>
      </c>
      <c r="H1570">
        <f t="shared" si="186"/>
        <v>8.8436604710295796E-2</v>
      </c>
      <c r="I1570">
        <f t="shared" si="187"/>
        <v>8.6742359032035782E-2</v>
      </c>
      <c r="J1570">
        <f t="shared" si="188"/>
        <v>9274.6274842611565</v>
      </c>
      <c r="K1570" s="5">
        <f t="shared" si="189"/>
        <v>1055.2033188382106</v>
      </c>
      <c r="L1570" s="5">
        <f t="shared" si="190"/>
        <v>8.474235903203578E-2</v>
      </c>
    </row>
    <row r="1571" spans="2:12">
      <c r="B1571">
        <v>15.267578125</v>
      </c>
      <c r="C1571">
        <v>2.5485411752015401</v>
      </c>
      <c r="D1571">
        <v>48.477609375</v>
      </c>
      <c r="E1571" s="5">
        <f t="shared" si="184"/>
        <v>48477.609375</v>
      </c>
      <c r="F1571" s="5">
        <v>0.885597080923617</v>
      </c>
      <c r="G1571">
        <f t="shared" si="185"/>
        <v>969.55218749999995</v>
      </c>
      <c r="H1571">
        <f t="shared" si="186"/>
        <v>8.8559708092361702E-2</v>
      </c>
      <c r="I1571">
        <f t="shared" si="187"/>
        <v>8.6855453740991559E-2</v>
      </c>
      <c r="J1571">
        <f t="shared" si="188"/>
        <v>9287.0051346828204</v>
      </c>
      <c r="K1571" s="5">
        <f t="shared" si="189"/>
        <v>1055.4154462053107</v>
      </c>
      <c r="L1571" s="5">
        <f t="shared" si="190"/>
        <v>8.4855453740991557E-2</v>
      </c>
    </row>
    <row r="1572" spans="2:12">
      <c r="B1572">
        <v>15.27734375</v>
      </c>
      <c r="C1572">
        <v>2.54985084757209</v>
      </c>
      <c r="D1572">
        <v>48.473894531249996</v>
      </c>
      <c r="E1572" s="5">
        <f t="shared" si="184"/>
        <v>48473.89453125</v>
      </c>
      <c r="F1572" s="5">
        <v>0.88658370077610005</v>
      </c>
      <c r="G1572">
        <f t="shared" si="185"/>
        <v>969.47789062499999</v>
      </c>
      <c r="H1572">
        <f t="shared" si="186"/>
        <v>8.8658370077610002E-2</v>
      </c>
      <c r="I1572">
        <f t="shared" si="187"/>
        <v>8.6946084979364138E-2</v>
      </c>
      <c r="J1572">
        <f t="shared" si="188"/>
        <v>9296.9242705665074</v>
      </c>
      <c r="K1572" s="5">
        <f t="shared" si="189"/>
        <v>1055.4302202340918</v>
      </c>
      <c r="L1572" s="5">
        <f t="shared" si="190"/>
        <v>8.4946084979364136E-2</v>
      </c>
    </row>
    <row r="1573" spans="2:12">
      <c r="B1573">
        <v>15.287109375</v>
      </c>
      <c r="C1573">
        <v>2.5512173306196901</v>
      </c>
      <c r="D1573">
        <v>48.46142578125</v>
      </c>
      <c r="E1573" s="5">
        <f t="shared" si="184"/>
        <v>48461.42578125</v>
      </c>
      <c r="F1573" s="5">
        <v>0.88772620074451003</v>
      </c>
      <c r="G1573">
        <f t="shared" si="185"/>
        <v>969.228515625</v>
      </c>
      <c r="H1573">
        <f t="shared" si="186"/>
        <v>8.8772620074450997E-2</v>
      </c>
      <c r="I1573">
        <f t="shared" si="187"/>
        <v>8.705102515653855E-2</v>
      </c>
      <c r="J1573">
        <f t="shared" si="188"/>
        <v>9308.4094482573619</v>
      </c>
      <c r="K1573" s="5">
        <f t="shared" si="189"/>
        <v>1055.2694704079022</v>
      </c>
      <c r="L1573" s="5">
        <f t="shared" si="190"/>
        <v>8.5051025156538548E-2</v>
      </c>
    </row>
    <row r="1574" spans="2:12">
      <c r="B1574">
        <v>15.296875</v>
      </c>
      <c r="C1574">
        <v>2.5527135003358099</v>
      </c>
      <c r="D1574">
        <v>48.445667968750001</v>
      </c>
      <c r="E1574" s="5">
        <f t="shared" si="184"/>
        <v>48445.66796875</v>
      </c>
      <c r="F1574" s="5">
        <v>0.88872510241344604</v>
      </c>
      <c r="G1574">
        <f t="shared" si="185"/>
        <v>968.91335937500003</v>
      </c>
      <c r="H1574">
        <f t="shared" si="186"/>
        <v>8.8872510241344599E-2</v>
      </c>
      <c r="I1574">
        <f t="shared" si="187"/>
        <v>8.7142766612088904E-2</v>
      </c>
      <c r="J1574">
        <f t="shared" si="188"/>
        <v>9318.4500918600697</v>
      </c>
      <c r="K1574" s="5">
        <f t="shared" si="189"/>
        <v>1055.0231218290303</v>
      </c>
      <c r="L1574" s="5">
        <f t="shared" si="190"/>
        <v>8.5142766612088902E-2</v>
      </c>
    </row>
    <row r="1575" spans="2:12">
      <c r="B1575">
        <v>15.306640625</v>
      </c>
      <c r="C1575">
        <v>2.5546015240252</v>
      </c>
      <c r="D1575">
        <v>48.439101562499999</v>
      </c>
      <c r="E1575" s="5">
        <f t="shared" si="184"/>
        <v>48439.1015625</v>
      </c>
      <c r="F1575" s="5">
        <v>0.88976282859221101</v>
      </c>
      <c r="G1575">
        <f t="shared" si="185"/>
        <v>968.78203125000005</v>
      </c>
      <c r="H1575">
        <f t="shared" si="186"/>
        <v>8.8976282859221101E-2</v>
      </c>
      <c r="I1575">
        <f t="shared" si="187"/>
        <v>8.7238064888336381E-2</v>
      </c>
      <c r="J1575">
        <f t="shared" si="188"/>
        <v>9328.8800117039755</v>
      </c>
      <c r="K1575" s="5">
        <f t="shared" si="189"/>
        <v>1054.9806552914308</v>
      </c>
      <c r="L1575" s="5">
        <f t="shared" si="190"/>
        <v>8.5238064888336379E-2</v>
      </c>
    </row>
    <row r="1576" spans="2:12">
      <c r="B1576">
        <v>15.31640625</v>
      </c>
      <c r="C1576">
        <v>2.5552765000611499</v>
      </c>
      <c r="D1576">
        <v>48.416207031250003</v>
      </c>
      <c r="E1576" s="5">
        <f t="shared" si="184"/>
        <v>48416.20703125</v>
      </c>
      <c r="F1576" s="5">
        <v>0.890778785105795</v>
      </c>
      <c r="G1576">
        <f t="shared" si="185"/>
        <v>968.32414062500004</v>
      </c>
      <c r="H1576">
        <f t="shared" si="186"/>
        <v>8.9077878510579495E-2</v>
      </c>
      <c r="I1576">
        <f t="shared" si="187"/>
        <v>8.7331355177654224E-2</v>
      </c>
      <c r="J1576">
        <f t="shared" si="188"/>
        <v>9339.090167418366</v>
      </c>
      <c r="K1576" s="5">
        <f t="shared" si="189"/>
        <v>1054.5804007824552</v>
      </c>
      <c r="L1576" s="5">
        <f t="shared" si="190"/>
        <v>8.5331355177654222E-2</v>
      </c>
    </row>
    <row r="1577" spans="2:12">
      <c r="B1577">
        <v>15.326171875</v>
      </c>
      <c r="C1577">
        <v>2.5571540463715801</v>
      </c>
      <c r="D1577">
        <v>48.430640625000002</v>
      </c>
      <c r="E1577" s="5">
        <f t="shared" si="184"/>
        <v>48430.640625</v>
      </c>
      <c r="F1577" s="5">
        <v>0.89192640734836504</v>
      </c>
      <c r="G1577">
        <f t="shared" si="185"/>
        <v>968.61281250000002</v>
      </c>
      <c r="H1577">
        <f t="shared" si="186"/>
        <v>8.9192640734836501E-2</v>
      </c>
      <c r="I1577">
        <f t="shared" si="187"/>
        <v>8.743672521626901E-2</v>
      </c>
      <c r="J1577">
        <f t="shared" si="188"/>
        <v>9350.6223912945607</v>
      </c>
      <c r="K1577" s="5">
        <f t="shared" si="189"/>
        <v>1055.005947096472</v>
      </c>
      <c r="L1577" s="5">
        <f t="shared" si="190"/>
        <v>8.5436725216269008E-2</v>
      </c>
    </row>
    <row r="1578" spans="2:12">
      <c r="B1578">
        <v>15.3359375</v>
      </c>
      <c r="C1578">
        <v>2.5598525535315302</v>
      </c>
      <c r="D1578">
        <v>48.445617187499998</v>
      </c>
      <c r="E1578" s="5">
        <f t="shared" si="184"/>
        <v>48445.6171875</v>
      </c>
      <c r="F1578" s="5">
        <v>0.89302932610735297</v>
      </c>
      <c r="G1578">
        <f t="shared" si="185"/>
        <v>968.91234374999999</v>
      </c>
      <c r="H1578">
        <f t="shared" si="186"/>
        <v>8.9302932610735297E-2</v>
      </c>
      <c r="I1578">
        <f t="shared" si="187"/>
        <v>8.7537980300137458E-2</v>
      </c>
      <c r="J1578">
        <f t="shared" si="188"/>
        <v>9361.7042539485446</v>
      </c>
      <c r="K1578" s="5">
        <f t="shared" si="189"/>
        <v>1055.4390574896158</v>
      </c>
      <c r="L1578" s="5">
        <f t="shared" si="190"/>
        <v>8.5537980300137456E-2</v>
      </c>
    </row>
    <row r="1579" spans="2:12">
      <c r="B1579">
        <v>15.345703125</v>
      </c>
      <c r="C1579">
        <v>2.56094941869378</v>
      </c>
      <c r="D1579">
        <v>48.438992187499998</v>
      </c>
      <c r="E1579" s="5">
        <f t="shared" si="184"/>
        <v>48438.9921875</v>
      </c>
      <c r="F1579" s="5">
        <v>0.89409603970125295</v>
      </c>
      <c r="G1579">
        <f t="shared" si="185"/>
        <v>968.77984375000005</v>
      </c>
      <c r="H1579">
        <f t="shared" si="186"/>
        <v>8.940960397012529E-2</v>
      </c>
      <c r="I1579">
        <f t="shared" si="187"/>
        <v>8.7635901763097088E-2</v>
      </c>
      <c r="J1579">
        <f t="shared" si="188"/>
        <v>9372.4212684621598</v>
      </c>
      <c r="K1579" s="5">
        <f t="shared" si="189"/>
        <v>1055.3980659139274</v>
      </c>
      <c r="L1579" s="5">
        <f t="shared" si="190"/>
        <v>8.5635901763097086E-2</v>
      </c>
    </row>
    <row r="1580" spans="2:12">
      <c r="B1580">
        <v>15.35546875</v>
      </c>
      <c r="C1580">
        <v>2.5616034399718002</v>
      </c>
      <c r="D1580">
        <v>48.45044140625</v>
      </c>
      <c r="E1580" s="5">
        <f t="shared" si="184"/>
        <v>48450.44140625</v>
      </c>
      <c r="F1580" s="5">
        <v>0.89521793415769901</v>
      </c>
      <c r="G1580">
        <f t="shared" si="185"/>
        <v>969.00882812500004</v>
      </c>
      <c r="H1580">
        <f t="shared" si="186"/>
        <v>8.9521793415769907E-2</v>
      </c>
      <c r="I1580">
        <f t="shared" si="187"/>
        <v>8.7738878337649512E-2</v>
      </c>
      <c r="J1580">
        <f t="shared" si="188"/>
        <v>9383.6915396640507</v>
      </c>
      <c r="K1580" s="5">
        <f t="shared" si="189"/>
        <v>1055.7562362544636</v>
      </c>
      <c r="L1580" s="5">
        <f t="shared" si="190"/>
        <v>8.573887833764951E-2</v>
      </c>
    </row>
    <row r="1581" spans="2:12">
      <c r="B1581">
        <v>15.365234375</v>
      </c>
      <c r="C1581">
        <v>2.5618777144700302</v>
      </c>
      <c r="D1581">
        <v>48.415781250000002</v>
      </c>
      <c r="E1581" s="5">
        <f t="shared" si="184"/>
        <v>48415.78125</v>
      </c>
      <c r="F1581" s="5">
        <v>0.89613610180094805</v>
      </c>
      <c r="G1581">
        <f t="shared" si="185"/>
        <v>968.31562499999995</v>
      </c>
      <c r="H1581">
        <f t="shared" si="186"/>
        <v>8.961361018009481E-2</v>
      </c>
      <c r="I1581">
        <f t="shared" si="187"/>
        <v>8.7823147322704534E-2</v>
      </c>
      <c r="J1581">
        <f t="shared" si="188"/>
        <v>9392.9143587333983</v>
      </c>
      <c r="K1581" s="5">
        <f t="shared" si="189"/>
        <v>1055.0898839500449</v>
      </c>
      <c r="L1581" s="5">
        <f t="shared" si="190"/>
        <v>8.5823147322704532E-2</v>
      </c>
    </row>
    <row r="1582" spans="2:12">
      <c r="B1582">
        <v>15.375</v>
      </c>
      <c r="C1582">
        <v>2.5655671488493699</v>
      </c>
      <c r="D1582">
        <v>48.4028671875</v>
      </c>
      <c r="E1582" s="5">
        <f t="shared" si="184"/>
        <v>48402.8671875</v>
      </c>
      <c r="F1582" s="5">
        <v>0.89724001009017196</v>
      </c>
      <c r="G1582">
        <f t="shared" si="185"/>
        <v>968.05734374999997</v>
      </c>
      <c r="H1582">
        <f t="shared" si="186"/>
        <v>8.9724001009017201E-2</v>
      </c>
      <c r="I1582">
        <f t="shared" si="187"/>
        <v>8.7924454094496132E-2</v>
      </c>
      <c r="J1582">
        <f t="shared" si="188"/>
        <v>9404.0018783721298</v>
      </c>
      <c r="K1582" s="5">
        <f t="shared" si="189"/>
        <v>1054.9153218374115</v>
      </c>
      <c r="L1582" s="5">
        <f t="shared" si="190"/>
        <v>8.592445409449613E-2</v>
      </c>
    </row>
    <row r="1583" spans="2:12">
      <c r="B1583">
        <v>15.384765625</v>
      </c>
      <c r="C1583">
        <v>2.56651779636741</v>
      </c>
      <c r="D1583">
        <v>48.41671484375</v>
      </c>
      <c r="E1583" s="5">
        <f t="shared" si="184"/>
        <v>48416.71484375</v>
      </c>
      <c r="F1583" s="5">
        <v>0.89837302220985304</v>
      </c>
      <c r="G1583">
        <f t="shared" si="185"/>
        <v>968.33429687499995</v>
      </c>
      <c r="H1583">
        <f t="shared" si="186"/>
        <v>8.9837302220985307E-2</v>
      </c>
      <c r="I1583">
        <f t="shared" si="187"/>
        <v>8.8028421082625555E-2</v>
      </c>
      <c r="J1583">
        <f t="shared" si="188"/>
        <v>9415.380545387954</v>
      </c>
      <c r="K1583" s="5">
        <f t="shared" si="189"/>
        <v>1055.3268377543045</v>
      </c>
      <c r="L1583" s="5">
        <f t="shared" si="190"/>
        <v>8.6028421082625553E-2</v>
      </c>
    </row>
    <row r="1584" spans="2:12">
      <c r="B1584">
        <v>15.39453125</v>
      </c>
      <c r="C1584">
        <v>2.5680586695671099</v>
      </c>
      <c r="D1584">
        <v>48.407796875000003</v>
      </c>
      <c r="E1584" s="5">
        <f t="shared" si="184"/>
        <v>48407.796875</v>
      </c>
      <c r="F1584" s="5">
        <v>0.89934770949184895</v>
      </c>
      <c r="G1584">
        <f t="shared" si="185"/>
        <v>968.15593750000005</v>
      </c>
      <c r="H1584">
        <f t="shared" si="186"/>
        <v>8.9934770949184895E-2</v>
      </c>
      <c r="I1584">
        <f t="shared" si="187"/>
        <v>8.8117851284493218E-2</v>
      </c>
      <c r="J1584">
        <f t="shared" si="188"/>
        <v>9425.1682338313603</v>
      </c>
      <c r="K1584" s="5">
        <f t="shared" si="189"/>
        <v>1055.226819982156</v>
      </c>
      <c r="L1584" s="5">
        <f t="shared" si="190"/>
        <v>8.6117851284493216E-2</v>
      </c>
    </row>
    <row r="1585" spans="2:12">
      <c r="B1585">
        <v>15.404296875</v>
      </c>
      <c r="C1585">
        <v>2.5696964003145699</v>
      </c>
      <c r="D1585">
        <v>48.408023437499999</v>
      </c>
      <c r="E1585" s="5">
        <f t="shared" si="184"/>
        <v>48408.0234375</v>
      </c>
      <c r="F1585" s="5">
        <v>0.90043514501303401</v>
      </c>
      <c r="G1585">
        <f t="shared" si="185"/>
        <v>968.16046874999995</v>
      </c>
      <c r="H1585">
        <f t="shared" si="186"/>
        <v>9.0043514501303407E-2</v>
      </c>
      <c r="I1585">
        <f t="shared" si="187"/>
        <v>8.8217617005036872E-2</v>
      </c>
      <c r="J1585">
        <f t="shared" si="188"/>
        <v>9436.0870931162608</v>
      </c>
      <c r="K1585" s="5">
        <f t="shared" si="189"/>
        <v>1055.3370399574792</v>
      </c>
      <c r="L1585" s="5">
        <f t="shared" si="190"/>
        <v>8.621761700503687E-2</v>
      </c>
    </row>
    <row r="1586" spans="2:12">
      <c r="B1586">
        <v>15.4140625</v>
      </c>
      <c r="C1586">
        <v>2.5714873336255599</v>
      </c>
      <c r="D1586">
        <v>48.402320312500002</v>
      </c>
      <c r="E1586" s="5">
        <f t="shared" si="184"/>
        <v>48402.3203125</v>
      </c>
      <c r="F1586" s="5">
        <v>0.90150767937302601</v>
      </c>
      <c r="G1586">
        <f t="shared" si="185"/>
        <v>968.04640625000002</v>
      </c>
      <c r="H1586">
        <f t="shared" si="186"/>
        <v>9.0150767937302603E-2</v>
      </c>
      <c r="I1586">
        <f t="shared" si="187"/>
        <v>8.8316005884367124E-2</v>
      </c>
      <c r="J1586">
        <f t="shared" si="188"/>
        <v>9446.855264014559</v>
      </c>
      <c r="K1586" s="5">
        <f t="shared" si="189"/>
        <v>1055.3165331723835</v>
      </c>
      <c r="L1586" s="5">
        <f t="shared" si="190"/>
        <v>8.6316005884367122E-2</v>
      </c>
    </row>
    <row r="1587" spans="2:12">
      <c r="B1587">
        <v>15.423828125</v>
      </c>
      <c r="C1587">
        <v>2.5722398422658399</v>
      </c>
      <c r="D1587">
        <v>48.399382812500001</v>
      </c>
      <c r="E1587" s="5">
        <f t="shared" si="184"/>
        <v>48399.3828125</v>
      </c>
      <c r="F1587" s="5">
        <v>0.90248003834858503</v>
      </c>
      <c r="G1587">
        <f t="shared" si="185"/>
        <v>967.98765624999999</v>
      </c>
      <c r="H1587">
        <f t="shared" si="186"/>
        <v>9.0248003834858509E-2</v>
      </c>
      <c r="I1587">
        <f t="shared" si="187"/>
        <v>8.8405196814832901E-2</v>
      </c>
      <c r="J1587">
        <f t="shared" si="188"/>
        <v>9456.6167653993871</v>
      </c>
      <c r="K1587" s="5">
        <f t="shared" si="189"/>
        <v>1055.3466099633456</v>
      </c>
      <c r="L1587" s="5">
        <f t="shared" si="190"/>
        <v>8.6405196814832899E-2</v>
      </c>
    </row>
    <row r="1588" spans="2:12">
      <c r="B1588">
        <v>15.43359375</v>
      </c>
      <c r="C1588">
        <v>2.57458840496838</v>
      </c>
      <c r="D1588">
        <v>48.398703124999997</v>
      </c>
      <c r="E1588" s="5">
        <f t="shared" si="184"/>
        <v>48398.703125</v>
      </c>
      <c r="F1588" s="5">
        <v>0.90356456348672498</v>
      </c>
      <c r="G1588">
        <f t="shared" si="185"/>
        <v>967.97406249999995</v>
      </c>
      <c r="H1588">
        <f t="shared" si="186"/>
        <v>9.0356456348672495E-2</v>
      </c>
      <c r="I1588">
        <f t="shared" si="187"/>
        <v>8.8504666953396469E-2</v>
      </c>
      <c r="J1588">
        <f t="shared" si="188"/>
        <v>9467.503274714476</v>
      </c>
      <c r="K1588" s="5">
        <f t="shared" si="189"/>
        <v>1055.4367686249284</v>
      </c>
      <c r="L1588" s="5">
        <f t="shared" si="190"/>
        <v>8.6504666953396467E-2</v>
      </c>
    </row>
    <row r="1589" spans="2:12">
      <c r="B1589">
        <v>15.443359375</v>
      </c>
      <c r="C1589">
        <v>2.57772067561746</v>
      </c>
      <c r="D1589">
        <v>48.407113281249998</v>
      </c>
      <c r="E1589" s="5">
        <f t="shared" si="184"/>
        <v>48407.11328125</v>
      </c>
      <c r="F1589" s="5">
        <v>0.90469652786850896</v>
      </c>
      <c r="G1589">
        <f t="shared" si="185"/>
        <v>968.14226562500005</v>
      </c>
      <c r="H1589">
        <f t="shared" si="186"/>
        <v>9.0469652786850902E-2</v>
      </c>
      <c r="I1589">
        <f t="shared" si="187"/>
        <v>8.8608477557832924E-2</v>
      </c>
      <c r="J1589">
        <f t="shared" si="188"/>
        <v>9478.8648263170235</v>
      </c>
      <c r="K1589" s="5">
        <f t="shared" si="189"/>
        <v>1055.7297602443691</v>
      </c>
      <c r="L1589" s="5">
        <f t="shared" si="190"/>
        <v>8.6608477557832922E-2</v>
      </c>
    </row>
    <row r="1590" spans="2:12">
      <c r="B1590">
        <v>15.453125</v>
      </c>
      <c r="C1590">
        <v>2.57874862290919</v>
      </c>
      <c r="D1590">
        <v>48.432828125</v>
      </c>
      <c r="E1590" s="5">
        <f t="shared" si="184"/>
        <v>48432.828125</v>
      </c>
      <c r="F1590" s="5">
        <v>0.90585311409086</v>
      </c>
      <c r="G1590">
        <f t="shared" si="185"/>
        <v>968.65656249999995</v>
      </c>
      <c r="H1590">
        <f t="shared" si="186"/>
        <v>9.0585311409086003E-2</v>
      </c>
      <c r="I1590">
        <f t="shared" si="187"/>
        <v>8.8714535061419145E-2</v>
      </c>
      <c r="J1590">
        <f t="shared" si="188"/>
        <v>9490.4722897970187</v>
      </c>
      <c r="K1590" s="5">
        <f t="shared" si="189"/>
        <v>1056.4026188625171</v>
      </c>
      <c r="L1590" s="5">
        <f t="shared" si="190"/>
        <v>8.6714535061419143E-2</v>
      </c>
    </row>
    <row r="1591" spans="2:12">
      <c r="B1591">
        <v>15.462890625</v>
      </c>
      <c r="C1591">
        <v>2.57998844608665</v>
      </c>
      <c r="D1591">
        <v>48.429808593750003</v>
      </c>
      <c r="E1591" s="5">
        <f t="shared" si="184"/>
        <v>48429.80859375</v>
      </c>
      <c r="F1591" s="5">
        <v>0.90688519412651702</v>
      </c>
      <c r="G1591">
        <f t="shared" si="185"/>
        <v>968.59617187499998</v>
      </c>
      <c r="H1591">
        <f t="shared" si="186"/>
        <v>9.06885194126517E-2</v>
      </c>
      <c r="I1591">
        <f t="shared" si="187"/>
        <v>8.8809166007964541E-2</v>
      </c>
      <c r="J1591">
        <f t="shared" si="188"/>
        <v>9500.8291737416785</v>
      </c>
      <c r="K1591" s="5">
        <f t="shared" si="189"/>
        <v>1056.436724611106</v>
      </c>
      <c r="L1591" s="5">
        <f t="shared" si="190"/>
        <v>8.6809166007964539E-2</v>
      </c>
    </row>
    <row r="1592" spans="2:12">
      <c r="B1592">
        <v>15.47265625</v>
      </c>
      <c r="C1592">
        <v>2.5814711116254299</v>
      </c>
      <c r="D1592">
        <v>48.427445312499998</v>
      </c>
      <c r="E1592" s="5">
        <f t="shared" si="184"/>
        <v>48427.4453125</v>
      </c>
      <c r="F1592" s="5">
        <v>0.90811512200161804</v>
      </c>
      <c r="G1592">
        <f t="shared" si="185"/>
        <v>968.54890624999996</v>
      </c>
      <c r="H1592">
        <f t="shared" si="186"/>
        <v>9.0811512200161801E-2</v>
      </c>
      <c r="I1592">
        <f t="shared" si="187"/>
        <v>8.8921925839143226E-2</v>
      </c>
      <c r="J1592">
        <f t="shared" si="188"/>
        <v>9513.1701734650305</v>
      </c>
      <c r="K1592" s="5">
        <f t="shared" si="189"/>
        <v>1056.5042970663751</v>
      </c>
      <c r="L1592" s="5">
        <f t="shared" si="190"/>
        <v>8.6921925839143224E-2</v>
      </c>
    </row>
    <row r="1593" spans="2:12">
      <c r="B1593">
        <v>15.482421875</v>
      </c>
      <c r="C1593">
        <v>2.58332490921021</v>
      </c>
      <c r="D1593">
        <v>48.436480468749998</v>
      </c>
      <c r="E1593" s="5">
        <f t="shared" si="184"/>
        <v>48436.48046875</v>
      </c>
      <c r="F1593" s="5">
        <v>0.9092265390791</v>
      </c>
      <c r="G1593">
        <f t="shared" si="185"/>
        <v>968.729609375</v>
      </c>
      <c r="H1593">
        <f t="shared" si="186"/>
        <v>9.0922653907910003E-2</v>
      </c>
      <c r="I1593">
        <f t="shared" si="187"/>
        <v>8.9023809661261277E-2</v>
      </c>
      <c r="J1593">
        <f t="shared" si="188"/>
        <v>9524.3208483767412</v>
      </c>
      <c r="K1593" s="5">
        <f t="shared" si="189"/>
        <v>1056.8090763785478</v>
      </c>
      <c r="L1593" s="5">
        <f t="shared" si="190"/>
        <v>8.7023809661261275E-2</v>
      </c>
    </row>
    <row r="1594" spans="2:12">
      <c r="B1594">
        <v>15.4921875</v>
      </c>
      <c r="C1594">
        <v>2.5848865043371898</v>
      </c>
      <c r="D1594">
        <v>48.428183593749999</v>
      </c>
      <c r="E1594" s="5">
        <f t="shared" si="184"/>
        <v>48428.18359375</v>
      </c>
      <c r="F1594" s="5">
        <v>0.91027206508442804</v>
      </c>
      <c r="G1594">
        <f t="shared" si="185"/>
        <v>968.56367187499995</v>
      </c>
      <c r="H1594">
        <f t="shared" si="186"/>
        <v>9.1027206508442801E-2</v>
      </c>
      <c r="I1594">
        <f t="shared" si="187"/>
        <v>8.9119643761310527E-2</v>
      </c>
      <c r="J1594">
        <f t="shared" si="188"/>
        <v>9534.8094114566302</v>
      </c>
      <c r="K1594" s="5">
        <f t="shared" si="189"/>
        <v>1056.7293172513412</v>
      </c>
      <c r="L1594" s="5">
        <f t="shared" si="190"/>
        <v>8.7119643761310525E-2</v>
      </c>
    </row>
    <row r="1595" spans="2:12">
      <c r="B1595">
        <v>15.501953125</v>
      </c>
      <c r="C1595">
        <v>2.5865866336971499</v>
      </c>
      <c r="D1595">
        <v>48.398761718750002</v>
      </c>
      <c r="E1595" s="5">
        <f t="shared" si="184"/>
        <v>48398.76171875</v>
      </c>
      <c r="F1595" s="5">
        <v>0.91147271450609002</v>
      </c>
      <c r="G1595">
        <f t="shared" si="185"/>
        <v>967.97523437500001</v>
      </c>
      <c r="H1595">
        <f t="shared" si="186"/>
        <v>9.1147271450608996E-2</v>
      </c>
      <c r="I1595">
        <f t="shared" si="187"/>
        <v>8.9229685321689928E-2</v>
      </c>
      <c r="J1595">
        <f t="shared" si="188"/>
        <v>9546.852910032354</v>
      </c>
      <c r="K1595" s="5">
        <f t="shared" si="189"/>
        <v>1056.2035358200451</v>
      </c>
      <c r="L1595" s="5">
        <f t="shared" si="190"/>
        <v>8.7229685321689926E-2</v>
      </c>
    </row>
    <row r="1596" spans="2:12">
      <c r="B1596">
        <v>15.51171875</v>
      </c>
      <c r="C1596">
        <v>2.5878562591969998</v>
      </c>
      <c r="D1596">
        <v>48.390757812499999</v>
      </c>
      <c r="E1596" s="5">
        <f t="shared" si="184"/>
        <v>48390.7578125</v>
      </c>
      <c r="F1596" s="5">
        <v>0.91248773969709895</v>
      </c>
      <c r="G1596">
        <f t="shared" si="185"/>
        <v>967.81515624999997</v>
      </c>
      <c r="H1596">
        <f t="shared" si="186"/>
        <v>9.1248773969709901E-2</v>
      </c>
      <c r="I1596">
        <f t="shared" si="187"/>
        <v>8.9322704661041363E-2</v>
      </c>
      <c r="J1596">
        <f t="shared" si="188"/>
        <v>9557.0334116276717</v>
      </c>
      <c r="K1596" s="5">
        <f t="shared" si="189"/>
        <v>1056.1271026871157</v>
      </c>
      <c r="L1596" s="5">
        <f t="shared" si="190"/>
        <v>8.7322704661041362E-2</v>
      </c>
    </row>
    <row r="1597" spans="2:12">
      <c r="B1597">
        <v>15.521484375</v>
      </c>
      <c r="C1597">
        <v>2.5903284549713099</v>
      </c>
      <c r="D1597">
        <v>48.385046875</v>
      </c>
      <c r="E1597" s="5">
        <f t="shared" si="184"/>
        <v>48385.046875</v>
      </c>
      <c r="F1597" s="5">
        <v>0.91349007561802897</v>
      </c>
      <c r="G1597">
        <f t="shared" si="185"/>
        <v>967.70093750000001</v>
      </c>
      <c r="H1597">
        <f t="shared" si="186"/>
        <v>9.1349007561802892E-2</v>
      </c>
      <c r="I1597">
        <f t="shared" si="187"/>
        <v>8.9414552635058014E-2</v>
      </c>
      <c r="J1597">
        <f t="shared" si="188"/>
        <v>9567.0857131439243</v>
      </c>
      <c r="K1597" s="5">
        <f t="shared" si="189"/>
        <v>1056.0994577572512</v>
      </c>
      <c r="L1597" s="5">
        <f t="shared" si="190"/>
        <v>8.7414552635058013E-2</v>
      </c>
    </row>
    <row r="1598" spans="2:12">
      <c r="B1598">
        <v>15.53125</v>
      </c>
      <c r="C1598">
        <v>2.59218062274158</v>
      </c>
      <c r="D1598">
        <v>48.384097656249999</v>
      </c>
      <c r="E1598" s="5">
        <f t="shared" si="184"/>
        <v>48384.09765625</v>
      </c>
      <c r="F1598" s="5">
        <v>0.91465178411453996</v>
      </c>
      <c r="G1598">
        <f t="shared" si="185"/>
        <v>967.68195312499995</v>
      </c>
      <c r="H1598">
        <f t="shared" si="186"/>
        <v>9.146517841145399E-2</v>
      </c>
      <c r="I1598">
        <f t="shared" si="187"/>
        <v>8.9520993989990832E-2</v>
      </c>
      <c r="J1598">
        <f t="shared" si="188"/>
        <v>9578.7351872345462</v>
      </c>
      <c r="K1598" s="5">
        <f t="shared" si="189"/>
        <v>1056.1911556131222</v>
      </c>
      <c r="L1598" s="5">
        <f t="shared" si="190"/>
        <v>8.7520993989990831E-2</v>
      </c>
    </row>
    <row r="1599" spans="2:12">
      <c r="B1599">
        <v>15.541015625</v>
      </c>
      <c r="C1599">
        <v>2.5930628180503801</v>
      </c>
      <c r="D1599">
        <v>48.399886718749997</v>
      </c>
      <c r="E1599" s="5">
        <f t="shared" si="184"/>
        <v>48399.88671875</v>
      </c>
      <c r="F1599" s="5">
        <v>0.91576372506097004</v>
      </c>
      <c r="G1599">
        <f t="shared" si="185"/>
        <v>967.99773437500005</v>
      </c>
      <c r="H1599">
        <f t="shared" si="186"/>
        <v>9.1576372506097001E-2</v>
      </c>
      <c r="I1599">
        <f t="shared" si="187"/>
        <v>8.9622864790106768E-2</v>
      </c>
      <c r="J1599">
        <f t="shared" si="188"/>
        <v>9589.8844369532344</v>
      </c>
      <c r="K1599" s="5">
        <f t="shared" si="189"/>
        <v>1056.6434554831831</v>
      </c>
      <c r="L1599" s="5">
        <f t="shared" si="190"/>
        <v>8.7622864790106766E-2</v>
      </c>
    </row>
    <row r="1600" spans="2:12">
      <c r="B1600">
        <v>15.55078125</v>
      </c>
      <c r="C1600">
        <v>2.59434571489692</v>
      </c>
      <c r="D1600">
        <v>48.379703124999999</v>
      </c>
      <c r="E1600" s="5">
        <f t="shared" si="184"/>
        <v>48379.703125</v>
      </c>
      <c r="F1600" s="5">
        <v>0.91679440811276403</v>
      </c>
      <c r="G1600">
        <f t="shared" si="185"/>
        <v>967.59406249999995</v>
      </c>
      <c r="H1600">
        <f t="shared" si="186"/>
        <v>9.1679440811276408E-2</v>
      </c>
      <c r="I1600">
        <f t="shared" si="187"/>
        <v>8.9717281857156231E-2</v>
      </c>
      <c r="J1600">
        <f t="shared" si="188"/>
        <v>9600.217912856464</v>
      </c>
      <c r="K1600" s="5">
        <f t="shared" si="189"/>
        <v>1056.3025450823111</v>
      </c>
      <c r="L1600" s="5">
        <f t="shared" si="190"/>
        <v>8.7717281857156229E-2</v>
      </c>
    </row>
    <row r="1601" spans="2:12">
      <c r="B1601">
        <v>15.560546875</v>
      </c>
      <c r="C1601">
        <v>2.5959685444831799</v>
      </c>
      <c r="D1601">
        <v>48.360367187500003</v>
      </c>
      <c r="E1601" s="5">
        <f t="shared" si="184"/>
        <v>48360.3671875</v>
      </c>
      <c r="F1601" s="5">
        <v>0.91784127289429296</v>
      </c>
      <c r="G1601">
        <f t="shared" si="185"/>
        <v>967.20734374999995</v>
      </c>
      <c r="H1601">
        <f t="shared" si="186"/>
        <v>9.1784127289429293E-2</v>
      </c>
      <c r="I1601">
        <f t="shared" si="187"/>
        <v>8.9813172147942391E-2</v>
      </c>
      <c r="J1601">
        <f t="shared" si="188"/>
        <v>9610.712625731554</v>
      </c>
      <c r="K1601" s="5">
        <f t="shared" si="189"/>
        <v>1055.9816257040206</v>
      </c>
      <c r="L1601" s="5">
        <f t="shared" si="190"/>
        <v>8.7813172147942389E-2</v>
      </c>
    </row>
    <row r="1602" spans="2:12">
      <c r="B1602">
        <v>15.5703125</v>
      </c>
      <c r="C1602">
        <v>2.5977089535445002</v>
      </c>
      <c r="D1602">
        <v>48.344847656250003</v>
      </c>
      <c r="E1602" s="5">
        <f t="shared" si="184"/>
        <v>48344.84765625</v>
      </c>
      <c r="F1602" s="5">
        <v>0.91886246809735905</v>
      </c>
      <c r="G1602">
        <f t="shared" si="185"/>
        <v>966.89695312499998</v>
      </c>
      <c r="H1602">
        <f t="shared" si="186"/>
        <v>9.1886246809735908E-2</v>
      </c>
      <c r="I1602">
        <f t="shared" si="187"/>
        <v>8.9906702308530984E-2</v>
      </c>
      <c r="J1602">
        <f t="shared" si="188"/>
        <v>9620.9490341571727</v>
      </c>
      <c r="K1602" s="5">
        <f t="shared" si="189"/>
        <v>1055.7414851994254</v>
      </c>
      <c r="L1602" s="5">
        <f t="shared" si="190"/>
        <v>8.7906702308530982E-2</v>
      </c>
    </row>
    <row r="1603" spans="2:12">
      <c r="B1603">
        <v>15.580078125</v>
      </c>
      <c r="C1603">
        <v>2.5993452873081</v>
      </c>
      <c r="D1603">
        <v>48.357476562499997</v>
      </c>
      <c r="E1603" s="5">
        <f t="shared" si="184"/>
        <v>48357.4765625</v>
      </c>
      <c r="F1603" s="5">
        <v>0.91989320935681496</v>
      </c>
      <c r="G1603">
        <f t="shared" si="185"/>
        <v>967.14953125</v>
      </c>
      <c r="H1603">
        <f t="shared" si="186"/>
        <v>9.198932093568149E-2</v>
      </c>
      <c r="I1603">
        <f t="shared" si="187"/>
        <v>9.0001097911965949E-2</v>
      </c>
      <c r="J1603">
        <f t="shared" si="188"/>
        <v>9631.2801609751132</v>
      </c>
      <c r="K1603" s="5">
        <f t="shared" si="189"/>
        <v>1056.11695987295</v>
      </c>
      <c r="L1603" s="5">
        <f t="shared" si="190"/>
        <v>8.8001097911965948E-2</v>
      </c>
    </row>
    <row r="1604" spans="2:12">
      <c r="B1604">
        <v>15.58984375</v>
      </c>
      <c r="C1604">
        <v>2.6022493839263898</v>
      </c>
      <c r="D1604">
        <v>48.375761718749999</v>
      </c>
      <c r="E1604" s="5">
        <f t="shared" si="184"/>
        <v>48375.76171875</v>
      </c>
      <c r="F1604" s="5">
        <v>0.921074533835053</v>
      </c>
      <c r="G1604">
        <f t="shared" si="185"/>
        <v>967.51523437499998</v>
      </c>
      <c r="H1604">
        <f t="shared" si="186"/>
        <v>9.2107453383505303E-2</v>
      </c>
      <c r="I1604">
        <f t="shared" si="187"/>
        <v>9.010927301604385E-2</v>
      </c>
      <c r="J1604">
        <f t="shared" si="188"/>
        <v>9643.1193852409197</v>
      </c>
      <c r="K1604" s="5">
        <f t="shared" si="189"/>
        <v>1056.6305987230264</v>
      </c>
      <c r="L1604" s="5">
        <f t="shared" si="190"/>
        <v>8.8109273016043849E-2</v>
      </c>
    </row>
    <row r="1605" spans="2:12">
      <c r="B1605">
        <v>15.599609375</v>
      </c>
      <c r="C1605">
        <v>2.6027946732938299</v>
      </c>
      <c r="D1605">
        <v>48.379527343749999</v>
      </c>
      <c r="E1605" s="5">
        <f t="shared" si="184"/>
        <v>48379.52734375</v>
      </c>
      <c r="F1605" s="5">
        <v>0.92224578838795401</v>
      </c>
      <c r="G1605">
        <f t="shared" si="185"/>
        <v>967.59054687499997</v>
      </c>
      <c r="H1605">
        <f t="shared" si="186"/>
        <v>9.2224578838795396E-2</v>
      </c>
      <c r="I1605">
        <f t="shared" si="187"/>
        <v>9.0216514455233987E-2</v>
      </c>
      <c r="J1605">
        <f t="shared" si="188"/>
        <v>9654.8564245530833</v>
      </c>
      <c r="K1605" s="5">
        <f t="shared" si="189"/>
        <v>1056.8261775489466</v>
      </c>
      <c r="L1605" s="5">
        <f t="shared" si="190"/>
        <v>8.8216514455233985E-2</v>
      </c>
    </row>
    <row r="1606" spans="2:12">
      <c r="B1606">
        <v>15.609375</v>
      </c>
      <c r="C1606">
        <v>2.6053877081721999</v>
      </c>
      <c r="D1606">
        <v>48.370308593750003</v>
      </c>
      <c r="E1606" s="5">
        <f t="shared" si="184"/>
        <v>48370.30859375</v>
      </c>
      <c r="F1606" s="5">
        <v>0.92324893921613704</v>
      </c>
      <c r="G1606">
        <f t="shared" si="185"/>
        <v>967.40617187500004</v>
      </c>
      <c r="H1606">
        <f t="shared" si="186"/>
        <v>9.2324893921613707E-2</v>
      </c>
      <c r="I1606">
        <f t="shared" si="187"/>
        <v>9.0308354978087452E-2</v>
      </c>
      <c r="J1606">
        <f t="shared" si="188"/>
        <v>9664.9079105767814</v>
      </c>
      <c r="K1606" s="5">
        <f t="shared" si="189"/>
        <v>1056.7218440724739</v>
      </c>
      <c r="L1606" s="5">
        <f t="shared" si="190"/>
        <v>8.830835497808745E-2</v>
      </c>
    </row>
    <row r="1607" spans="2:12">
      <c r="B1607">
        <v>15.619140625</v>
      </c>
      <c r="C1607">
        <v>2.6057423092424901</v>
      </c>
      <c r="D1607">
        <v>48.363253906250002</v>
      </c>
      <c r="E1607" s="5">
        <f t="shared" si="184"/>
        <v>48363.25390625</v>
      </c>
      <c r="F1607" s="5">
        <v>0.92430500080808997</v>
      </c>
      <c r="G1607">
        <f t="shared" si="185"/>
        <v>967.26507812499995</v>
      </c>
      <c r="H1607">
        <f t="shared" si="186"/>
        <v>9.2430500080808997E-2</v>
      </c>
      <c r="I1607">
        <f t="shared" si="187"/>
        <v>9.0405030477383588E-2</v>
      </c>
      <c r="J1607">
        <f t="shared" si="188"/>
        <v>9675.4885605972468</v>
      </c>
      <c r="K1607" s="5">
        <f t="shared" si="189"/>
        <v>1056.6698730067965</v>
      </c>
      <c r="L1607" s="5">
        <f t="shared" si="190"/>
        <v>8.8405030477383587E-2</v>
      </c>
    </row>
    <row r="1608" spans="2:12">
      <c r="B1608">
        <v>15.62890625</v>
      </c>
      <c r="C1608">
        <v>2.6060924865305402</v>
      </c>
      <c r="D1608">
        <v>48.362105468750002</v>
      </c>
      <c r="E1608" s="5">
        <f t="shared" si="184"/>
        <v>48362.10546875</v>
      </c>
      <c r="F1608" s="5">
        <v>0.92543900245800603</v>
      </c>
      <c r="G1608">
        <f t="shared" si="185"/>
        <v>967.24210937500004</v>
      </c>
      <c r="H1608">
        <f t="shared" si="186"/>
        <v>9.25439002458006E-2</v>
      </c>
      <c r="I1608">
        <f t="shared" si="187"/>
        <v>9.0508830471632024E-2</v>
      </c>
      <c r="J1608">
        <f t="shared" si="188"/>
        <v>9686.8489509677675</v>
      </c>
      <c r="K1608" s="5">
        <f t="shared" si="189"/>
        <v>1056.7544666585379</v>
      </c>
      <c r="L1608" s="5">
        <f t="shared" si="190"/>
        <v>8.8508830471632022E-2</v>
      </c>
    </row>
    <row r="1609" spans="2:12">
      <c r="B1609">
        <v>15.638671875</v>
      </c>
      <c r="C1609">
        <v>2.6077760849148</v>
      </c>
      <c r="D1609">
        <v>48.377621093750001</v>
      </c>
      <c r="E1609" s="5">
        <f t="shared" ref="E1609:E1672" si="191" xml:space="preserve"> D1609*R$3</f>
        <v>48377.62109375</v>
      </c>
      <c r="F1609" s="5">
        <v>0.92658598441630602</v>
      </c>
      <c r="G1609">
        <f t="shared" ref="G1609:G1672" si="192" xml:space="preserve"> E1609/C$3</f>
        <v>967.55242187500005</v>
      </c>
      <c r="H1609">
        <f t="shared" ref="H1609:H1672" si="193" xml:space="preserve"> F1609/C$4</f>
        <v>9.2658598441630602E-2</v>
      </c>
      <c r="I1609">
        <f t="shared" ref="I1609:I1672" si="194">L1609+0.002</f>
        <v>9.0613807649723488E-2</v>
      </c>
      <c r="J1609">
        <f t="shared" ref="J1609:J1672" si="195">L1609*G$2</f>
        <v>9698.3381782239867</v>
      </c>
      <c r="K1609" s="5">
        <f t="shared" ref="K1609:K1672" si="196" xml:space="preserve"> G1609 * (1 + H1609)</f>
        <v>1057.204473204743</v>
      </c>
      <c r="L1609" s="5">
        <f t="shared" ref="L1609:L1672" si="197">LN(1 + H1609)</f>
        <v>8.8613807649723486E-2</v>
      </c>
    </row>
    <row r="1610" spans="2:12">
      <c r="B1610">
        <v>15.6484375</v>
      </c>
      <c r="C1610">
        <v>2.6123509742319602</v>
      </c>
      <c r="D1610">
        <v>48.389167968750002</v>
      </c>
      <c r="E1610" s="5">
        <f t="shared" si="191"/>
        <v>48389.16796875</v>
      </c>
      <c r="F1610" s="5">
        <v>0.927687156945467</v>
      </c>
      <c r="G1610">
        <f t="shared" si="192"/>
        <v>967.78335937500003</v>
      </c>
      <c r="H1610">
        <f t="shared" si="193"/>
        <v>9.27687156945467E-2</v>
      </c>
      <c r="I1610">
        <f t="shared" si="194"/>
        <v>9.071458176588558E-2</v>
      </c>
      <c r="J1610">
        <f t="shared" si="195"/>
        <v>9709.3674013673462</v>
      </c>
      <c r="K1610" s="5">
        <f t="shared" si="196"/>
        <v>1057.5633786947728</v>
      </c>
      <c r="L1610" s="5">
        <f t="shared" si="197"/>
        <v>8.8714581765885578E-2</v>
      </c>
    </row>
    <row r="1611" spans="2:12">
      <c r="B1611">
        <v>15.658203125</v>
      </c>
      <c r="C1611">
        <v>2.6130822952836801</v>
      </c>
      <c r="D1611">
        <v>48.386148437499997</v>
      </c>
      <c r="E1611" s="5">
        <f t="shared" si="191"/>
        <v>48386.1484375</v>
      </c>
      <c r="F1611" s="5">
        <v>0.92880666488781605</v>
      </c>
      <c r="G1611">
        <f t="shared" si="192"/>
        <v>967.72296874999995</v>
      </c>
      <c r="H1611">
        <f t="shared" si="193"/>
        <v>9.2880666488781599E-2</v>
      </c>
      <c r="I1611">
        <f t="shared" si="194"/>
        <v>9.0817023443169567E-2</v>
      </c>
      <c r="J1611">
        <f t="shared" si="195"/>
        <v>9720.579130737693</v>
      </c>
      <c r="K1611" s="5">
        <f t="shared" si="196"/>
        <v>1057.6057230640022</v>
      </c>
      <c r="L1611" s="5">
        <f t="shared" si="197"/>
        <v>8.8817023443169565E-2</v>
      </c>
    </row>
    <row r="1612" spans="2:12">
      <c r="B1612">
        <v>15.66796875</v>
      </c>
      <c r="C1612">
        <v>2.6149437762796901</v>
      </c>
      <c r="D1612">
        <v>48.396910156250001</v>
      </c>
      <c r="E1612" s="5">
        <f t="shared" si="191"/>
        <v>48396.91015625</v>
      </c>
      <c r="F1612" s="5">
        <v>0.92995178420096603</v>
      </c>
      <c r="G1612">
        <f t="shared" si="192"/>
        <v>967.93820312499997</v>
      </c>
      <c r="H1612">
        <f t="shared" si="193"/>
        <v>9.2995178420096608E-2</v>
      </c>
      <c r="I1612">
        <f t="shared" si="194"/>
        <v>9.0921797858136019E-2</v>
      </c>
      <c r="J1612">
        <f t="shared" si="195"/>
        <v>9732.0461665836956</v>
      </c>
      <c r="K1612" s="5">
        <f t="shared" si="196"/>
        <v>1057.9517890242371</v>
      </c>
      <c r="L1612" s="5">
        <f t="shared" si="197"/>
        <v>8.8921797858136017E-2</v>
      </c>
    </row>
    <row r="1613" spans="2:12">
      <c r="B1613">
        <v>15.677734375</v>
      </c>
      <c r="C1613">
        <v>2.6158974505960901</v>
      </c>
      <c r="D1613">
        <v>48.379820312500001</v>
      </c>
      <c r="E1613" s="5">
        <f t="shared" si="191"/>
        <v>48379.8203125</v>
      </c>
      <c r="F1613" s="5">
        <v>0.93105860287323605</v>
      </c>
      <c r="G1613">
        <f t="shared" si="192"/>
        <v>967.59640624999997</v>
      </c>
      <c r="H1613">
        <f t="shared" si="193"/>
        <v>9.3105860287323608E-2</v>
      </c>
      <c r="I1613">
        <f t="shared" si="194"/>
        <v>9.1023057466325927E-2</v>
      </c>
      <c r="J1613">
        <f t="shared" si="195"/>
        <v>9743.1285244020401</v>
      </c>
      <c r="K1613" s="5">
        <f t="shared" si="196"/>
        <v>1057.6853020648289</v>
      </c>
      <c r="L1613" s="5">
        <f t="shared" si="197"/>
        <v>8.9023057466325925E-2</v>
      </c>
    </row>
    <row r="1614" spans="2:12">
      <c r="B1614">
        <v>15.6875</v>
      </c>
      <c r="C1614">
        <v>2.6171028148382902</v>
      </c>
      <c r="D1614">
        <v>48.36167578125</v>
      </c>
      <c r="E1614" s="5">
        <f t="shared" si="191"/>
        <v>48361.67578125</v>
      </c>
      <c r="F1614" s="5">
        <v>0.93223713338375103</v>
      </c>
      <c r="G1614">
        <f t="shared" si="192"/>
        <v>967.233515625</v>
      </c>
      <c r="H1614">
        <f t="shared" si="193"/>
        <v>9.3223713338375105E-2</v>
      </c>
      <c r="I1614">
        <f t="shared" si="194"/>
        <v>9.1130866510842679E-2</v>
      </c>
      <c r="J1614">
        <f t="shared" si="195"/>
        <v>9754.9276852791772</v>
      </c>
      <c r="K1614" s="5">
        <f t="shared" si="196"/>
        <v>1057.4026156168936</v>
      </c>
      <c r="L1614" s="5">
        <f t="shared" si="197"/>
        <v>8.9130866510842677E-2</v>
      </c>
    </row>
    <row r="1615" spans="2:12">
      <c r="B1615">
        <v>15.697265625</v>
      </c>
      <c r="C1615">
        <v>2.61922623030841</v>
      </c>
      <c r="D1615">
        <v>48.346300781250001</v>
      </c>
      <c r="E1615" s="5">
        <f t="shared" si="191"/>
        <v>48346.30078125</v>
      </c>
      <c r="F1615" s="5">
        <v>0.93329488299787</v>
      </c>
      <c r="G1615">
        <f t="shared" si="192"/>
        <v>966.92601562499999</v>
      </c>
      <c r="H1615">
        <f t="shared" si="193"/>
        <v>9.3329488299787003E-2</v>
      </c>
      <c r="I1615">
        <f t="shared" si="194"/>
        <v>9.1227616922783458E-2</v>
      </c>
      <c r="J1615">
        <f t="shared" si="195"/>
        <v>9765.5165341140346</v>
      </c>
      <c r="K1615" s="5">
        <f t="shared" si="196"/>
        <v>1057.1687258870331</v>
      </c>
      <c r="L1615" s="5">
        <f t="shared" si="197"/>
        <v>8.9227616922783456E-2</v>
      </c>
    </row>
    <row r="1616" spans="2:12">
      <c r="B1616">
        <v>15.70703125</v>
      </c>
      <c r="C1616">
        <v>2.6207789778709398</v>
      </c>
      <c r="D1616">
        <v>48.367249999999999</v>
      </c>
      <c r="E1616" s="5">
        <f t="shared" si="191"/>
        <v>48367.25</v>
      </c>
      <c r="F1616" s="5">
        <v>0.93449157429858998</v>
      </c>
      <c r="G1616">
        <f t="shared" si="192"/>
        <v>967.34500000000003</v>
      </c>
      <c r="H1616">
        <f t="shared" si="193"/>
        <v>9.3449157429859001E-2</v>
      </c>
      <c r="I1616">
        <f t="shared" si="194"/>
        <v>9.1337064790701084E-2</v>
      </c>
      <c r="J1616">
        <f t="shared" si="195"/>
        <v>9777.4950560182806</v>
      </c>
      <c r="K1616" s="5">
        <f t="shared" si="196"/>
        <v>1057.742575193987</v>
      </c>
      <c r="L1616" s="5">
        <f t="shared" si="197"/>
        <v>8.9337064790701082E-2</v>
      </c>
    </row>
    <row r="1617" spans="2:12">
      <c r="B1617">
        <v>15.716796875</v>
      </c>
      <c r="C1617">
        <v>2.62269075028598</v>
      </c>
      <c r="D1617">
        <v>48.36551171875</v>
      </c>
      <c r="E1617" s="5">
        <f t="shared" si="191"/>
        <v>48365.51171875</v>
      </c>
      <c r="F1617" s="5">
        <v>0.93555881176143896</v>
      </c>
      <c r="G1617">
        <f t="shared" si="192"/>
        <v>967.31023437500005</v>
      </c>
      <c r="H1617">
        <f t="shared" si="193"/>
        <v>9.3555881176143899E-2</v>
      </c>
      <c r="I1617">
        <f t="shared" si="194"/>
        <v>9.1434662870710615E-2</v>
      </c>
      <c r="J1617">
        <f t="shared" si="195"/>
        <v>9788.1766778849233</v>
      </c>
      <c r="K1617" s="5">
        <f t="shared" si="196"/>
        <v>1057.8077957226556</v>
      </c>
      <c r="L1617" s="5">
        <f t="shared" si="197"/>
        <v>8.9434662870710613E-2</v>
      </c>
    </row>
    <row r="1618" spans="2:12">
      <c r="B1618">
        <v>15.7265625</v>
      </c>
      <c r="C1618">
        <v>2.6235252153128399</v>
      </c>
      <c r="D1618">
        <v>48.361835937499997</v>
      </c>
      <c r="E1618" s="5">
        <f t="shared" si="191"/>
        <v>48361.8359375</v>
      </c>
      <c r="F1618" s="5">
        <v>0.936702766921371</v>
      </c>
      <c r="G1618">
        <f t="shared" si="192"/>
        <v>967.23671875000002</v>
      </c>
      <c r="H1618">
        <f t="shared" si="193"/>
        <v>9.3670276692137094E-2</v>
      </c>
      <c r="I1618">
        <f t="shared" si="194"/>
        <v>9.1539266151616006E-2</v>
      </c>
      <c r="J1618">
        <f t="shared" si="195"/>
        <v>9799.624983963613</v>
      </c>
      <c r="K1618" s="5">
        <f t="shared" si="196"/>
        <v>1057.8380498221075</v>
      </c>
      <c r="L1618" s="5">
        <f t="shared" si="197"/>
        <v>8.9539266151616004E-2</v>
      </c>
    </row>
    <row r="1619" spans="2:12">
      <c r="B1619">
        <v>15.736328125</v>
      </c>
      <c r="C1619">
        <v>2.6252567768096902</v>
      </c>
      <c r="D1619">
        <v>48.353359374999997</v>
      </c>
      <c r="E1619" s="5">
        <f t="shared" si="191"/>
        <v>48353.359375</v>
      </c>
      <c r="F1619" s="5">
        <v>0.93783001648262099</v>
      </c>
      <c r="G1619">
        <f t="shared" si="192"/>
        <v>967.06718750000005</v>
      </c>
      <c r="H1619">
        <f t="shared" si="193"/>
        <v>9.3783001648262102E-2</v>
      </c>
      <c r="I1619">
        <f t="shared" si="194"/>
        <v>9.1642331170047234E-2</v>
      </c>
      <c r="J1619">
        <f t="shared" si="195"/>
        <v>9810.9049349058187</v>
      </c>
      <c r="K1619" s="5">
        <f t="shared" si="196"/>
        <v>1057.7616511392928</v>
      </c>
      <c r="L1619" s="5">
        <f t="shared" si="197"/>
        <v>8.9642331170047232E-2</v>
      </c>
    </row>
    <row r="1620" spans="2:12">
      <c r="B1620">
        <v>15.74609375</v>
      </c>
      <c r="C1620">
        <v>2.6281743776053199</v>
      </c>
      <c r="D1620">
        <v>48.349566406249998</v>
      </c>
      <c r="E1620" s="5">
        <f t="shared" si="191"/>
        <v>48349.56640625</v>
      </c>
      <c r="F1620" s="5">
        <v>0.93894038582220696</v>
      </c>
      <c r="G1620">
        <f t="shared" si="192"/>
        <v>966.991328125</v>
      </c>
      <c r="H1620">
        <f t="shared" si="193"/>
        <v>9.3894038582220701E-2</v>
      </c>
      <c r="I1620">
        <f t="shared" si="194"/>
        <v>9.1743842437032222E-2</v>
      </c>
      <c r="J1620">
        <f t="shared" si="195"/>
        <v>9822.0148355209913</v>
      </c>
      <c r="K1620" s="5">
        <f t="shared" si="196"/>
        <v>1057.7860491966414</v>
      </c>
      <c r="L1620" s="5">
        <f t="shared" si="197"/>
        <v>8.974384243703222E-2</v>
      </c>
    </row>
    <row r="1621" spans="2:12">
      <c r="B1621">
        <v>15.755859375</v>
      </c>
      <c r="C1621">
        <v>2.6267275679856499</v>
      </c>
      <c r="D1621">
        <v>48.336750000000002</v>
      </c>
      <c r="E1621" s="5">
        <f t="shared" si="191"/>
        <v>48336.75</v>
      </c>
      <c r="F1621" s="5">
        <v>0.94002339756116304</v>
      </c>
      <c r="G1621">
        <f t="shared" si="192"/>
        <v>966.73500000000001</v>
      </c>
      <c r="H1621">
        <f t="shared" si="193"/>
        <v>9.4002339756116299E-2</v>
      </c>
      <c r="I1621">
        <f t="shared" si="194"/>
        <v>9.1842842714244893E-2</v>
      </c>
      <c r="J1621">
        <f t="shared" si="195"/>
        <v>9832.8499208605317</v>
      </c>
      <c r="K1621" s="5">
        <f t="shared" si="196"/>
        <v>1057.6103519241292</v>
      </c>
      <c r="L1621" s="5">
        <f t="shared" si="197"/>
        <v>8.9842842714244892E-2</v>
      </c>
    </row>
    <row r="1622" spans="2:12">
      <c r="B1622">
        <v>15.765625</v>
      </c>
      <c r="C1622">
        <v>2.6292533148080102</v>
      </c>
      <c r="D1622">
        <v>48.319238281250001</v>
      </c>
      <c r="E1622" s="5">
        <f t="shared" si="191"/>
        <v>48319.23828125</v>
      </c>
      <c r="F1622" s="5">
        <v>0.94112817896529999</v>
      </c>
      <c r="G1622">
        <f t="shared" si="192"/>
        <v>966.384765625</v>
      </c>
      <c r="H1622">
        <f t="shared" si="193"/>
        <v>9.4112817896530004E-2</v>
      </c>
      <c r="I1622">
        <f t="shared" si="194"/>
        <v>9.194382290271555E-2</v>
      </c>
      <c r="J1622">
        <f t="shared" si="195"/>
        <v>9843.9016975877039</v>
      </c>
      <c r="K1622" s="5">
        <f t="shared" si="196"/>
        <v>1057.3339590902465</v>
      </c>
      <c r="L1622" s="5">
        <f t="shared" si="197"/>
        <v>8.9943822902715548E-2</v>
      </c>
    </row>
    <row r="1623" spans="2:12">
      <c r="B1623">
        <v>15.775390625</v>
      </c>
      <c r="C1623">
        <v>2.6312305126339202</v>
      </c>
      <c r="D1623">
        <v>48.342519531249998</v>
      </c>
      <c r="E1623" s="5">
        <f t="shared" si="191"/>
        <v>48342.51953125</v>
      </c>
      <c r="F1623" s="5">
        <v>0.94225502107292403</v>
      </c>
      <c r="G1623">
        <f t="shared" si="192"/>
        <v>966.85039062500005</v>
      </c>
      <c r="H1623">
        <f t="shared" si="193"/>
        <v>9.42255021072924E-2</v>
      </c>
      <c r="I1623">
        <f t="shared" si="194"/>
        <v>9.2046808999364252E-2</v>
      </c>
      <c r="J1623">
        <f t="shared" si="195"/>
        <v>9855.1730109354212</v>
      </c>
      <c r="K1623" s="5">
        <f t="shared" si="196"/>
        <v>1057.9523541442725</v>
      </c>
      <c r="L1623" s="5">
        <f t="shared" si="197"/>
        <v>9.004680899936425E-2</v>
      </c>
    </row>
    <row r="1624" spans="2:12">
      <c r="B1624">
        <v>15.78515625</v>
      </c>
      <c r="C1624">
        <v>2.6354999281465998</v>
      </c>
      <c r="D1624">
        <v>48.355785156250001</v>
      </c>
      <c r="E1624" s="5">
        <f t="shared" si="191"/>
        <v>48355.78515625</v>
      </c>
      <c r="F1624" s="5">
        <v>0.94342464581131902</v>
      </c>
      <c r="G1624">
        <f t="shared" si="192"/>
        <v>967.11570312499998</v>
      </c>
      <c r="H1624">
        <f t="shared" si="193"/>
        <v>9.4342464581131907E-2</v>
      </c>
      <c r="I1624">
        <f t="shared" si="194"/>
        <v>9.2153693935752901E-2</v>
      </c>
      <c r="J1624">
        <f t="shared" si="195"/>
        <v>9866.8710327984754</v>
      </c>
      <c r="K1624" s="5">
        <f t="shared" si="196"/>
        <v>1058.3557820929268</v>
      </c>
      <c r="L1624" s="5">
        <f t="shared" si="197"/>
        <v>9.0153693935752899E-2</v>
      </c>
    </row>
    <row r="1625" spans="2:12">
      <c r="B1625">
        <v>15.794921875</v>
      </c>
      <c r="C1625">
        <v>2.6342496275901799</v>
      </c>
      <c r="D1625">
        <v>48.366058593749997</v>
      </c>
      <c r="E1625" s="5">
        <f t="shared" si="191"/>
        <v>48366.05859375</v>
      </c>
      <c r="F1625" s="5">
        <v>0.94460102263838097</v>
      </c>
      <c r="G1625">
        <f t="shared" si="192"/>
        <v>967.321171875</v>
      </c>
      <c r="H1625">
        <f t="shared" si="193"/>
        <v>9.4460102263838094E-2</v>
      </c>
      <c r="I1625">
        <f t="shared" si="194"/>
        <v>9.2261184382448569E-2</v>
      </c>
      <c r="J1625">
        <f t="shared" si="195"/>
        <v>9878.6353247370826</v>
      </c>
      <c r="K1625" s="5">
        <f t="shared" si="196"/>
        <v>1058.6944286922883</v>
      </c>
      <c r="L1625" s="5">
        <f t="shared" si="197"/>
        <v>9.0261184382448567E-2</v>
      </c>
    </row>
    <row r="1626" spans="2:12">
      <c r="B1626">
        <v>15.8046875</v>
      </c>
      <c r="C1626">
        <v>2.6377185713499798</v>
      </c>
      <c r="D1626">
        <v>48.367136718749997</v>
      </c>
      <c r="E1626" s="5">
        <f t="shared" si="191"/>
        <v>48367.13671875</v>
      </c>
      <c r="F1626" s="5">
        <v>0.94572041416540698</v>
      </c>
      <c r="G1626">
        <f t="shared" si="192"/>
        <v>967.34273437499996</v>
      </c>
      <c r="H1626">
        <f t="shared" si="193"/>
        <v>9.45720414165407E-2</v>
      </c>
      <c r="I1626">
        <f t="shared" si="194"/>
        <v>9.2363457118025724E-2</v>
      </c>
      <c r="J1626">
        <f t="shared" si="195"/>
        <v>9889.8285642823248</v>
      </c>
      <c r="K1626" s="5">
        <f t="shared" si="196"/>
        <v>1058.8263115143022</v>
      </c>
      <c r="L1626" s="5">
        <f t="shared" si="197"/>
        <v>9.0363457118025722E-2</v>
      </c>
    </row>
    <row r="1627" spans="2:12">
      <c r="B1627">
        <v>15.814453125</v>
      </c>
      <c r="C1627">
        <v>2.6393386069685199</v>
      </c>
      <c r="D1627">
        <v>48.361671874999999</v>
      </c>
      <c r="E1627" s="5">
        <f t="shared" si="191"/>
        <v>48361.671875</v>
      </c>
      <c r="F1627" s="5">
        <v>0.94695104053243995</v>
      </c>
      <c r="G1627">
        <f t="shared" si="192"/>
        <v>967.23343750000004</v>
      </c>
      <c r="H1627">
        <f t="shared" si="193"/>
        <v>9.4695104053243995E-2</v>
      </c>
      <c r="I1627">
        <f t="shared" si="194"/>
        <v>9.2475880708803596E-2</v>
      </c>
      <c r="J1627">
        <f t="shared" si="195"/>
        <v>9902.1327641750086</v>
      </c>
      <c r="K1627" s="5">
        <f t="shared" si="196"/>
        <v>1058.8257085078394</v>
      </c>
      <c r="L1627" s="5">
        <f t="shared" si="197"/>
        <v>9.0475880708803594E-2</v>
      </c>
    </row>
    <row r="1628" spans="2:12">
      <c r="B1628">
        <v>15.82421875</v>
      </c>
      <c r="C1628">
        <v>2.6413083542138298</v>
      </c>
      <c r="D1628">
        <v>48.362523437500002</v>
      </c>
      <c r="E1628" s="5">
        <f t="shared" si="191"/>
        <v>48362.5234375</v>
      </c>
      <c r="F1628" s="5">
        <v>0.94821274979040004</v>
      </c>
      <c r="G1628">
        <f t="shared" si="192"/>
        <v>967.25046874999998</v>
      </c>
      <c r="H1628">
        <f t="shared" si="193"/>
        <v>9.4821274979039999E-2</v>
      </c>
      <c r="I1628">
        <f t="shared" si="194"/>
        <v>9.2591130749537662E-2</v>
      </c>
      <c r="J1628">
        <f t="shared" si="195"/>
        <v>9914.7463048831487</v>
      </c>
      <c r="K1628" s="5">
        <f t="shared" si="196"/>
        <v>1058.9663914209491</v>
      </c>
      <c r="L1628" s="5">
        <f t="shared" si="197"/>
        <v>9.059113074953766E-2</v>
      </c>
    </row>
    <row r="1629" spans="2:12">
      <c r="B1629">
        <v>15.833984375</v>
      </c>
      <c r="C1629">
        <v>2.6419579517096299</v>
      </c>
      <c r="D1629">
        <v>48.340386718749997</v>
      </c>
      <c r="E1629" s="5">
        <f t="shared" si="191"/>
        <v>48340.38671875</v>
      </c>
      <c r="F1629" s="5">
        <v>0.94922521384432901</v>
      </c>
      <c r="G1629">
        <f t="shared" si="192"/>
        <v>966.807734375</v>
      </c>
      <c r="H1629">
        <f t="shared" si="193"/>
        <v>9.4922521384432898E-2</v>
      </c>
      <c r="I1629">
        <f t="shared" si="194"/>
        <v>9.2683604038543602E-2</v>
      </c>
      <c r="J1629">
        <f t="shared" si="195"/>
        <v>9924.8670439984035</v>
      </c>
      <c r="K1629" s="5">
        <f t="shared" si="196"/>
        <v>1058.579562215846</v>
      </c>
      <c r="L1629" s="5">
        <f t="shared" si="197"/>
        <v>9.06836040385436E-2</v>
      </c>
    </row>
    <row r="1630" spans="2:12">
      <c r="B1630">
        <v>15.84375</v>
      </c>
      <c r="C1630">
        <v>2.6445030234754099</v>
      </c>
      <c r="D1630">
        <v>48.340871093750003</v>
      </c>
      <c r="E1630" s="5">
        <f t="shared" si="191"/>
        <v>48340.87109375</v>
      </c>
      <c r="F1630" s="5">
        <v>0.95038278959691502</v>
      </c>
      <c r="G1630">
        <f t="shared" si="192"/>
        <v>966.81742187500004</v>
      </c>
      <c r="H1630">
        <f t="shared" si="193"/>
        <v>9.5038278959691497E-2</v>
      </c>
      <c r="I1630">
        <f t="shared" si="194"/>
        <v>9.2789320611505299E-2</v>
      </c>
      <c r="J1630">
        <f t="shared" si="195"/>
        <v>9936.4371943261976</v>
      </c>
      <c r="K1630" s="5">
        <f t="shared" si="196"/>
        <v>1058.7020857182461</v>
      </c>
      <c r="L1630" s="5">
        <f t="shared" si="197"/>
        <v>9.0789320611505298E-2</v>
      </c>
    </row>
    <row r="1631" spans="2:12">
      <c r="B1631">
        <v>15.853515625</v>
      </c>
      <c r="C1631">
        <v>2.6442154776305</v>
      </c>
      <c r="D1631">
        <v>48.344070312500001</v>
      </c>
      <c r="E1631" s="5">
        <f t="shared" si="191"/>
        <v>48344.0703125</v>
      </c>
      <c r="F1631" s="5">
        <v>0.95155130838975299</v>
      </c>
      <c r="G1631">
        <f t="shared" si="192"/>
        <v>966.88140625000005</v>
      </c>
      <c r="H1631">
        <f t="shared" si="193"/>
        <v>9.5155130838975296E-2</v>
      </c>
      <c r="I1631">
        <f t="shared" si="194"/>
        <v>9.2896025232998419E-2</v>
      </c>
      <c r="J1631">
        <f t="shared" si="195"/>
        <v>9948.1154816255112</v>
      </c>
      <c r="K1631" s="5">
        <f t="shared" si="196"/>
        <v>1058.8851329674912</v>
      </c>
      <c r="L1631" s="5">
        <f t="shared" si="197"/>
        <v>9.0896025232998418E-2</v>
      </c>
    </row>
    <row r="1632" spans="2:12">
      <c r="B1632">
        <v>15.86328125</v>
      </c>
      <c r="C1632">
        <v>2.6473298203200102</v>
      </c>
      <c r="D1632">
        <v>48.311578124999997</v>
      </c>
      <c r="E1632" s="5">
        <f t="shared" si="191"/>
        <v>48311.578125</v>
      </c>
      <c r="F1632" s="5">
        <v>0.95264246920123696</v>
      </c>
      <c r="G1632">
        <f t="shared" si="192"/>
        <v>966.2315625</v>
      </c>
      <c r="H1632">
        <f t="shared" si="193"/>
        <v>9.5264246920123696E-2</v>
      </c>
      <c r="I1632">
        <f t="shared" si="194"/>
        <v>9.2995655543382433E-2</v>
      </c>
      <c r="J1632">
        <f t="shared" si="195"/>
        <v>9959.0195209454905</v>
      </c>
      <c r="K1632" s="5">
        <f t="shared" si="196"/>
        <v>1058.2788846520168</v>
      </c>
      <c r="L1632" s="5">
        <f t="shared" si="197"/>
        <v>9.0995655543382431E-2</v>
      </c>
    </row>
    <row r="1633" spans="2:12">
      <c r="B1633">
        <v>15.873046875</v>
      </c>
      <c r="C1633">
        <v>2.6484874542802599</v>
      </c>
      <c r="D1633">
        <v>48.32101171875</v>
      </c>
      <c r="E1633" s="5">
        <f t="shared" si="191"/>
        <v>48321.01171875</v>
      </c>
      <c r="F1633" s="5">
        <v>0.95378945115953695</v>
      </c>
      <c r="G1633">
        <f t="shared" si="192"/>
        <v>966.42023437499995</v>
      </c>
      <c r="H1633">
        <f t="shared" si="193"/>
        <v>9.5378945115953698E-2</v>
      </c>
      <c r="I1633">
        <f t="shared" si="194"/>
        <v>9.3100371999582862E-2</v>
      </c>
      <c r="J1633">
        <f t="shared" si="195"/>
        <v>9970.4802134943457</v>
      </c>
      <c r="K1633" s="5">
        <f t="shared" si="196"/>
        <v>1058.5963768684001</v>
      </c>
      <c r="L1633" s="5">
        <f t="shared" si="197"/>
        <v>9.110037199958286E-2</v>
      </c>
    </row>
    <row r="1634" spans="2:12">
      <c r="B1634">
        <v>15.8828125</v>
      </c>
      <c r="C1634">
        <v>2.6501193642616299</v>
      </c>
      <c r="D1634">
        <v>48.318222656250001</v>
      </c>
      <c r="E1634" s="5">
        <f t="shared" si="191"/>
        <v>48318.22265625</v>
      </c>
      <c r="F1634" s="5">
        <v>0.95496885478496596</v>
      </c>
      <c r="G1634">
        <f t="shared" si="192"/>
        <v>966.36445312499995</v>
      </c>
      <c r="H1634">
        <f t="shared" si="193"/>
        <v>9.5496885478496593E-2</v>
      </c>
      <c r="I1634">
        <f t="shared" si="194"/>
        <v>9.320803703564727E-2</v>
      </c>
      <c r="J1634">
        <f t="shared" si="195"/>
        <v>9982.2636133664146</v>
      </c>
      <c r="K1634" s="5">
        <f t="shared" si="196"/>
        <v>1058.649248635568</v>
      </c>
      <c r="L1634" s="5">
        <f t="shared" si="197"/>
        <v>9.1208037035647269E-2</v>
      </c>
    </row>
    <row r="1635" spans="2:12">
      <c r="B1635">
        <v>15.892578125</v>
      </c>
      <c r="C1635">
        <v>2.6514634955674401</v>
      </c>
      <c r="D1635">
        <v>48.305949218750001</v>
      </c>
      <c r="E1635" s="5">
        <f t="shared" si="191"/>
        <v>48305.94921875</v>
      </c>
      <c r="F1635" s="5">
        <v>0.95614290330559004</v>
      </c>
      <c r="G1635">
        <f t="shared" si="192"/>
        <v>966.11898437499997</v>
      </c>
      <c r="H1635">
        <f t="shared" si="193"/>
        <v>9.5614290330559001E-2</v>
      </c>
      <c r="I1635">
        <f t="shared" si="194"/>
        <v>9.3315201704853495E-2</v>
      </c>
      <c r="J1635">
        <f t="shared" si="195"/>
        <v>9993.9922505876912</v>
      </c>
      <c r="K1635" s="5">
        <f t="shared" si="196"/>
        <v>1058.4937654408959</v>
      </c>
      <c r="L1635" s="5">
        <f t="shared" si="197"/>
        <v>9.1315201704853494E-2</v>
      </c>
    </row>
    <row r="1636" spans="2:12">
      <c r="B1636">
        <v>15.90234375</v>
      </c>
      <c r="C1636">
        <v>2.6530087925493699</v>
      </c>
      <c r="D1636">
        <v>48.307082031249998</v>
      </c>
      <c r="E1636" s="5">
        <f t="shared" si="191"/>
        <v>48307.08203125</v>
      </c>
      <c r="F1636" s="5">
        <v>0.95720926765352499</v>
      </c>
      <c r="G1636">
        <f t="shared" si="192"/>
        <v>966.14164062500004</v>
      </c>
      <c r="H1636">
        <f t="shared" si="193"/>
        <v>9.5720926765352501E-2</v>
      </c>
      <c r="I1636">
        <f t="shared" si="194"/>
        <v>9.3412527238661114E-2</v>
      </c>
      <c r="J1636">
        <f t="shared" si="195"/>
        <v>10004.644043635266</v>
      </c>
      <c r="K1636" s="5">
        <f t="shared" si="196"/>
        <v>1058.6216138522232</v>
      </c>
      <c r="L1636" s="5">
        <f t="shared" si="197"/>
        <v>9.1412527238661112E-2</v>
      </c>
    </row>
    <row r="1637" spans="2:12">
      <c r="B1637">
        <v>15.912109375</v>
      </c>
      <c r="C1637">
        <v>2.6553063653409499</v>
      </c>
      <c r="D1637">
        <v>48.309550781250003</v>
      </c>
      <c r="E1637" s="5">
        <f t="shared" si="191"/>
        <v>48309.55078125</v>
      </c>
      <c r="F1637" s="5">
        <v>0.95839583082124602</v>
      </c>
      <c r="G1637">
        <f t="shared" si="192"/>
        <v>966.19101562499998</v>
      </c>
      <c r="H1637">
        <f t="shared" si="193"/>
        <v>9.5839583082124605E-2</v>
      </c>
      <c r="I1637">
        <f t="shared" si="194"/>
        <v>9.3520812012323415E-2</v>
      </c>
      <c r="J1637">
        <f t="shared" si="195"/>
        <v>10016.495270688736</v>
      </c>
      <c r="K1637" s="5">
        <f t="shared" si="196"/>
        <v>1058.7903597401944</v>
      </c>
      <c r="L1637" s="5">
        <f t="shared" si="197"/>
        <v>9.1520812012323413E-2</v>
      </c>
    </row>
    <row r="1638" spans="2:12">
      <c r="B1638">
        <v>15.921875</v>
      </c>
      <c r="C1638">
        <v>2.6564181316644002</v>
      </c>
      <c r="D1638">
        <v>48.306828125000003</v>
      </c>
      <c r="E1638" s="5">
        <f t="shared" si="191"/>
        <v>48306.828125</v>
      </c>
      <c r="F1638" s="5">
        <v>0.95950713148340605</v>
      </c>
      <c r="G1638">
        <f t="shared" si="192"/>
        <v>966.13656249999997</v>
      </c>
      <c r="H1638">
        <f t="shared" si="193"/>
        <v>9.5950713148340611E-2</v>
      </c>
      <c r="I1638">
        <f t="shared" si="194"/>
        <v>9.3622217759490339E-2</v>
      </c>
      <c r="J1638">
        <f t="shared" si="195"/>
        <v>10027.59362268742</v>
      </c>
      <c r="K1638" s="5">
        <f t="shared" si="196"/>
        <v>1058.8380546705612</v>
      </c>
      <c r="L1638" s="5">
        <f t="shared" si="197"/>
        <v>9.1622217759490338E-2</v>
      </c>
    </row>
    <row r="1639" spans="2:12">
      <c r="B1639">
        <v>15.931640625</v>
      </c>
      <c r="C1639">
        <v>2.6587620377540602</v>
      </c>
      <c r="D1639">
        <v>48.328144531249997</v>
      </c>
      <c r="E1639" s="5">
        <f t="shared" si="191"/>
        <v>48328.14453125</v>
      </c>
      <c r="F1639" s="5">
        <v>0.96066680271178495</v>
      </c>
      <c r="G1639">
        <f t="shared" si="192"/>
        <v>966.56289062500002</v>
      </c>
      <c r="H1639">
        <f t="shared" si="193"/>
        <v>9.6066680271178498E-2</v>
      </c>
      <c r="I1639">
        <f t="shared" si="194"/>
        <v>9.3728026338650544E-2</v>
      </c>
      <c r="J1639">
        <f t="shared" si="195"/>
        <v>10039.173842633609</v>
      </c>
      <c r="K1639" s="5">
        <f t="shared" si="196"/>
        <v>1059.4173788006581</v>
      </c>
      <c r="L1639" s="5">
        <f t="shared" si="197"/>
        <v>9.1728026338650542E-2</v>
      </c>
    </row>
    <row r="1640" spans="2:12">
      <c r="B1640">
        <v>15.94140625</v>
      </c>
      <c r="C1640">
        <v>2.66072456724942</v>
      </c>
      <c r="D1640">
        <v>48.29526953125</v>
      </c>
      <c r="E1640" s="5">
        <f t="shared" si="191"/>
        <v>48295.26953125</v>
      </c>
      <c r="F1640" s="5">
        <v>0.96184184076264501</v>
      </c>
      <c r="G1640">
        <f t="shared" si="192"/>
        <v>965.905390625</v>
      </c>
      <c r="H1640">
        <f t="shared" si="193"/>
        <v>9.6184184076264501E-2</v>
      </c>
      <c r="I1640">
        <f t="shared" si="194"/>
        <v>9.3835225571283556E-2</v>
      </c>
      <c r="J1640">
        <f t="shared" si="195"/>
        <v>10050.906262649129</v>
      </c>
      <c r="K1640" s="5">
        <f t="shared" si="196"/>
        <v>1058.810212517131</v>
      </c>
      <c r="L1640" s="5">
        <f t="shared" si="197"/>
        <v>9.1835225571283555E-2</v>
      </c>
    </row>
    <row r="1641" spans="2:12">
      <c r="B1641">
        <v>15.951171875</v>
      </c>
      <c r="C1641">
        <v>2.66197463497519</v>
      </c>
      <c r="D1641">
        <v>48.28588671875</v>
      </c>
      <c r="E1641" s="5">
        <f t="shared" si="191"/>
        <v>48285.88671875</v>
      </c>
      <c r="F1641" s="5">
        <v>0.96299633150920305</v>
      </c>
      <c r="G1641">
        <f t="shared" si="192"/>
        <v>965.71773437499996</v>
      </c>
      <c r="H1641">
        <f t="shared" si="193"/>
        <v>9.62996331509203E-2</v>
      </c>
      <c r="I1641">
        <f t="shared" si="194"/>
        <v>9.3940539073582033E-2</v>
      </c>
      <c r="J1641">
        <f t="shared" si="195"/>
        <v>10062.432298908185</v>
      </c>
      <c r="K1641" s="5">
        <f t="shared" si="196"/>
        <v>1058.7159979226503</v>
      </c>
      <c r="L1641" s="5">
        <f t="shared" si="197"/>
        <v>9.1940539073582031E-2</v>
      </c>
    </row>
    <row r="1642" spans="2:12">
      <c r="B1642">
        <v>15.9609375</v>
      </c>
      <c r="C1642">
        <v>2.6637150440365098</v>
      </c>
      <c r="D1642">
        <v>48.304765625000002</v>
      </c>
      <c r="E1642" s="5">
        <f t="shared" si="191"/>
        <v>48304.765625</v>
      </c>
      <c r="F1642" s="5">
        <v>0.96410320838913299</v>
      </c>
      <c r="G1642">
        <f t="shared" si="192"/>
        <v>966.09531249999998</v>
      </c>
      <c r="H1642">
        <f t="shared" si="193"/>
        <v>9.6410320838913294E-2</v>
      </c>
      <c r="I1642">
        <f t="shared" si="194"/>
        <v>9.404149879047087E-2</v>
      </c>
      <c r="J1642">
        <f t="shared" si="195"/>
        <v>10073.481835123084</v>
      </c>
      <c r="K1642" s="5">
        <f t="shared" si="196"/>
        <v>1059.2368715390951</v>
      </c>
      <c r="L1642" s="5">
        <f t="shared" si="197"/>
        <v>9.2041498790470869E-2</v>
      </c>
    </row>
    <row r="1643" spans="2:12">
      <c r="B1643">
        <v>15.970703125</v>
      </c>
      <c r="C1643">
        <v>2.6655702386051399</v>
      </c>
      <c r="D1643">
        <v>48.295847656249997</v>
      </c>
      <c r="E1643" s="5">
        <f t="shared" si="191"/>
        <v>48295.84765625</v>
      </c>
      <c r="F1643" s="5">
        <v>0.96528371796011903</v>
      </c>
      <c r="G1643">
        <f t="shared" si="192"/>
        <v>965.91695312499996</v>
      </c>
      <c r="H1643">
        <f t="shared" si="193"/>
        <v>9.6528371796011897E-2</v>
      </c>
      <c r="I1643">
        <f t="shared" si="194"/>
        <v>9.414916341202105E-2</v>
      </c>
      <c r="J1643">
        <f t="shared" si="195"/>
        <v>10085.265189628644</v>
      </c>
      <c r="K1643" s="5">
        <f t="shared" si="196"/>
        <v>1059.155343900321</v>
      </c>
      <c r="L1643" s="5">
        <f t="shared" si="197"/>
        <v>9.2149163412021048E-2</v>
      </c>
    </row>
    <row r="1644" spans="2:12">
      <c r="B1644">
        <v>15.98046875</v>
      </c>
      <c r="C1644">
        <v>2.6657013222575201</v>
      </c>
      <c r="D1644">
        <v>48.29419140625</v>
      </c>
      <c r="E1644" s="5">
        <f t="shared" si="191"/>
        <v>48294.19140625</v>
      </c>
      <c r="F1644" s="5">
        <v>0.96640823176130697</v>
      </c>
      <c r="G1644">
        <f t="shared" si="192"/>
        <v>965.88382812500004</v>
      </c>
      <c r="H1644">
        <f t="shared" si="193"/>
        <v>9.6640823176130694E-2</v>
      </c>
      <c r="I1644">
        <f t="shared" si="194"/>
        <v>9.4251710338610267E-2</v>
      </c>
      <c r="J1644">
        <f t="shared" si="195"/>
        <v>10096.488438009201</v>
      </c>
      <c r="K1644" s="5">
        <f t="shared" si="196"/>
        <v>1059.2276363675123</v>
      </c>
      <c r="L1644" s="5">
        <f t="shared" si="197"/>
        <v>9.2251710338610265E-2</v>
      </c>
    </row>
    <row r="1645" spans="2:12">
      <c r="B1645">
        <v>15.990234375</v>
      </c>
      <c r="C1645">
        <v>2.66660004854202</v>
      </c>
      <c r="D1645">
        <v>48.2875625</v>
      </c>
      <c r="E1645" s="5">
        <f t="shared" si="191"/>
        <v>48287.5625</v>
      </c>
      <c r="F1645" s="5">
        <v>0.96755457343533602</v>
      </c>
      <c r="G1645">
        <f t="shared" si="192"/>
        <v>965.75125000000003</v>
      </c>
      <c r="H1645">
        <f t="shared" si="193"/>
        <v>9.6755457343533607E-2</v>
      </c>
      <c r="I1645">
        <f t="shared" si="194"/>
        <v>9.4356236974791299E-2</v>
      </c>
      <c r="J1645">
        <f t="shared" si="195"/>
        <v>10107.928355706033</v>
      </c>
      <c r="K1645" s="5">
        <f t="shared" si="196"/>
        <v>1059.1929538738393</v>
      </c>
      <c r="L1645" s="5">
        <f t="shared" si="197"/>
        <v>9.2356236974791298E-2</v>
      </c>
    </row>
    <row r="1646" spans="2:12">
      <c r="B1646" t="s">
        <v>10</v>
      </c>
      <c r="C1646">
        <v>2.6692643295973499</v>
      </c>
      <c r="D1646">
        <v>48.273531249999998</v>
      </c>
      <c r="E1646" s="5">
        <f t="shared" si="191"/>
        <v>48273.53125</v>
      </c>
      <c r="F1646" s="5">
        <v>0.96868112450465604</v>
      </c>
      <c r="G1646">
        <f t="shared" si="192"/>
        <v>965.47062500000004</v>
      </c>
      <c r="H1646">
        <f t="shared" si="193"/>
        <v>9.6868112450465602E-2</v>
      </c>
      <c r="I1646">
        <f t="shared" si="194"/>
        <v>9.4458948404940221E-2</v>
      </c>
      <c r="J1646">
        <f t="shared" si="195"/>
        <v>10119.169608178683</v>
      </c>
      <c r="K1646" s="5">
        <f t="shared" si="196"/>
        <v>1058.9939420701214</v>
      </c>
      <c r="L1646" s="5">
        <f t="shared" si="197"/>
        <v>9.2458948404940219E-2</v>
      </c>
    </row>
    <row r="1647" spans="2:12">
      <c r="B1647">
        <v>16.009765625</v>
      </c>
      <c r="C1647">
        <v>2.6726231444627002</v>
      </c>
      <c r="D1647">
        <v>48.288425781249998</v>
      </c>
      <c r="E1647" s="5">
        <f t="shared" si="191"/>
        <v>48288.42578125</v>
      </c>
      <c r="F1647" s="5">
        <v>0.96992158796638295</v>
      </c>
      <c r="G1647">
        <f t="shared" si="192"/>
        <v>965.76851562499996</v>
      </c>
      <c r="H1647">
        <f t="shared" si="193"/>
        <v>9.6992158796638292E-2</v>
      </c>
      <c r="I1647">
        <f t="shared" si="194"/>
        <v>9.4572033406688641E-2</v>
      </c>
      <c r="J1647">
        <f t="shared" si="195"/>
        <v>10131.546196195039</v>
      </c>
      <c r="K1647" s="5">
        <f t="shared" si="196"/>
        <v>1059.4404888532936</v>
      </c>
      <c r="L1647" s="5">
        <f t="shared" si="197"/>
        <v>9.2572033406688639E-2</v>
      </c>
    </row>
    <row r="1648" spans="2:12">
      <c r="B1648">
        <v>16.01953125</v>
      </c>
      <c r="C1648">
        <v>2.6737973093986498</v>
      </c>
      <c r="D1648">
        <v>48.302265624999997</v>
      </c>
      <c r="E1648" s="5">
        <f t="shared" si="191"/>
        <v>48302.265625</v>
      </c>
      <c r="F1648" s="5">
        <v>0.97112776711583104</v>
      </c>
      <c r="G1648">
        <f t="shared" si="192"/>
        <v>966.04531250000002</v>
      </c>
      <c r="H1648">
        <f t="shared" si="193"/>
        <v>9.711277671158311E-2</v>
      </c>
      <c r="I1648">
        <f t="shared" si="194"/>
        <v>9.4681980668658086E-2</v>
      </c>
      <c r="J1648">
        <f t="shared" si="195"/>
        <v>10143.579374281284</v>
      </c>
      <c r="K1648" s="5">
        <f t="shared" si="196"/>
        <v>1059.8606552260842</v>
      </c>
      <c r="L1648" s="5">
        <f t="shared" si="197"/>
        <v>9.2681980668658084E-2</v>
      </c>
    </row>
    <row r="1649" spans="2:12">
      <c r="B1649">
        <v>16.029296875</v>
      </c>
      <c r="C1649">
        <v>2.6747584342956499</v>
      </c>
      <c r="D1649">
        <v>48.312624999999997</v>
      </c>
      <c r="E1649" s="5">
        <f t="shared" si="191"/>
        <v>48312.625</v>
      </c>
      <c r="F1649" s="5">
        <v>0.97228121012449298</v>
      </c>
      <c r="G1649">
        <f t="shared" si="192"/>
        <v>966.25250000000005</v>
      </c>
      <c r="H1649">
        <f t="shared" si="193"/>
        <v>9.7228121012449292E-2</v>
      </c>
      <c r="I1649">
        <f t="shared" si="194"/>
        <v>9.4787109549126933E-2</v>
      </c>
      <c r="J1649">
        <f t="shared" si="195"/>
        <v>10155.085204604196</v>
      </c>
      <c r="K1649" s="5">
        <f t="shared" si="196"/>
        <v>1060.1994149985817</v>
      </c>
      <c r="L1649" s="5">
        <f t="shared" si="197"/>
        <v>9.2787109549126931E-2</v>
      </c>
    </row>
    <row r="1650" spans="2:12">
      <c r="B1650">
        <v>16.0390625</v>
      </c>
      <c r="C1650">
        <v>2.6772439014166598</v>
      </c>
      <c r="D1650">
        <v>48.30643359375</v>
      </c>
      <c r="E1650" s="5">
        <f t="shared" si="191"/>
        <v>48306.43359375</v>
      </c>
      <c r="F1650" s="5">
        <v>0.97349588759243499</v>
      </c>
      <c r="G1650">
        <f t="shared" si="192"/>
        <v>966.12867187500001</v>
      </c>
      <c r="H1650">
        <f t="shared" si="193"/>
        <v>9.7349588759243502E-2</v>
      </c>
      <c r="I1650">
        <f t="shared" si="194"/>
        <v>9.4897807608600893E-2</v>
      </c>
      <c r="J1650">
        <f t="shared" si="195"/>
        <v>10167.200553723325</v>
      </c>
      <c r="K1650" s="5">
        <f t="shared" si="196"/>
        <v>1060.1809007705453</v>
      </c>
      <c r="L1650" s="5">
        <f t="shared" si="197"/>
        <v>9.2897807608600891E-2</v>
      </c>
    </row>
    <row r="1651" spans="2:12">
      <c r="B1651">
        <v>16.048828125</v>
      </c>
      <c r="C1651">
        <v>2.6767596136778602</v>
      </c>
      <c r="D1651">
        <v>48.288531249999998</v>
      </c>
      <c r="E1651" s="5">
        <f t="shared" si="191"/>
        <v>48288.53125</v>
      </c>
      <c r="F1651" s="5">
        <v>0.97467988962307595</v>
      </c>
      <c r="G1651">
        <f t="shared" si="192"/>
        <v>965.770625</v>
      </c>
      <c r="H1651">
        <f t="shared" si="193"/>
        <v>9.74679889623076E-2</v>
      </c>
      <c r="I1651">
        <f t="shared" si="194"/>
        <v>9.5005698309295797E-2</v>
      </c>
      <c r="J1651">
        <f t="shared" si="195"/>
        <v>10179.008651460877</v>
      </c>
      <c r="K1651" s="5">
        <f t="shared" si="196"/>
        <v>1059.9023456176208</v>
      </c>
      <c r="L1651" s="5">
        <f t="shared" si="197"/>
        <v>9.3005698309295795E-2</v>
      </c>
    </row>
    <row r="1652" spans="2:12">
      <c r="B1652">
        <v>16.05859375</v>
      </c>
      <c r="C1652">
        <v>2.6779472827911399</v>
      </c>
      <c r="D1652">
        <v>48.275359375000001</v>
      </c>
      <c r="E1652" s="5">
        <f t="shared" si="191"/>
        <v>48275.359375</v>
      </c>
      <c r="F1652" s="5">
        <v>0.97582634771242704</v>
      </c>
      <c r="G1652">
        <f t="shared" si="192"/>
        <v>965.50718749999999</v>
      </c>
      <c r="H1652">
        <f t="shared" si="193"/>
        <v>9.758263477124271E-2</v>
      </c>
      <c r="I1652">
        <f t="shared" si="194"/>
        <v>9.5110156773988888E-2</v>
      </c>
      <c r="J1652">
        <f t="shared" si="195"/>
        <v>10190.441108129213</v>
      </c>
      <c r="K1652" s="5">
        <f t="shared" si="196"/>
        <v>1059.7239227468222</v>
      </c>
      <c r="L1652" s="5">
        <f t="shared" si="197"/>
        <v>9.3110156773988886E-2</v>
      </c>
    </row>
    <row r="1653" spans="2:12">
      <c r="B1653">
        <v>16.068359375</v>
      </c>
      <c r="C1653">
        <v>2.68018990755081</v>
      </c>
      <c r="D1653">
        <v>48.273703124999997</v>
      </c>
      <c r="E1653" s="5">
        <f t="shared" si="191"/>
        <v>48273.703125</v>
      </c>
      <c r="F1653" s="5">
        <v>0.97692548297345605</v>
      </c>
      <c r="G1653">
        <f t="shared" si="192"/>
        <v>965.47406249999995</v>
      </c>
      <c r="H1653">
        <f t="shared" si="193"/>
        <v>9.7692548297345611E-2</v>
      </c>
      <c r="I1653">
        <f t="shared" si="194"/>
        <v>9.5210293218879694E-2</v>
      </c>
      <c r="J1653">
        <f t="shared" si="195"/>
        <v>10201.400541340288</v>
      </c>
      <c r="K1653" s="5">
        <f t="shared" si="196"/>
        <v>1059.7936839806157</v>
      </c>
      <c r="L1653" s="5">
        <f t="shared" si="197"/>
        <v>9.3210293218879692E-2</v>
      </c>
    </row>
    <row r="1654" spans="2:12">
      <c r="B1654">
        <v>16.078125</v>
      </c>
      <c r="C1654">
        <v>2.6825680397450902</v>
      </c>
      <c r="D1654">
        <v>48.271957031249997</v>
      </c>
      <c r="E1654" s="5">
        <f t="shared" si="191"/>
        <v>48271.95703125</v>
      </c>
      <c r="F1654" s="5">
        <v>0.97818532958626703</v>
      </c>
      <c r="G1654">
        <f t="shared" si="192"/>
        <v>965.43914062500005</v>
      </c>
      <c r="H1654">
        <f t="shared" si="193"/>
        <v>9.7818532958626705E-2</v>
      </c>
      <c r="I1654">
        <f t="shared" si="194"/>
        <v>9.5325058899176154E-2</v>
      </c>
      <c r="J1654">
        <f t="shared" si="195"/>
        <v>10213.961071220334</v>
      </c>
      <c r="K1654" s="5">
        <f t="shared" si="196"/>
        <v>1059.876981021775</v>
      </c>
      <c r="L1654" s="5">
        <f t="shared" si="197"/>
        <v>9.3325058899176153E-2</v>
      </c>
    </row>
    <row r="1655" spans="2:12">
      <c r="B1655">
        <v>16.087890625</v>
      </c>
      <c r="C1655">
        <v>2.6857599150389402</v>
      </c>
      <c r="D1655">
        <v>48.270011718749998</v>
      </c>
      <c r="E1655" s="5">
        <f t="shared" si="191"/>
        <v>48270.01171875</v>
      </c>
      <c r="F1655" s="5">
        <v>0.97936845850199505</v>
      </c>
      <c r="G1655">
        <f t="shared" si="192"/>
        <v>965.40023437499997</v>
      </c>
      <c r="H1655">
        <f t="shared" si="193"/>
        <v>9.7936845850199503E-2</v>
      </c>
      <c r="I1655">
        <f t="shared" si="194"/>
        <v>9.5432823992527671E-2</v>
      </c>
      <c r="J1655">
        <f t="shared" si="195"/>
        <v>10225.75542186219</v>
      </c>
      <c r="K1655" s="5">
        <f t="shared" si="196"/>
        <v>1059.9484883127307</v>
      </c>
      <c r="L1655" s="5">
        <f t="shared" si="197"/>
        <v>9.3432823992527669E-2</v>
      </c>
    </row>
    <row r="1656" spans="2:12">
      <c r="B1656">
        <v>16.09765625</v>
      </c>
      <c r="C1656">
        <v>2.6863946113735402</v>
      </c>
      <c r="D1656">
        <v>48.262363281250003</v>
      </c>
      <c r="E1656" s="5">
        <f t="shared" si="191"/>
        <v>48262.36328125</v>
      </c>
      <c r="F1656" s="5">
        <v>0.98044506739824999</v>
      </c>
      <c r="G1656">
        <f t="shared" si="192"/>
        <v>965.24726562499995</v>
      </c>
      <c r="H1656">
        <f t="shared" si="193"/>
        <v>9.8044506739824996E-2</v>
      </c>
      <c r="I1656">
        <f t="shared" si="194"/>
        <v>9.553087663726878E-2</v>
      </c>
      <c r="J1656">
        <f t="shared" si="195"/>
        <v>10236.486793565882</v>
      </c>
      <c r="K1656" s="5">
        <f t="shared" si="196"/>
        <v>1059.8844576651679</v>
      </c>
      <c r="L1656" s="5">
        <f t="shared" si="197"/>
        <v>9.3530876637268778E-2</v>
      </c>
    </row>
    <row r="1657" spans="2:12">
      <c r="B1657">
        <v>16.107421875</v>
      </c>
      <c r="C1657">
        <v>2.6871443260461101</v>
      </c>
      <c r="D1657">
        <v>48.25411328125</v>
      </c>
      <c r="E1657" s="5">
        <f t="shared" si="191"/>
        <v>48254.11328125</v>
      </c>
      <c r="F1657" s="5">
        <v>0.98162074573337998</v>
      </c>
      <c r="G1657">
        <f t="shared" si="192"/>
        <v>965.08226562499999</v>
      </c>
      <c r="H1657">
        <f t="shared" si="193"/>
        <v>9.8162074573338004E-2</v>
      </c>
      <c r="I1657">
        <f t="shared" si="194"/>
        <v>9.5637941095253448E-2</v>
      </c>
      <c r="J1657">
        <f t="shared" si="195"/>
        <v>10248.204463170014</v>
      </c>
      <c r="K1657" s="5">
        <f t="shared" si="196"/>
        <v>1059.8167429526873</v>
      </c>
      <c r="L1657" s="5">
        <f t="shared" si="197"/>
        <v>9.3637941095253446E-2</v>
      </c>
    </row>
    <row r="1658" spans="2:12">
      <c r="B1658">
        <v>16.1171875</v>
      </c>
      <c r="C1658">
        <v>2.6889457367360601</v>
      </c>
      <c r="D1658">
        <v>48.238472656250003</v>
      </c>
      <c r="E1658" s="5">
        <f t="shared" si="191"/>
        <v>48238.47265625</v>
      </c>
      <c r="F1658" s="5">
        <v>0.98277826327830597</v>
      </c>
      <c r="G1658">
        <f t="shared" si="192"/>
        <v>964.76945312500004</v>
      </c>
      <c r="H1658">
        <f t="shared" si="193"/>
        <v>9.8277826327830595E-2</v>
      </c>
      <c r="I1658">
        <f t="shared" si="194"/>
        <v>9.5743340523257087E-2</v>
      </c>
      <c r="J1658">
        <f t="shared" si="195"/>
        <v>10259.739903567872</v>
      </c>
      <c r="K1658" s="5">
        <f t="shared" si="196"/>
        <v>1059.584897885615</v>
      </c>
      <c r="L1658" s="5">
        <f t="shared" si="197"/>
        <v>9.3743340523257085E-2</v>
      </c>
    </row>
    <row r="1659" spans="2:12">
      <c r="B1659">
        <v>16.126953125</v>
      </c>
      <c r="C1659">
        <v>2.6899338699877302</v>
      </c>
      <c r="D1659">
        <v>48.214851562500002</v>
      </c>
      <c r="E1659" s="5">
        <f t="shared" si="191"/>
        <v>48214.8515625</v>
      </c>
      <c r="F1659" s="5">
        <v>0.98384858574718204</v>
      </c>
      <c r="G1659">
        <f t="shared" si="192"/>
        <v>964.29703125000003</v>
      </c>
      <c r="H1659">
        <f t="shared" si="193"/>
        <v>9.8384858574718209E-2</v>
      </c>
      <c r="I1659">
        <f t="shared" si="194"/>
        <v>9.5840790393651856E-2</v>
      </c>
      <c r="J1659">
        <f t="shared" si="195"/>
        <v>10270.405304633226</v>
      </c>
      <c r="K1659" s="5">
        <f t="shared" si="196"/>
        <v>1059.169258293552</v>
      </c>
      <c r="L1659" s="5">
        <f t="shared" si="197"/>
        <v>9.3840790393651854E-2</v>
      </c>
    </row>
    <row r="1660" spans="2:12">
      <c r="B1660">
        <v>16.13671875</v>
      </c>
      <c r="C1660">
        <v>2.6925192214548601</v>
      </c>
      <c r="D1660">
        <v>48.228382812500001</v>
      </c>
      <c r="E1660" s="5">
        <f t="shared" si="191"/>
        <v>48228.3828125</v>
      </c>
      <c r="F1660" s="5">
        <v>0.98497932776808705</v>
      </c>
      <c r="G1660">
        <f t="shared" si="192"/>
        <v>964.56765625000003</v>
      </c>
      <c r="H1660">
        <f t="shared" si="193"/>
        <v>9.8497932776808711E-2</v>
      </c>
      <c r="I1660">
        <f t="shared" si="194"/>
        <v>9.5943730980774203E-2</v>
      </c>
      <c r="J1660">
        <f t="shared" si="195"/>
        <v>10281.671637190833</v>
      </c>
      <c r="K1660" s="5">
        <f t="shared" si="196"/>
        <v>1059.5755764139965</v>
      </c>
      <c r="L1660" s="5">
        <f t="shared" si="197"/>
        <v>9.3943730980774201E-2</v>
      </c>
    </row>
    <row r="1661" spans="2:12">
      <c r="B1661">
        <v>16.146484375</v>
      </c>
      <c r="C1661">
        <v>2.6940121315419701</v>
      </c>
      <c r="D1661">
        <v>48.23741015625</v>
      </c>
      <c r="E1661" s="5">
        <f t="shared" si="191"/>
        <v>48237.41015625</v>
      </c>
      <c r="F1661" s="5">
        <v>0.98619796335697196</v>
      </c>
      <c r="G1661">
        <f t="shared" si="192"/>
        <v>964.74820312500003</v>
      </c>
      <c r="H1661">
        <f t="shared" si="193"/>
        <v>9.8619796335697202E-2</v>
      </c>
      <c r="I1661">
        <f t="shared" si="194"/>
        <v>9.6054661366887492E-2</v>
      </c>
      <c r="J1661">
        <f t="shared" si="195"/>
        <v>10293.812413299001</v>
      </c>
      <c r="K1661" s="5">
        <f t="shared" si="196"/>
        <v>1059.8914744324175</v>
      </c>
      <c r="L1661" s="5">
        <f t="shared" si="197"/>
        <v>9.405466136688749E-2</v>
      </c>
    </row>
    <row r="1662" spans="2:12">
      <c r="B1662">
        <v>16.15625</v>
      </c>
      <c r="C1662">
        <v>2.6960684917867201</v>
      </c>
      <c r="D1662">
        <v>48.250753906249997</v>
      </c>
      <c r="E1662" s="5">
        <f t="shared" si="191"/>
        <v>48250.75390625</v>
      </c>
      <c r="F1662" s="5">
        <v>0.98735350184142601</v>
      </c>
      <c r="G1662">
        <f t="shared" si="192"/>
        <v>965.01507812499995</v>
      </c>
      <c r="H1662">
        <f t="shared" si="193"/>
        <v>9.8735350184142603E-2</v>
      </c>
      <c r="I1662">
        <f t="shared" si="194"/>
        <v>9.6159836762621728E-2</v>
      </c>
      <c r="J1662">
        <f t="shared" si="195"/>
        <v>10305.323334485134</v>
      </c>
      <c r="K1662" s="5">
        <f t="shared" si="196"/>
        <v>1060.2961797966495</v>
      </c>
      <c r="L1662" s="5">
        <f t="shared" si="197"/>
        <v>9.4159836762621726E-2</v>
      </c>
    </row>
    <row r="1663" spans="2:12">
      <c r="B1663">
        <v>16.166015625</v>
      </c>
      <c r="C1663">
        <v>2.6960014365613501</v>
      </c>
      <c r="D1663">
        <v>48.251343749999997</v>
      </c>
      <c r="E1663" s="5">
        <f t="shared" si="191"/>
        <v>48251.34375</v>
      </c>
      <c r="F1663" s="5">
        <v>0.98853826057165906</v>
      </c>
      <c r="G1663">
        <f t="shared" si="192"/>
        <v>965.02687500000002</v>
      </c>
      <c r="H1663">
        <f t="shared" si="193"/>
        <v>9.8853826057165903E-2</v>
      </c>
      <c r="I1663">
        <f t="shared" si="194"/>
        <v>9.6267660257949181E-2</v>
      </c>
      <c r="J1663">
        <f t="shared" si="195"/>
        <v>10317.124076931248</v>
      </c>
      <c r="K1663" s="5">
        <f t="shared" si="196"/>
        <v>1060.4234738417404</v>
      </c>
      <c r="L1663" s="5">
        <f t="shared" si="197"/>
        <v>9.4267660257949179E-2</v>
      </c>
    </row>
    <row r="1664" spans="2:12">
      <c r="B1664">
        <v>16.17578125</v>
      </c>
      <c r="C1664">
        <v>2.6988997124135499</v>
      </c>
      <c r="D1664">
        <v>48.258898437500001</v>
      </c>
      <c r="E1664" s="5">
        <f t="shared" si="191"/>
        <v>48258.8984375</v>
      </c>
      <c r="F1664" s="5">
        <v>0.98981300834566399</v>
      </c>
      <c r="G1664">
        <f t="shared" si="192"/>
        <v>965.17796874999999</v>
      </c>
      <c r="H1664">
        <f t="shared" si="193"/>
        <v>9.8981300834566396E-2</v>
      </c>
      <c r="I1664">
        <f t="shared" si="194"/>
        <v>9.6383660567511714E-2</v>
      </c>
      <c r="J1664">
        <f t="shared" si="195"/>
        <v>10329.819730811319</v>
      </c>
      <c r="K1664" s="5">
        <f t="shared" si="196"/>
        <v>1060.7125396337394</v>
      </c>
      <c r="L1664" s="5">
        <f t="shared" si="197"/>
        <v>9.4383660567511712E-2</v>
      </c>
    </row>
    <row r="1665" spans="2:12">
      <c r="B1665">
        <v>16.185546875</v>
      </c>
      <c r="C1665">
        <v>2.70227040164173</v>
      </c>
      <c r="D1665">
        <v>48.252367187499999</v>
      </c>
      <c r="E1665" s="5">
        <f t="shared" si="191"/>
        <v>48252.3671875</v>
      </c>
      <c r="F1665" s="5">
        <v>0.99096389021724496</v>
      </c>
      <c r="G1665">
        <f t="shared" si="192"/>
        <v>965.04734374999998</v>
      </c>
      <c r="H1665">
        <f t="shared" si="193"/>
        <v>9.909638902172449E-2</v>
      </c>
      <c r="I1665">
        <f t="shared" si="194"/>
        <v>9.6488377691746577E-2</v>
      </c>
      <c r="J1665">
        <f t="shared" si="195"/>
        <v>10341.280496473204</v>
      </c>
      <c r="K1665" s="5">
        <f t="shared" si="196"/>
        <v>1060.6800507506318</v>
      </c>
      <c r="L1665" s="5">
        <f t="shared" si="197"/>
        <v>9.4488377691746575E-2</v>
      </c>
    </row>
    <row r="1666" spans="2:12">
      <c r="B1666">
        <v>16.1953125</v>
      </c>
      <c r="C1666">
        <v>2.7002110145986098</v>
      </c>
      <c r="D1666">
        <v>48.240195312499999</v>
      </c>
      <c r="E1666" s="5">
        <f t="shared" si="191"/>
        <v>48240.1953125</v>
      </c>
      <c r="F1666" s="5">
        <v>0.99212361965328499</v>
      </c>
      <c r="G1666">
        <f t="shared" si="192"/>
        <v>964.80390624999995</v>
      </c>
      <c r="H1666">
        <f t="shared" si="193"/>
        <v>9.9212361965328497E-2</v>
      </c>
      <c r="I1666">
        <f t="shared" si="194"/>
        <v>9.6593888752155632E-2</v>
      </c>
      <c r="J1666">
        <f t="shared" si="195"/>
        <v>10352.828154479674</v>
      </c>
      <c r="K1666" s="5">
        <f t="shared" si="196"/>
        <v>1060.5243806224378</v>
      </c>
      <c r="L1666" s="5">
        <f t="shared" si="197"/>
        <v>9.459388875215563E-2</v>
      </c>
    </row>
    <row r="1667" spans="2:12">
      <c r="B1667">
        <v>16.205078125</v>
      </c>
      <c r="C1667">
        <v>2.7044774033129202</v>
      </c>
      <c r="D1667">
        <v>48.229703125</v>
      </c>
      <c r="E1667" s="5">
        <f t="shared" si="191"/>
        <v>48229.703125</v>
      </c>
      <c r="F1667" s="5">
        <v>0.99339685402810596</v>
      </c>
      <c r="G1667">
        <f t="shared" si="192"/>
        <v>964.59406249999995</v>
      </c>
      <c r="H1667">
        <f t="shared" si="193"/>
        <v>9.9339685402810601E-2</v>
      </c>
      <c r="I1667">
        <f t="shared" si="194"/>
        <v>9.6709713563105079E-2</v>
      </c>
      <c r="J1667">
        <f t="shared" si="195"/>
        <v>10365.504600914035</v>
      </c>
      <c r="K1667" s="5">
        <f t="shared" si="196"/>
        <v>1060.4165332101688</v>
      </c>
      <c r="L1667" s="5">
        <f t="shared" si="197"/>
        <v>9.4709713563105077E-2</v>
      </c>
    </row>
    <row r="1668" spans="2:12">
      <c r="B1668">
        <v>16.21484375</v>
      </c>
      <c r="C1668">
        <v>2.7075738180428699</v>
      </c>
      <c r="D1668">
        <v>48.243550781250001</v>
      </c>
      <c r="E1668" s="5">
        <f t="shared" si="191"/>
        <v>48243.55078125</v>
      </c>
      <c r="F1668" s="5">
        <v>0.99460827186703704</v>
      </c>
      <c r="G1668">
        <f t="shared" si="192"/>
        <v>964.87101562500004</v>
      </c>
      <c r="H1668">
        <f t="shared" si="193"/>
        <v>9.946082718670371E-2</v>
      </c>
      <c r="I1668">
        <f t="shared" si="194"/>
        <v>9.6819902535066893E-2</v>
      </c>
      <c r="J1668">
        <f t="shared" si="195"/>
        <v>10377.564232950395</v>
      </c>
      <c r="K1668" s="5">
        <f t="shared" si="196"/>
        <v>1060.8378849675375</v>
      </c>
      <c r="L1668" s="5">
        <f t="shared" si="197"/>
        <v>9.4819902535066891E-2</v>
      </c>
    </row>
    <row r="1669" spans="2:12">
      <c r="B1669">
        <v>16.224609375</v>
      </c>
      <c r="C1669">
        <v>2.7070865035057099</v>
      </c>
      <c r="D1669">
        <v>48.252421875000003</v>
      </c>
      <c r="E1669" s="5">
        <f t="shared" si="191"/>
        <v>48252.421875</v>
      </c>
      <c r="F1669" s="5">
        <v>0.99575158674269904</v>
      </c>
      <c r="G1669">
        <f t="shared" si="192"/>
        <v>965.04843749999998</v>
      </c>
      <c r="H1669">
        <f t="shared" si="193"/>
        <v>9.9575158674269901E-2</v>
      </c>
      <c r="I1669">
        <f t="shared" si="194"/>
        <v>9.6923885815380958E-2</v>
      </c>
      <c r="J1669">
        <f t="shared" si="195"/>
        <v>10388.944683064368</v>
      </c>
      <c r="K1669" s="5">
        <f t="shared" si="196"/>
        <v>1061.1432887924186</v>
      </c>
      <c r="L1669" s="5">
        <f t="shared" si="197"/>
        <v>9.4923885815380957E-2</v>
      </c>
    </row>
    <row r="1670" spans="2:12">
      <c r="B1670">
        <v>16.234375</v>
      </c>
      <c r="C1670">
        <v>2.7106583584099999</v>
      </c>
      <c r="D1670">
        <v>48.227488281249997</v>
      </c>
      <c r="E1670" s="5">
        <f t="shared" si="191"/>
        <v>48227.48828125</v>
      </c>
      <c r="F1670" s="5">
        <v>0.99704961758106903</v>
      </c>
      <c r="G1670">
        <f t="shared" si="192"/>
        <v>964.54976562499996</v>
      </c>
      <c r="H1670">
        <f t="shared" si="193"/>
        <v>9.9704961758106905E-2</v>
      </c>
      <c r="I1670">
        <f t="shared" si="194"/>
        <v>9.7041927244284745E-2</v>
      </c>
      <c r="J1670">
        <f t="shared" si="195"/>
        <v>10401.863727250744</v>
      </c>
      <c r="K1670" s="5">
        <f t="shared" si="196"/>
        <v>1060.7201631204316</v>
      </c>
      <c r="L1670" s="5">
        <f t="shared" si="197"/>
        <v>9.5041927244284743E-2</v>
      </c>
    </row>
    <row r="1671" spans="2:12">
      <c r="B1671">
        <v>16.244140625</v>
      </c>
      <c r="C1671">
        <v>2.7100399602204601</v>
      </c>
      <c r="D1671">
        <v>48.213632812500002</v>
      </c>
      <c r="E1671" s="5">
        <f t="shared" si="191"/>
        <v>48213.6328125</v>
      </c>
      <c r="F1671" s="5">
        <v>0.99815276917070195</v>
      </c>
      <c r="G1671">
        <f t="shared" si="192"/>
        <v>964.27265624999995</v>
      </c>
      <c r="H1671">
        <f t="shared" si="193"/>
        <v>9.9815276917070192E-2</v>
      </c>
      <c r="I1671">
        <f t="shared" si="194"/>
        <v>9.7142235627100212E-2</v>
      </c>
      <c r="J1671">
        <f t="shared" si="195"/>
        <v>10412.841978207982</v>
      </c>
      <c r="K1671" s="5">
        <f t="shared" si="196"/>
        <v>1060.5217984571525</v>
      </c>
      <c r="L1671" s="5">
        <f t="shared" si="197"/>
        <v>9.5142235627100211E-2</v>
      </c>
    </row>
    <row r="1672" spans="2:12">
      <c r="B1672">
        <v>16.25390625</v>
      </c>
      <c r="C1672">
        <v>2.7122213505208501</v>
      </c>
      <c r="D1672">
        <v>48.196578125000002</v>
      </c>
      <c r="E1672" s="5">
        <f t="shared" si="191"/>
        <v>48196.578125</v>
      </c>
      <c r="F1672" s="5">
        <v>0.99929585121571995</v>
      </c>
      <c r="G1672">
        <f t="shared" si="192"/>
        <v>963.93156250000004</v>
      </c>
      <c r="H1672">
        <f t="shared" si="193"/>
        <v>9.992958512157199E-2</v>
      </c>
      <c r="I1672">
        <f t="shared" si="194"/>
        <v>9.7246164229528059E-2</v>
      </c>
      <c r="J1672">
        <f t="shared" si="195"/>
        <v>10424.216444100699</v>
      </c>
      <c r="K1672" s="5">
        <f t="shared" si="196"/>
        <v>1060.2568436262138</v>
      </c>
      <c r="L1672" s="5">
        <f t="shared" si="197"/>
        <v>9.5246164229528057E-2</v>
      </c>
    </row>
    <row r="1673" spans="2:12">
      <c r="B1673">
        <v>16.263671875</v>
      </c>
      <c r="C1673">
        <v>2.7140318416058999</v>
      </c>
      <c r="D1673">
        <v>48.191000000000003</v>
      </c>
      <c r="E1673" s="5">
        <f t="shared" ref="E1673:E1736" si="198" xml:space="preserve"> D1673*R$3</f>
        <v>48191</v>
      </c>
      <c r="F1673" s="5">
        <v>1.0004987707361599</v>
      </c>
      <c r="G1673">
        <f t="shared" ref="G1673:G1736" si="199" xml:space="preserve"> E1673/C$3</f>
        <v>963.82</v>
      </c>
      <c r="H1673">
        <f t="shared" ref="H1673:H1736" si="200" xml:space="preserve"> F1673/C$4</f>
        <v>0.10004987707361598</v>
      </c>
      <c r="I1673">
        <f t="shared" ref="I1673:I1736" si="201">L1673+0.002</f>
        <v>9.7355521570567816E-2</v>
      </c>
      <c r="J1673">
        <f t="shared" ref="J1673:J1736" si="202">L1673*G$2</f>
        <v>10436.185058290794</v>
      </c>
      <c r="K1673" s="5">
        <f t="shared" ref="K1673:K1736" si="203" xml:space="preserve"> G1673 * (1 + H1673)</f>
        <v>1060.2500725210925</v>
      </c>
      <c r="L1673" s="5">
        <f t="shared" ref="L1673:L1736" si="204">LN(1 + H1673)</f>
        <v>9.5355521570567814E-2</v>
      </c>
    </row>
    <row r="1674" spans="2:12">
      <c r="B1674">
        <v>16.2734375</v>
      </c>
      <c r="C1674">
        <v>2.7155473362654399</v>
      </c>
      <c r="D1674">
        <v>48.196074218749999</v>
      </c>
      <c r="E1674" s="5">
        <f t="shared" si="198"/>
        <v>48196.07421875</v>
      </c>
      <c r="F1674" s="5">
        <v>1.00166781339794</v>
      </c>
      <c r="G1674">
        <f t="shared" si="199"/>
        <v>963.92148437499998</v>
      </c>
      <c r="H1674">
        <f t="shared" si="200"/>
        <v>0.10016678133979399</v>
      </c>
      <c r="I1674">
        <f t="shared" si="201"/>
        <v>9.7461787711078052E-2</v>
      </c>
      <c r="J1674">
        <f t="shared" si="202"/>
        <v>10447.815356038936</v>
      </c>
      <c r="K1674" s="5">
        <f t="shared" si="203"/>
        <v>1060.4743969291203</v>
      </c>
      <c r="L1674" s="5">
        <f t="shared" si="204"/>
        <v>9.546178771107805E-2</v>
      </c>
    </row>
    <row r="1675" spans="2:12">
      <c r="B1675">
        <v>16.283203125</v>
      </c>
      <c r="C1675">
        <v>2.7174325659871101</v>
      </c>
      <c r="D1675">
        <v>48.18770703125</v>
      </c>
      <c r="E1675" s="5">
        <f t="shared" si="198"/>
        <v>48187.70703125</v>
      </c>
      <c r="F1675" s="5">
        <v>1.0027489624917501</v>
      </c>
      <c r="G1675">
        <f t="shared" si="199"/>
        <v>963.75414062499999</v>
      </c>
      <c r="H1675">
        <f t="shared" si="200"/>
        <v>0.100274896249175</v>
      </c>
      <c r="I1675">
        <f t="shared" si="201"/>
        <v>9.756005426416986E-2</v>
      </c>
      <c r="J1675">
        <f t="shared" si="202"/>
        <v>10458.57013894207</v>
      </c>
      <c r="K1675" s="5">
        <f t="shared" si="203"/>
        <v>1060.3944870858847</v>
      </c>
      <c r="L1675" s="5">
        <f t="shared" si="204"/>
        <v>9.5560054264169858E-2</v>
      </c>
    </row>
    <row r="1676" spans="2:12">
      <c r="B1676">
        <v>16.29296875</v>
      </c>
      <c r="C1676">
        <v>2.7186677325516899</v>
      </c>
      <c r="D1676">
        <v>48.195507812499997</v>
      </c>
      <c r="E1676" s="5">
        <f t="shared" si="198"/>
        <v>48195.5078125</v>
      </c>
      <c r="F1676" s="5">
        <v>1.00397039204836</v>
      </c>
      <c r="G1676">
        <f t="shared" si="199"/>
        <v>963.91015625</v>
      </c>
      <c r="H1676">
        <f t="shared" si="200"/>
        <v>0.100397039204836</v>
      </c>
      <c r="I1676">
        <f t="shared" si="201"/>
        <v>9.7671059411114716E-2</v>
      </c>
      <c r="J1676">
        <f t="shared" si="202"/>
        <v>10470.71909724945</v>
      </c>
      <c r="K1676" s="5">
        <f t="shared" si="203"/>
        <v>1060.6838819969707</v>
      </c>
      <c r="L1676" s="5">
        <f t="shared" si="204"/>
        <v>9.5671059411114714E-2</v>
      </c>
    </row>
    <row r="1677" spans="2:12">
      <c r="B1677">
        <v>16.302734375</v>
      </c>
      <c r="C1677">
        <v>2.7195976581424501</v>
      </c>
      <c r="D1677">
        <v>48.181039062499998</v>
      </c>
      <c r="E1677" s="5">
        <f t="shared" si="198"/>
        <v>48181.0390625</v>
      </c>
      <c r="F1677" s="5">
        <v>1.0050814598798801</v>
      </c>
      <c r="G1677">
        <f t="shared" si="199"/>
        <v>963.62078125000005</v>
      </c>
      <c r="H1677">
        <f t="shared" si="200"/>
        <v>0.100508145987988</v>
      </c>
      <c r="I1677">
        <f t="shared" si="201"/>
        <v>9.7772024036028096E-2</v>
      </c>
      <c r="J1677">
        <f t="shared" si="202"/>
        <v>10481.769170623094</v>
      </c>
      <c r="K1677" s="5">
        <f t="shared" si="203"/>
        <v>1060.472519408934</v>
      </c>
      <c r="L1677" s="5">
        <f t="shared" si="204"/>
        <v>9.5772024036028094E-2</v>
      </c>
    </row>
    <row r="1678" spans="2:12">
      <c r="B1678">
        <v>16.3125</v>
      </c>
      <c r="C1678">
        <v>2.7218328323215202</v>
      </c>
      <c r="D1678">
        <v>48.198593750000001</v>
      </c>
      <c r="E1678" s="5">
        <f t="shared" si="198"/>
        <v>48198.59375</v>
      </c>
      <c r="F1678" s="5">
        <v>1.00634340196848</v>
      </c>
      <c r="G1678">
        <f t="shared" si="199"/>
        <v>963.97187499999995</v>
      </c>
      <c r="H1678">
        <f t="shared" si="200"/>
        <v>0.100634340196848</v>
      </c>
      <c r="I1678">
        <f t="shared" si="201"/>
        <v>9.7886686498626724E-2</v>
      </c>
      <c r="J1678">
        <f t="shared" si="202"/>
        <v>10494.318403842202</v>
      </c>
      <c r="K1678" s="5">
        <f t="shared" si="203"/>
        <v>1060.9805486089433</v>
      </c>
      <c r="L1678" s="5">
        <f t="shared" si="204"/>
        <v>9.5886686498626722E-2</v>
      </c>
    </row>
    <row r="1679" spans="2:12">
      <c r="B1679">
        <v>16.322265625</v>
      </c>
      <c r="C1679">
        <v>2.7234540320932901</v>
      </c>
      <c r="D1679">
        <v>48.190824218750002</v>
      </c>
      <c r="E1679" s="5">
        <f t="shared" si="198"/>
        <v>48190.82421875</v>
      </c>
      <c r="F1679" s="5">
        <v>1.00758683402091</v>
      </c>
      <c r="G1679">
        <f t="shared" si="199"/>
        <v>963.81648437499996</v>
      </c>
      <c r="H1679">
        <f t="shared" si="200"/>
        <v>0.100758683402091</v>
      </c>
      <c r="I1679">
        <f t="shared" si="201"/>
        <v>9.7999654245905288E-2</v>
      </c>
      <c r="J1679">
        <f t="shared" si="202"/>
        <v>10506.682158943104</v>
      </c>
      <c r="K1679" s="5">
        <f t="shared" si="203"/>
        <v>1060.9293643818571</v>
      </c>
      <c r="L1679" s="5">
        <f t="shared" si="204"/>
        <v>9.5999654245905286E-2</v>
      </c>
    </row>
    <row r="1680" spans="2:12">
      <c r="B1680">
        <v>16.33203125</v>
      </c>
      <c r="C1680">
        <v>2.7253343723714401</v>
      </c>
      <c r="D1680">
        <v>48.182328124999998</v>
      </c>
      <c r="E1680" s="5">
        <f t="shared" si="198"/>
        <v>48182.328125</v>
      </c>
      <c r="F1680" s="5">
        <v>1.00867776200175</v>
      </c>
      <c r="G1680">
        <f t="shared" si="199"/>
        <v>963.64656249999996</v>
      </c>
      <c r="H1680">
        <f t="shared" si="200"/>
        <v>0.10086777620017499</v>
      </c>
      <c r="I1680">
        <f t="shared" si="201"/>
        <v>9.8098756250877578E-2</v>
      </c>
      <c r="J1680">
        <f t="shared" si="202"/>
        <v>10517.528377877295</v>
      </c>
      <c r="K1680" s="5">
        <f t="shared" si="203"/>
        <v>1060.8474483023181</v>
      </c>
      <c r="L1680" s="5">
        <f t="shared" si="204"/>
        <v>9.6098756250877576E-2</v>
      </c>
    </row>
    <row r="1681" spans="2:12">
      <c r="B1681">
        <v>16.341796875</v>
      </c>
      <c r="C1681">
        <v>2.7268959674984199</v>
      </c>
      <c r="D1681">
        <v>48.179734375000002</v>
      </c>
      <c r="E1681" s="5">
        <f t="shared" si="198"/>
        <v>48179.734375</v>
      </c>
      <c r="F1681" s="5">
        <v>1.0098642669618101</v>
      </c>
      <c r="G1681">
        <f t="shared" si="199"/>
        <v>963.59468749999996</v>
      </c>
      <c r="H1681">
        <f t="shared" si="200"/>
        <v>0.10098642669618101</v>
      </c>
      <c r="I1681">
        <f t="shared" si="201"/>
        <v>9.8206529504860321E-2</v>
      </c>
      <c r="J1681">
        <f t="shared" si="202"/>
        <v>10529.323621659438</v>
      </c>
      <c r="K1681" s="5">
        <f t="shared" si="203"/>
        <v>1060.9046717740482</v>
      </c>
      <c r="L1681" s="5">
        <f t="shared" si="204"/>
        <v>9.6206529504860319E-2</v>
      </c>
    </row>
    <row r="1682" spans="2:12">
      <c r="B1682">
        <v>16.3515625</v>
      </c>
      <c r="C1682">
        <v>2.72807781584561</v>
      </c>
      <c r="D1682">
        <v>48.203046874999998</v>
      </c>
      <c r="E1682" s="5">
        <f t="shared" si="198"/>
        <v>48203.046875</v>
      </c>
      <c r="F1682" s="5">
        <v>1.01113237906247</v>
      </c>
      <c r="G1682">
        <f t="shared" si="199"/>
        <v>964.06093750000002</v>
      </c>
      <c r="H1682">
        <f t="shared" si="200"/>
        <v>0.101113237906247</v>
      </c>
      <c r="I1682">
        <f t="shared" si="201"/>
        <v>9.832170250292617E-2</v>
      </c>
      <c r="J1682">
        <f t="shared" si="202"/>
        <v>10541.928730432754</v>
      </c>
      <c r="K1682" s="5">
        <f t="shared" si="203"/>
        <v>1061.5402604295571</v>
      </c>
      <c r="L1682" s="5">
        <f t="shared" si="204"/>
        <v>9.6321702502926168E-2</v>
      </c>
    </row>
    <row r="1683" spans="2:12">
      <c r="B1683">
        <v>16.361328125</v>
      </c>
      <c r="C1683">
        <v>2.72984220646322</v>
      </c>
      <c r="D1683">
        <v>48.187136718749997</v>
      </c>
      <c r="E1683" s="5">
        <f t="shared" si="198"/>
        <v>48187.13671875</v>
      </c>
      <c r="F1683" s="5">
        <v>1.0122563689947099</v>
      </c>
      <c r="G1683">
        <f t="shared" si="199"/>
        <v>963.74273437500005</v>
      </c>
      <c r="H1683">
        <f t="shared" si="200"/>
        <v>0.10122563689947099</v>
      </c>
      <c r="I1683">
        <f t="shared" si="201"/>
        <v>9.8423774890248145E-2</v>
      </c>
      <c r="J1683">
        <f t="shared" si="202"/>
        <v>10553.100042863209</v>
      </c>
      <c r="K1683" s="5">
        <f t="shared" si="203"/>
        <v>1061.2982064693472</v>
      </c>
      <c r="L1683" s="5">
        <f t="shared" si="204"/>
        <v>9.6423774890248143E-2</v>
      </c>
    </row>
    <row r="1684" spans="2:12">
      <c r="B1684">
        <v>16.37109375</v>
      </c>
      <c r="C1684">
        <v>2.7323511894792301</v>
      </c>
      <c r="D1684">
        <v>48.178085937500001</v>
      </c>
      <c r="E1684" s="5">
        <f t="shared" si="198"/>
        <v>48178.0859375</v>
      </c>
      <c r="F1684" s="5">
        <v>1.0134355397895001</v>
      </c>
      <c r="G1684">
        <f t="shared" si="199"/>
        <v>963.56171874999995</v>
      </c>
      <c r="H1684">
        <f t="shared" si="200"/>
        <v>0.10134355397895001</v>
      </c>
      <c r="I1684">
        <f t="shared" si="201"/>
        <v>9.8530847194791354E-2</v>
      </c>
      <c r="J1684">
        <f t="shared" si="202"/>
        <v>10564.81857123394</v>
      </c>
      <c r="K1684" s="5">
        <f t="shared" si="203"/>
        <v>1061.2124878061904</v>
      </c>
      <c r="L1684" s="5">
        <f t="shared" si="204"/>
        <v>9.6530847194791353E-2</v>
      </c>
    </row>
    <row r="1685" spans="2:12">
      <c r="B1685">
        <v>16.380859375</v>
      </c>
      <c r="C1685">
        <v>2.7331279125064598</v>
      </c>
      <c r="D1685">
        <v>48.172968750000003</v>
      </c>
      <c r="E1685" s="5">
        <f t="shared" si="198"/>
        <v>48172.96875</v>
      </c>
      <c r="F1685" s="5">
        <v>1.01467198692262</v>
      </c>
      <c r="G1685">
        <f t="shared" si="199"/>
        <v>963.45937500000002</v>
      </c>
      <c r="H1685">
        <f t="shared" si="200"/>
        <v>0.10146719869226199</v>
      </c>
      <c r="I1685">
        <f t="shared" si="201"/>
        <v>9.8643108053598091E-2</v>
      </c>
      <c r="J1685">
        <f t="shared" si="202"/>
        <v>10577.104960926043</v>
      </c>
      <c r="K1685" s="5">
        <f t="shared" si="203"/>
        <v>1061.2188988350476</v>
      </c>
      <c r="L1685" s="5">
        <f t="shared" si="204"/>
        <v>9.664310805359809E-2</v>
      </c>
    </row>
    <row r="1686" spans="2:12">
      <c r="B1686">
        <v>16.390625</v>
      </c>
      <c r="C1686">
        <v>2.7339817024767399</v>
      </c>
      <c r="D1686">
        <v>48.152500000000003</v>
      </c>
      <c r="E1686" s="5">
        <f t="shared" si="198"/>
        <v>48152.5</v>
      </c>
      <c r="F1686" s="5">
        <v>1.015868736431</v>
      </c>
      <c r="G1686">
        <f t="shared" si="199"/>
        <v>963.05</v>
      </c>
      <c r="H1686">
        <f t="shared" si="200"/>
        <v>0.1015868736431</v>
      </c>
      <c r="I1686">
        <f t="shared" si="201"/>
        <v>9.875175264154408E-2</v>
      </c>
      <c r="J1686">
        <f t="shared" si="202"/>
        <v>10588.995567853792</v>
      </c>
      <c r="K1686" s="5">
        <f t="shared" si="203"/>
        <v>1060.8832386619874</v>
      </c>
      <c r="L1686" s="5">
        <f t="shared" si="204"/>
        <v>9.6751752641544078E-2</v>
      </c>
    </row>
    <row r="1687" spans="2:12">
      <c r="B1687">
        <v>16.400390625</v>
      </c>
      <c r="C1687">
        <v>2.7367204893380399</v>
      </c>
      <c r="D1687">
        <v>48.1921015625</v>
      </c>
      <c r="E1687" s="5">
        <f t="shared" si="198"/>
        <v>48192.1015625</v>
      </c>
      <c r="F1687" s="5">
        <v>1.0170874884352099</v>
      </c>
      <c r="G1687">
        <f t="shared" si="199"/>
        <v>963.84203124999999</v>
      </c>
      <c r="H1687">
        <f t="shared" si="200"/>
        <v>0.10170874884352099</v>
      </c>
      <c r="I1687">
        <f t="shared" si="201"/>
        <v>9.8862382553664183E-2</v>
      </c>
      <c r="J1687">
        <f t="shared" si="202"/>
        <v>10601.103458585776</v>
      </c>
      <c r="K1687" s="5">
        <f t="shared" si="203"/>
        <v>1061.8731983312352</v>
      </c>
      <c r="L1687" s="5">
        <f t="shared" si="204"/>
        <v>9.6862382553664181E-2</v>
      </c>
    </row>
    <row r="1688" spans="2:12">
      <c r="B1688">
        <v>16.41015625</v>
      </c>
      <c r="C1688">
        <v>2.7383731212467</v>
      </c>
      <c r="D1688">
        <v>48.184953125</v>
      </c>
      <c r="E1688" s="5">
        <f t="shared" si="198"/>
        <v>48184.953125</v>
      </c>
      <c r="F1688" s="5">
        <v>1.0183360427618</v>
      </c>
      <c r="G1688">
        <f t="shared" si="199"/>
        <v>963.69906249999997</v>
      </c>
      <c r="H1688">
        <f t="shared" si="200"/>
        <v>0.10183360427618</v>
      </c>
      <c r="I1688">
        <f t="shared" si="201"/>
        <v>9.8975705025198257E-2</v>
      </c>
      <c r="J1688">
        <f t="shared" si="202"/>
        <v>10613.506036482822</v>
      </c>
      <c r="K1688" s="5">
        <f t="shared" si="203"/>
        <v>1061.8360114719508</v>
      </c>
      <c r="L1688" s="5">
        <f t="shared" si="204"/>
        <v>9.6975705025198256E-2</v>
      </c>
    </row>
    <row r="1689" spans="2:12">
      <c r="B1689">
        <v>16.419921875</v>
      </c>
      <c r="C1689">
        <v>2.7381314430385801</v>
      </c>
      <c r="D1689">
        <v>48.157652343750001</v>
      </c>
      <c r="E1689" s="5">
        <f t="shared" si="198"/>
        <v>48157.65234375</v>
      </c>
      <c r="F1689" s="5">
        <v>1.0194671340286701</v>
      </c>
      <c r="G1689">
        <f t="shared" si="199"/>
        <v>963.15304687499997</v>
      </c>
      <c r="H1689">
        <f t="shared" si="200"/>
        <v>0.10194671340286701</v>
      </c>
      <c r="I1689">
        <f t="shared" si="201"/>
        <v>9.9078355117749678E-2</v>
      </c>
      <c r="J1689">
        <f t="shared" si="202"/>
        <v>10624.740575862113</v>
      </c>
      <c r="K1689" s="5">
        <f t="shared" si="203"/>
        <v>1061.3433345078638</v>
      </c>
      <c r="L1689" s="5">
        <f t="shared" si="204"/>
        <v>9.7078355117749676E-2</v>
      </c>
    </row>
    <row r="1690" spans="2:12">
      <c r="B1690">
        <v>16.4296875</v>
      </c>
      <c r="C1690">
        <v>2.73967836983502</v>
      </c>
      <c r="D1690">
        <v>48.166249999999998</v>
      </c>
      <c r="E1690" s="5">
        <f t="shared" si="198"/>
        <v>48166.25</v>
      </c>
      <c r="F1690" s="5">
        <v>1.0205841390415999</v>
      </c>
      <c r="G1690">
        <f t="shared" si="199"/>
        <v>963.32500000000005</v>
      </c>
      <c r="H1690">
        <f t="shared" si="200"/>
        <v>0.10205841390416</v>
      </c>
      <c r="I1690">
        <f t="shared" si="201"/>
        <v>9.917971649845124E-2</v>
      </c>
      <c r="J1690">
        <f t="shared" si="202"/>
        <v>10635.834072172996</v>
      </c>
      <c r="K1690" s="5">
        <f t="shared" si="203"/>
        <v>1061.640421574225</v>
      </c>
      <c r="L1690" s="5">
        <f t="shared" si="204"/>
        <v>9.7179716498451238E-2</v>
      </c>
    </row>
    <row r="1691" spans="2:12">
      <c r="B1691">
        <v>16.439453125</v>
      </c>
      <c r="C1691">
        <v>2.7416585944593002</v>
      </c>
      <c r="D1691">
        <v>48.15938671875</v>
      </c>
      <c r="E1691" s="5">
        <f t="shared" si="198"/>
        <v>48159.38671875</v>
      </c>
      <c r="F1691" s="5">
        <v>1.0218865936621999</v>
      </c>
      <c r="G1691">
        <f t="shared" si="199"/>
        <v>963.18773437499999</v>
      </c>
      <c r="H1691">
        <f t="shared" si="200"/>
        <v>0.10218865936621999</v>
      </c>
      <c r="I1691">
        <f t="shared" si="201"/>
        <v>9.9297893325169959E-2</v>
      </c>
      <c r="J1691">
        <f t="shared" si="202"/>
        <v>10648.767934973226</v>
      </c>
      <c r="K1691" s="5">
        <f t="shared" si="203"/>
        <v>1061.6145976687681</v>
      </c>
      <c r="L1691" s="5">
        <f t="shared" si="204"/>
        <v>9.7297893325169957E-2</v>
      </c>
    </row>
    <row r="1692" spans="2:12">
      <c r="B1692">
        <v>16.44921875</v>
      </c>
      <c r="C1692">
        <v>2.7444108854979299</v>
      </c>
      <c r="D1692">
        <v>48.159207031249998</v>
      </c>
      <c r="E1692" s="5">
        <f t="shared" si="198"/>
        <v>48159.20703125</v>
      </c>
      <c r="F1692" s="5">
        <v>1.02314667310566</v>
      </c>
      <c r="G1692">
        <f t="shared" si="199"/>
        <v>963.18414062500005</v>
      </c>
      <c r="H1692">
        <f t="shared" si="200"/>
        <v>0.102314667310566</v>
      </c>
      <c r="I1692">
        <f t="shared" si="201"/>
        <v>9.9412211995464822E-2</v>
      </c>
      <c r="J1692">
        <f t="shared" si="202"/>
        <v>10661.279541843647</v>
      </c>
      <c r="K1692" s="5">
        <f t="shared" si="203"/>
        <v>1061.7320055318603</v>
      </c>
      <c r="L1692" s="5">
        <f t="shared" si="204"/>
        <v>9.741221199546482E-2</v>
      </c>
    </row>
    <row r="1693" spans="2:12">
      <c r="B1693">
        <v>16.458984375</v>
      </c>
      <c r="C1693">
        <v>2.7441307902336098</v>
      </c>
      <c r="D1693">
        <v>48.142742187499998</v>
      </c>
      <c r="E1693" s="5">
        <f t="shared" si="198"/>
        <v>48142.7421875</v>
      </c>
      <c r="F1693" s="5">
        <v>1.02417229209095</v>
      </c>
      <c r="G1693">
        <f t="shared" si="199"/>
        <v>962.85484374999999</v>
      </c>
      <c r="H1693">
        <f t="shared" si="200"/>
        <v>0.10241722920909499</v>
      </c>
      <c r="I1693">
        <f t="shared" si="201"/>
        <v>9.9505249973247945E-2</v>
      </c>
      <c r="J1693">
        <f t="shared" si="202"/>
        <v>10671.462083322122</v>
      </c>
      <c r="K1693" s="5">
        <f t="shared" si="203"/>
        <v>1061.4677689774312</v>
      </c>
      <c r="L1693" s="5">
        <f t="shared" si="204"/>
        <v>9.7505249973247943E-2</v>
      </c>
    </row>
    <row r="1694" spans="2:12">
      <c r="B1694">
        <v>16.46875</v>
      </c>
      <c r="C1694">
        <v>2.7477575931698102</v>
      </c>
      <c r="D1694">
        <v>48.133992187499999</v>
      </c>
      <c r="E1694" s="5">
        <f t="shared" si="198"/>
        <v>48133.9921875</v>
      </c>
      <c r="F1694" s="5">
        <v>1.0253953514620699</v>
      </c>
      <c r="G1694">
        <f t="shared" si="199"/>
        <v>962.67984375000003</v>
      </c>
      <c r="H1694">
        <f t="shared" si="200"/>
        <v>0.10253953514620699</v>
      </c>
      <c r="I1694">
        <f t="shared" si="201"/>
        <v>9.9616187238970921E-2</v>
      </c>
      <c r="J1694">
        <f t="shared" si="202"/>
        <v>10683.603612369172</v>
      </c>
      <c r="K1694" s="5">
        <f t="shared" si="203"/>
        <v>1061.3925874227482</v>
      </c>
      <c r="L1694" s="5">
        <f t="shared" si="204"/>
        <v>9.761618723897092E-2</v>
      </c>
    </row>
    <row r="1695" spans="2:12">
      <c r="B1695">
        <v>16.478515625</v>
      </c>
      <c r="C1695">
        <v>2.7475089300423901</v>
      </c>
      <c r="D1695">
        <v>48.131296874999997</v>
      </c>
      <c r="E1695" s="5">
        <f t="shared" si="198"/>
        <v>48131.296875</v>
      </c>
      <c r="F1695" s="5">
        <v>1.02658849209547</v>
      </c>
      <c r="G1695">
        <f t="shared" si="199"/>
        <v>962.62593749999996</v>
      </c>
      <c r="H1695">
        <f t="shared" si="200"/>
        <v>0.102658849209547</v>
      </c>
      <c r="I1695">
        <f t="shared" si="201"/>
        <v>9.9724398875894696E-2</v>
      </c>
      <c r="J1695">
        <f t="shared" si="202"/>
        <v>10695.446834972296</v>
      </c>
      <c r="K1695" s="5">
        <f t="shared" si="203"/>
        <v>1061.4480084630113</v>
      </c>
      <c r="L1695" s="5">
        <f t="shared" si="204"/>
        <v>9.7724398875894694E-2</v>
      </c>
    </row>
    <row r="1696" spans="2:12">
      <c r="B1696">
        <v>16.48828125</v>
      </c>
      <c r="C1696">
        <v>2.7522712480276801</v>
      </c>
      <c r="D1696">
        <v>48.133761718750002</v>
      </c>
      <c r="E1696" s="5">
        <f t="shared" si="198"/>
        <v>48133.76171875</v>
      </c>
      <c r="F1696" s="5">
        <v>1.0277506662532701</v>
      </c>
      <c r="G1696">
        <f t="shared" si="199"/>
        <v>962.67523437499995</v>
      </c>
      <c r="H1696">
        <f t="shared" si="200"/>
        <v>0.10277506662532701</v>
      </c>
      <c r="I1696">
        <f t="shared" si="201"/>
        <v>9.9829790758238751E-2</v>
      </c>
      <c r="J1696">
        <f t="shared" si="202"/>
        <v>10706.98144953544</v>
      </c>
      <c r="K1696" s="5">
        <f t="shared" si="203"/>
        <v>1061.614245726443</v>
      </c>
      <c r="L1696" s="5">
        <f t="shared" si="204"/>
        <v>9.7829790758238749E-2</v>
      </c>
    </row>
    <row r="1697" spans="2:12">
      <c r="B1697">
        <v>16.498046875</v>
      </c>
      <c r="C1697">
        <v>2.7516172267496599</v>
      </c>
      <c r="D1697">
        <v>48.113257812500002</v>
      </c>
      <c r="E1697" s="5">
        <f t="shared" si="198"/>
        <v>48113.2578125</v>
      </c>
      <c r="F1697" s="5">
        <v>1.0288748890161501</v>
      </c>
      <c r="G1697">
        <f t="shared" si="199"/>
        <v>962.26515625000002</v>
      </c>
      <c r="H1697">
        <f t="shared" si="200"/>
        <v>0.102887488901615</v>
      </c>
      <c r="I1697">
        <f t="shared" si="201"/>
        <v>9.9931730446250838E-2</v>
      </c>
      <c r="J1697">
        <f t="shared" si="202"/>
        <v>10718.138238689922</v>
      </c>
      <c r="K1697" s="5">
        <f t="shared" si="203"/>
        <v>1061.2702018340826</v>
      </c>
      <c r="L1697" s="5">
        <f t="shared" si="204"/>
        <v>9.7931730446250836E-2</v>
      </c>
    </row>
    <row r="1698" spans="2:12">
      <c r="B1698">
        <v>16.5078125</v>
      </c>
      <c r="C1698">
        <v>2.75232060812414</v>
      </c>
      <c r="D1698">
        <v>48.099066406250003</v>
      </c>
      <c r="E1698" s="5">
        <f t="shared" si="198"/>
        <v>48099.06640625</v>
      </c>
      <c r="F1698" s="5">
        <v>1.0301047004759301</v>
      </c>
      <c r="G1698">
        <f t="shared" si="199"/>
        <v>961.981328125</v>
      </c>
      <c r="H1698">
        <f t="shared" si="200"/>
        <v>0.10301047004759301</v>
      </c>
      <c r="I1698">
        <f t="shared" si="201"/>
        <v>0.1000432325632066</v>
      </c>
      <c r="J1698">
        <f t="shared" si="202"/>
        <v>10730.341587880146</v>
      </c>
      <c r="K1698" s="5">
        <f t="shared" si="203"/>
        <v>1061.0754769121643</v>
      </c>
      <c r="L1698" s="5">
        <f t="shared" si="204"/>
        <v>9.80432325632066E-2</v>
      </c>
    </row>
    <row r="1699" spans="2:12">
      <c r="B1699">
        <v>16.517578125</v>
      </c>
      <c r="C1699">
        <v>2.7547373902052601</v>
      </c>
      <c r="D1699">
        <v>48.106460937500003</v>
      </c>
      <c r="E1699" s="5">
        <f t="shared" si="198"/>
        <v>48106.4609375</v>
      </c>
      <c r="F1699" s="5">
        <v>1.0312435915693601</v>
      </c>
      <c r="G1699">
        <f t="shared" si="199"/>
        <v>962.12921874999995</v>
      </c>
      <c r="H1699">
        <f t="shared" si="200"/>
        <v>0.103124359156936</v>
      </c>
      <c r="I1699">
        <f t="shared" si="201"/>
        <v>0.10014648020513343</v>
      </c>
      <c r="J1699">
        <f t="shared" si="202"/>
        <v>10741.641526050829</v>
      </c>
      <c r="K1699" s="5">
        <f t="shared" si="203"/>
        <v>1061.3481778597572</v>
      </c>
      <c r="L1699" s="5">
        <f t="shared" si="204"/>
        <v>9.8146480205133432E-2</v>
      </c>
    </row>
    <row r="1700" spans="2:12">
      <c r="B1700">
        <v>16.52734375</v>
      </c>
      <c r="C1700">
        <v>2.7563543990254402</v>
      </c>
      <c r="D1700">
        <v>48.124285156249996</v>
      </c>
      <c r="E1700" s="5">
        <f t="shared" si="198"/>
        <v>48124.28515625</v>
      </c>
      <c r="F1700" s="5">
        <v>1.03244802448899</v>
      </c>
      <c r="G1700">
        <f t="shared" si="199"/>
        <v>962.48570312499999</v>
      </c>
      <c r="H1700">
        <f t="shared" si="200"/>
        <v>0.103244802448899</v>
      </c>
      <c r="I1700">
        <f t="shared" si="201"/>
        <v>0.10025565802920619</v>
      </c>
      <c r="J1700">
        <f t="shared" si="202"/>
        <v>10753.590493006472</v>
      </c>
      <c r="K1700" s="5">
        <f t="shared" si="203"/>
        <v>1061.8573494040302</v>
      </c>
      <c r="L1700" s="5">
        <f t="shared" si="204"/>
        <v>9.8255658029206189E-2</v>
      </c>
    </row>
    <row r="1701" spans="2:12">
      <c r="B1701">
        <v>16.537109375</v>
      </c>
      <c r="C1701">
        <v>2.7578445151448299</v>
      </c>
      <c r="D1701">
        <v>48.138507812500002</v>
      </c>
      <c r="E1701" s="5">
        <f t="shared" si="198"/>
        <v>48138.5078125</v>
      </c>
      <c r="F1701" s="5">
        <v>1.03378796484321</v>
      </c>
      <c r="G1701">
        <f t="shared" si="199"/>
        <v>962.77015625000001</v>
      </c>
      <c r="H1701">
        <f t="shared" si="200"/>
        <v>0.10337879648432099</v>
      </c>
      <c r="I1701">
        <f t="shared" si="201"/>
        <v>0.10037710514474632</v>
      </c>
      <c r="J1701">
        <f t="shared" si="202"/>
        <v>10766.882272566761</v>
      </c>
      <c r="K1701" s="5">
        <f t="shared" si="203"/>
        <v>1062.3001762941467</v>
      </c>
      <c r="L1701" s="5">
        <f t="shared" si="204"/>
        <v>9.8377105144746319E-2</v>
      </c>
    </row>
    <row r="1702" spans="2:12">
      <c r="B1702">
        <v>16.546875</v>
      </c>
      <c r="C1702">
        <v>2.7600631583482</v>
      </c>
      <c r="D1702">
        <v>48.145894531250001</v>
      </c>
      <c r="E1702" s="5">
        <f t="shared" si="198"/>
        <v>48145.89453125</v>
      </c>
      <c r="F1702" s="5">
        <v>1.0350428055971901</v>
      </c>
      <c r="G1702">
        <f t="shared" si="199"/>
        <v>962.91789062500004</v>
      </c>
      <c r="H1702">
        <f t="shared" si="200"/>
        <v>0.10350428055971901</v>
      </c>
      <c r="I1702">
        <f t="shared" si="201"/>
        <v>0.10049082578254417</v>
      </c>
      <c r="J1702">
        <f t="shared" si="202"/>
        <v>10779.328427770546</v>
      </c>
      <c r="K1702" s="5">
        <f t="shared" si="203"/>
        <v>1062.5840141322228</v>
      </c>
      <c r="L1702" s="5">
        <f t="shared" si="204"/>
        <v>9.8490825782544172E-2</v>
      </c>
    </row>
    <row r="1703" spans="2:12">
      <c r="B1703">
        <v>16.556640625</v>
      </c>
      <c r="C1703">
        <v>2.7624382637441198</v>
      </c>
      <c r="D1703">
        <v>48.139515625000001</v>
      </c>
      <c r="E1703" s="5">
        <f t="shared" si="198"/>
        <v>48139.515625</v>
      </c>
      <c r="F1703" s="5">
        <v>1.03614560794085</v>
      </c>
      <c r="G1703">
        <f t="shared" si="199"/>
        <v>962.79031250000003</v>
      </c>
      <c r="H1703">
        <f t="shared" si="200"/>
        <v>0.103614560794085</v>
      </c>
      <c r="I1703">
        <f t="shared" si="201"/>
        <v>0.10059075717943274</v>
      </c>
      <c r="J1703">
        <f t="shared" si="202"/>
        <v>10790.265419503015</v>
      </c>
      <c r="K1703" s="5">
        <f t="shared" si="203"/>
        <v>1062.5494078664874</v>
      </c>
      <c r="L1703" s="5">
        <f t="shared" si="204"/>
        <v>9.8590757179432734E-2</v>
      </c>
    </row>
    <row r="1704" spans="2:12">
      <c r="B1704">
        <v>16.56640625</v>
      </c>
      <c r="C1704">
        <v>2.7626780793070802</v>
      </c>
      <c r="D1704">
        <v>48.1331953125</v>
      </c>
      <c r="E1704" s="5">
        <f t="shared" si="198"/>
        <v>48133.1953125</v>
      </c>
      <c r="F1704" s="5">
        <v>1.0373931145295501</v>
      </c>
      <c r="G1704">
        <f t="shared" si="199"/>
        <v>962.66390624999997</v>
      </c>
      <c r="H1704">
        <f t="shared" si="200"/>
        <v>0.10373931145295501</v>
      </c>
      <c r="I1704">
        <f t="shared" si="201"/>
        <v>0.10070378904131158</v>
      </c>
      <c r="J1704">
        <f t="shared" si="202"/>
        <v>10802.636191626345</v>
      </c>
      <c r="K1704" s="5">
        <f t="shared" si="203"/>
        <v>1062.5299970449869</v>
      </c>
      <c r="L1704" s="5">
        <f t="shared" si="204"/>
        <v>9.8703789041311579E-2</v>
      </c>
    </row>
    <row r="1705" spans="2:12">
      <c r="B1705">
        <v>16.576171875</v>
      </c>
      <c r="C1705">
        <v>2.7650296688079798</v>
      </c>
      <c r="D1705">
        <v>48.126542968750002</v>
      </c>
      <c r="E1705" s="5">
        <f t="shared" si="198"/>
        <v>48126.54296875</v>
      </c>
      <c r="F1705" s="5">
        <v>1.03876914363354</v>
      </c>
      <c r="G1705">
        <f t="shared" si="199"/>
        <v>962.53085937499998</v>
      </c>
      <c r="H1705">
        <f t="shared" si="200"/>
        <v>0.103876914363354</v>
      </c>
      <c r="I1705">
        <f t="shared" si="201"/>
        <v>0.10082845102645921</v>
      </c>
      <c r="J1705">
        <f t="shared" si="202"/>
        <v>10816.279822590828</v>
      </c>
      <c r="K1705" s="5">
        <f t="shared" si="203"/>
        <v>1062.5155950263825</v>
      </c>
      <c r="L1705" s="5">
        <f t="shared" si="204"/>
        <v>9.8828451026459208E-2</v>
      </c>
    </row>
    <row r="1706" spans="2:12">
      <c r="B1706">
        <v>16.5859375</v>
      </c>
      <c r="C1706">
        <v>2.76742712594569</v>
      </c>
      <c r="D1706">
        <v>48.139117187499998</v>
      </c>
      <c r="E1706" s="5">
        <f t="shared" si="198"/>
        <v>48139.1171875</v>
      </c>
      <c r="F1706" s="5">
        <v>1.0399245657026801</v>
      </c>
      <c r="G1706">
        <f t="shared" si="199"/>
        <v>962.78234375</v>
      </c>
      <c r="H1706">
        <f t="shared" si="200"/>
        <v>0.10399245657026801</v>
      </c>
      <c r="I1706">
        <f t="shared" si="201"/>
        <v>0.10093311501477364</v>
      </c>
      <c r="J1706">
        <f t="shared" si="202"/>
        <v>10827.7347727919</v>
      </c>
      <c r="K1706" s="5">
        <f t="shared" si="203"/>
        <v>1062.9044448190427</v>
      </c>
      <c r="L1706" s="5">
        <f t="shared" si="204"/>
        <v>9.8933115014773643E-2</v>
      </c>
    </row>
    <row r="1707" spans="2:12">
      <c r="B1707">
        <v>16.595703125</v>
      </c>
      <c r="C1707">
        <v>2.7687908150255698</v>
      </c>
      <c r="D1707">
        <v>48.1250703125</v>
      </c>
      <c r="E1707" s="5">
        <f t="shared" si="198"/>
        <v>48125.0703125</v>
      </c>
      <c r="F1707" s="5">
        <v>1.0410798713564899</v>
      </c>
      <c r="G1707">
        <f t="shared" si="199"/>
        <v>962.50140624999995</v>
      </c>
      <c r="H1707">
        <f t="shared" si="200"/>
        <v>0.10410798713564899</v>
      </c>
      <c r="I1707">
        <f t="shared" si="201"/>
        <v>0.10103775750584833</v>
      </c>
      <c r="J1707">
        <f t="shared" si="202"/>
        <v>10839.18737022757</v>
      </c>
      <c r="K1707" s="5">
        <f t="shared" si="203"/>
        <v>1062.705490269919</v>
      </c>
      <c r="L1707" s="5">
        <f t="shared" si="204"/>
        <v>9.9037757505848326E-2</v>
      </c>
    </row>
    <row r="1708" spans="2:12">
      <c r="B1708">
        <v>16.60546875</v>
      </c>
      <c r="C1708">
        <v>2.7688874397426799</v>
      </c>
      <c r="D1708">
        <v>48.121707031249997</v>
      </c>
      <c r="E1708" s="5">
        <f t="shared" si="198"/>
        <v>48121.70703125</v>
      </c>
      <c r="F1708" s="5">
        <v>1.04239257052541</v>
      </c>
      <c r="G1708">
        <f t="shared" si="199"/>
        <v>962.43414062500005</v>
      </c>
      <c r="H1708">
        <f t="shared" si="200"/>
        <v>0.104239257052541</v>
      </c>
      <c r="I1708">
        <f t="shared" si="201"/>
        <v>0.10115664271956835</v>
      </c>
      <c r="J1708">
        <f t="shared" si="202"/>
        <v>10852.198762443159</v>
      </c>
      <c r="K1708" s="5">
        <f t="shared" si="203"/>
        <v>1062.7575604057508</v>
      </c>
      <c r="L1708" s="5">
        <f t="shared" si="204"/>
        <v>9.9156642719568353E-2</v>
      </c>
    </row>
    <row r="1709" spans="2:12">
      <c r="B1709">
        <v>16.615234375</v>
      </c>
      <c r="C1709">
        <v>2.7742816600948599</v>
      </c>
      <c r="D1709">
        <v>48.121011718749997</v>
      </c>
      <c r="E1709" s="5">
        <f t="shared" si="198"/>
        <v>48121.01171875</v>
      </c>
      <c r="F1709" s="5">
        <v>1.0436617303639699</v>
      </c>
      <c r="G1709">
        <f t="shared" si="199"/>
        <v>962.42023437499995</v>
      </c>
      <c r="H1709">
        <f t="shared" si="200"/>
        <v>0.10436617303639699</v>
      </c>
      <c r="I1709">
        <f t="shared" si="201"/>
        <v>0.10127157133675511</v>
      </c>
      <c r="J1709">
        <f t="shared" si="202"/>
        <v>10864.777124951162</v>
      </c>
      <c r="K1709" s="5">
        <f t="shared" si="203"/>
        <v>1062.8643510895108</v>
      </c>
      <c r="L1709" s="5">
        <f t="shared" si="204"/>
        <v>9.9271571336755113E-2</v>
      </c>
    </row>
    <row r="1710" spans="2:12">
      <c r="B1710">
        <v>16.625</v>
      </c>
      <c r="C1710">
        <v>2.7716576587408799</v>
      </c>
      <c r="D1710">
        <v>48.096937500000003</v>
      </c>
      <c r="E1710" s="5">
        <f t="shared" si="198"/>
        <v>48096.9375</v>
      </c>
      <c r="F1710" s="5">
        <v>1.04479596484452</v>
      </c>
      <c r="G1710">
        <f t="shared" si="199"/>
        <v>961.93875000000003</v>
      </c>
      <c r="H1710">
        <f t="shared" si="200"/>
        <v>0.104479596484452</v>
      </c>
      <c r="I1710">
        <f t="shared" si="201"/>
        <v>0.1013742706285933</v>
      </c>
      <c r="J1710">
        <f t="shared" si="202"/>
        <v>10876.017048946394</v>
      </c>
      <c r="K1710" s="5">
        <f t="shared" si="203"/>
        <v>1062.4417224427582</v>
      </c>
      <c r="L1710" s="5">
        <f t="shared" si="204"/>
        <v>9.9374270628593303E-2</v>
      </c>
    </row>
    <row r="1711" spans="2:12">
      <c r="B1711">
        <v>16.634765625</v>
      </c>
      <c r="C1711">
        <v>2.7748749125748899</v>
      </c>
      <c r="D1711">
        <v>48.122472656249997</v>
      </c>
      <c r="E1711" s="5">
        <f t="shared" si="198"/>
        <v>48122.47265625</v>
      </c>
      <c r="F1711" s="5">
        <v>1.04615010786802</v>
      </c>
      <c r="G1711">
        <f t="shared" si="199"/>
        <v>962.44945312499999</v>
      </c>
      <c r="H1711">
        <f t="shared" si="200"/>
        <v>0.10461501078680199</v>
      </c>
      <c r="I1711">
        <f t="shared" si="201"/>
        <v>0.10149686773427982</v>
      </c>
      <c r="J1711">
        <f t="shared" si="202"/>
        <v>10889.434689178255</v>
      </c>
      <c r="K1711" s="5">
        <f t="shared" si="203"/>
        <v>1063.1361130454236</v>
      </c>
      <c r="L1711" s="5">
        <f t="shared" si="204"/>
        <v>9.949686773427982E-2</v>
      </c>
    </row>
    <row r="1712" spans="2:12">
      <c r="B1712">
        <v>16.64453125</v>
      </c>
      <c r="C1712">
        <v>2.7771040331572299</v>
      </c>
      <c r="D1712">
        <v>48.118570312499997</v>
      </c>
      <c r="E1712" s="5">
        <f t="shared" si="198"/>
        <v>48118.5703125</v>
      </c>
      <c r="F1712" s="5">
        <v>1.0475198505446299</v>
      </c>
      <c r="G1712">
        <f t="shared" si="199"/>
        <v>962.37140624999995</v>
      </c>
      <c r="H1712">
        <f t="shared" si="200"/>
        <v>0.104751985054463</v>
      </c>
      <c r="I1712">
        <f t="shared" si="201"/>
        <v>0.10162086186300016</v>
      </c>
      <c r="J1712">
        <f t="shared" si="202"/>
        <v>10903.005226596053</v>
      </c>
      <c r="K1712" s="5">
        <f t="shared" si="203"/>
        <v>1063.1817214143425</v>
      </c>
      <c r="L1712" s="5">
        <f t="shared" si="204"/>
        <v>9.9620861863000162E-2</v>
      </c>
    </row>
    <row r="1713" spans="2:12">
      <c r="B1713">
        <v>16.654296875</v>
      </c>
      <c r="C1713">
        <v>2.7775554917752698</v>
      </c>
      <c r="D1713">
        <v>48.126542968750002</v>
      </c>
      <c r="E1713" s="5">
        <f t="shared" si="198"/>
        <v>48126.54296875</v>
      </c>
      <c r="F1713" s="5">
        <v>1.0486626997590101</v>
      </c>
      <c r="G1713">
        <f t="shared" si="199"/>
        <v>962.53085937499998</v>
      </c>
      <c r="H1713">
        <f t="shared" si="200"/>
        <v>0.10486626997590101</v>
      </c>
      <c r="I1713">
        <f t="shared" si="201"/>
        <v>0.10172430499964143</v>
      </c>
      <c r="J1713">
        <f t="shared" si="202"/>
        <v>10914.326560685755</v>
      </c>
      <c r="K1713" s="5">
        <f t="shared" si="203"/>
        <v>1063.4678803343547</v>
      </c>
      <c r="L1713" s="5">
        <f t="shared" si="204"/>
        <v>9.9724304999641425E-2</v>
      </c>
    </row>
    <row r="1714" spans="2:12">
      <c r="B1714">
        <v>16.6640625</v>
      </c>
      <c r="C1714">
        <v>2.7796253561973598</v>
      </c>
      <c r="D1714">
        <v>48.120953125</v>
      </c>
      <c r="E1714" s="5">
        <f t="shared" si="198"/>
        <v>48120.953125</v>
      </c>
      <c r="F1714" s="5">
        <v>1.04995456058532</v>
      </c>
      <c r="G1714">
        <f t="shared" si="199"/>
        <v>962.4190625</v>
      </c>
      <c r="H1714">
        <f t="shared" si="200"/>
        <v>0.104995456058532</v>
      </c>
      <c r="I1714">
        <f t="shared" si="201"/>
        <v>0.10184122279703674</v>
      </c>
      <c r="J1714">
        <f t="shared" si="202"/>
        <v>10927.122629021685</v>
      </c>
      <c r="K1714" s="5">
        <f t="shared" si="203"/>
        <v>1063.4686908866122</v>
      </c>
      <c r="L1714" s="5">
        <f t="shared" si="204"/>
        <v>9.9841222797036736E-2</v>
      </c>
    </row>
    <row r="1715" spans="2:12">
      <c r="B1715">
        <v>16.673828125</v>
      </c>
      <c r="C1715">
        <v>2.7808262966573198</v>
      </c>
      <c r="D1715">
        <v>48.117671874999999</v>
      </c>
      <c r="E1715" s="5">
        <f t="shared" si="198"/>
        <v>48117.671875</v>
      </c>
      <c r="F1715" s="5">
        <v>1.05137284845114</v>
      </c>
      <c r="G1715">
        <f t="shared" si="199"/>
        <v>962.35343750000004</v>
      </c>
      <c r="H1715">
        <f t="shared" si="200"/>
        <v>0.105137284845114</v>
      </c>
      <c r="I1715">
        <f t="shared" si="201"/>
        <v>0.10196956693144259</v>
      </c>
      <c r="J1715">
        <f t="shared" si="202"/>
        <v>10941.169252811735</v>
      </c>
      <c r="K1715" s="5">
        <f t="shared" si="203"/>
        <v>1063.532664980112</v>
      </c>
      <c r="L1715" s="5">
        <f t="shared" si="204"/>
        <v>9.9969566931442586E-2</v>
      </c>
    </row>
    <row r="1716" spans="2:12">
      <c r="B1716">
        <v>16.68359375</v>
      </c>
      <c r="C1716">
        <v>2.78361584059894</v>
      </c>
      <c r="D1716">
        <v>48.099621093750002</v>
      </c>
      <c r="E1716" s="5">
        <f t="shared" si="198"/>
        <v>48099.62109375</v>
      </c>
      <c r="F1716" s="5">
        <v>1.05248379986733</v>
      </c>
      <c r="G1716">
        <f t="shared" si="199"/>
        <v>961.99242187499999</v>
      </c>
      <c r="H1716">
        <f t="shared" si="200"/>
        <v>0.105248379986733</v>
      </c>
      <c r="I1716">
        <f t="shared" si="201"/>
        <v>0.10207008797940278</v>
      </c>
      <c r="J1716">
        <f t="shared" si="202"/>
        <v>10952.170778905738</v>
      </c>
      <c r="K1716" s="5">
        <f t="shared" si="203"/>
        <v>1063.2405658368575</v>
      </c>
      <c r="L1716" s="5">
        <f t="shared" si="204"/>
        <v>0.10007008797940278</v>
      </c>
    </row>
    <row r="1717" spans="2:12">
      <c r="B1717">
        <v>16.693359375</v>
      </c>
      <c r="C1717">
        <v>2.7856335509568502</v>
      </c>
      <c r="D1717">
        <v>48.085457031250002</v>
      </c>
      <c r="E1717" s="5">
        <f t="shared" si="198"/>
        <v>48085.45703125</v>
      </c>
      <c r="F1717" s="5">
        <v>1.0536058107391</v>
      </c>
      <c r="G1717">
        <f t="shared" si="199"/>
        <v>961.70914062500003</v>
      </c>
      <c r="H1717">
        <f t="shared" si="200"/>
        <v>0.10536058107391</v>
      </c>
      <c r="I1717">
        <f t="shared" si="201"/>
        <v>0.10217159945361624</v>
      </c>
      <c r="J1717">
        <f t="shared" si="202"/>
        <v>10963.280702201029</v>
      </c>
      <c r="K1717" s="5">
        <f t="shared" si="203"/>
        <v>1063.0353745053408</v>
      </c>
      <c r="L1717" s="5">
        <f t="shared" si="204"/>
        <v>0.10017159945361624</v>
      </c>
    </row>
    <row r="1718" spans="2:12">
      <c r="B1718">
        <v>16.703125</v>
      </c>
      <c r="C1718">
        <v>2.7860596310347301</v>
      </c>
      <c r="D1718">
        <v>48.078980468749997</v>
      </c>
      <c r="E1718" s="5">
        <f t="shared" si="198"/>
        <v>48078.98046875</v>
      </c>
      <c r="F1718" s="5">
        <v>1.0550339939072699</v>
      </c>
      <c r="G1718">
        <f t="shared" si="199"/>
        <v>961.57960937500002</v>
      </c>
      <c r="H1718">
        <f t="shared" si="200"/>
        <v>0.10550339939072699</v>
      </c>
      <c r="I1718">
        <f t="shared" si="201"/>
        <v>0.10230079629094109</v>
      </c>
      <c r="J1718">
        <f t="shared" si="202"/>
        <v>10977.420650062048</v>
      </c>
      <c r="K1718" s="5">
        <f t="shared" si="203"/>
        <v>1063.0295269488699</v>
      </c>
      <c r="L1718" s="5">
        <f t="shared" si="204"/>
        <v>0.10030079629094109</v>
      </c>
    </row>
    <row r="1719" spans="2:12">
      <c r="B1719">
        <v>16.712890625</v>
      </c>
      <c r="C1719">
        <v>2.7879192493856002</v>
      </c>
      <c r="D1719">
        <v>48.094804687500002</v>
      </c>
      <c r="E1719" s="5">
        <f t="shared" si="198"/>
        <v>48094.8046875</v>
      </c>
      <c r="F1719" s="5">
        <v>1.0562576353549999</v>
      </c>
      <c r="G1719">
        <f t="shared" si="199"/>
        <v>961.89609374999998</v>
      </c>
      <c r="H1719">
        <f t="shared" si="200"/>
        <v>0.10562576353549999</v>
      </c>
      <c r="I1719">
        <f t="shared" si="201"/>
        <v>0.10241147652342097</v>
      </c>
      <c r="J1719">
        <f t="shared" si="202"/>
        <v>10989.534048105808</v>
      </c>
      <c r="K1719" s="5">
        <f t="shared" si="203"/>
        <v>1063.4971030941585</v>
      </c>
      <c r="L1719" s="5">
        <f t="shared" si="204"/>
        <v>0.10041147652342097</v>
      </c>
    </row>
    <row r="1720" spans="2:12">
      <c r="B1720">
        <v>16.72265625</v>
      </c>
      <c r="C1720">
        <v>2.7903988957405099</v>
      </c>
      <c r="D1720">
        <v>48.081175781250003</v>
      </c>
      <c r="E1720" s="5">
        <f t="shared" si="198"/>
        <v>48081.17578125</v>
      </c>
      <c r="F1720" s="5">
        <v>1.0574078187346501</v>
      </c>
      <c r="G1720">
        <f t="shared" si="199"/>
        <v>961.62351562499998</v>
      </c>
      <c r="H1720">
        <f t="shared" si="200"/>
        <v>0.105740781873465</v>
      </c>
      <c r="I1720">
        <f t="shared" si="201"/>
        <v>0.1025155011938742</v>
      </c>
      <c r="J1720">
        <f t="shared" si="202"/>
        <v>11000.919028163562</v>
      </c>
      <c r="K1720" s="5">
        <f t="shared" si="203"/>
        <v>1063.3063380350977</v>
      </c>
      <c r="L1720" s="5">
        <f t="shared" si="204"/>
        <v>0.1005155011938742</v>
      </c>
    </row>
    <row r="1721" spans="2:12">
      <c r="B1721">
        <v>16.732421875</v>
      </c>
      <c r="C1721">
        <v>2.79167434200644</v>
      </c>
      <c r="D1721">
        <v>48.067203124999999</v>
      </c>
      <c r="E1721" s="5">
        <f t="shared" si="198"/>
        <v>48067.203125</v>
      </c>
      <c r="F1721" s="5">
        <v>1.0587341384962199</v>
      </c>
      <c r="G1721">
        <f t="shared" si="199"/>
        <v>961.34406249999995</v>
      </c>
      <c r="H1721">
        <f t="shared" si="200"/>
        <v>0.10587341384962198</v>
      </c>
      <c r="I1721">
        <f t="shared" si="201"/>
        <v>0.10263544252593156</v>
      </c>
      <c r="J1721">
        <f t="shared" si="202"/>
        <v>11014.046007250579</v>
      </c>
      <c r="K1721" s="5">
        <f t="shared" si="203"/>
        <v>1063.1248402809392</v>
      </c>
      <c r="L1721" s="5">
        <f t="shared" si="204"/>
        <v>0.10063544252593155</v>
      </c>
    </row>
    <row r="1722" spans="2:12">
      <c r="B1722">
        <v>16.7421875</v>
      </c>
      <c r="C1722">
        <v>2.7934312820434601</v>
      </c>
      <c r="D1722">
        <v>48.06839453125</v>
      </c>
      <c r="E1722" s="5">
        <f t="shared" si="198"/>
        <v>48068.39453125</v>
      </c>
      <c r="F1722" s="5">
        <v>1.0600113309919801</v>
      </c>
      <c r="G1722">
        <f t="shared" si="199"/>
        <v>961.36789062499997</v>
      </c>
      <c r="H1722">
        <f t="shared" si="200"/>
        <v>0.10600113309919801</v>
      </c>
      <c r="I1722">
        <f t="shared" si="201"/>
        <v>0.10275092760160551</v>
      </c>
      <c r="J1722">
        <f t="shared" si="202"/>
        <v>11026.685271357714</v>
      </c>
      <c r="K1722" s="5">
        <f t="shared" si="203"/>
        <v>1063.2739763564357</v>
      </c>
      <c r="L1722" s="5">
        <f t="shared" si="204"/>
        <v>0.10075092760160551</v>
      </c>
    </row>
    <row r="1723" spans="2:12">
      <c r="B1723">
        <v>16.751953125</v>
      </c>
      <c r="C1723">
        <v>2.7940466534346302</v>
      </c>
      <c r="D1723">
        <v>48.065171874999997</v>
      </c>
      <c r="E1723" s="5">
        <f t="shared" si="198"/>
        <v>48065.171875</v>
      </c>
      <c r="F1723" s="5">
        <v>1.0612469632178501</v>
      </c>
      <c r="G1723">
        <f t="shared" si="199"/>
        <v>961.30343749999997</v>
      </c>
      <c r="H1723">
        <f t="shared" si="200"/>
        <v>0.10612469632178501</v>
      </c>
      <c r="I1723">
        <f t="shared" si="201"/>
        <v>0.10286264206293699</v>
      </c>
      <c r="J1723">
        <f t="shared" si="202"/>
        <v>11038.911860578139</v>
      </c>
      <c r="K1723" s="5">
        <f t="shared" si="203"/>
        <v>1063.3214728777755</v>
      </c>
      <c r="L1723" s="5">
        <f t="shared" si="204"/>
        <v>0.10086264206293699</v>
      </c>
    </row>
    <row r="1724" spans="2:12">
      <c r="B1724">
        <v>16.76171875</v>
      </c>
      <c r="C1724">
        <v>2.7960704173892701</v>
      </c>
      <c r="D1724">
        <v>48.054875000000003</v>
      </c>
      <c r="E1724" s="5">
        <f t="shared" si="198"/>
        <v>48054.875</v>
      </c>
      <c r="F1724" s="5">
        <v>1.0625307913869599</v>
      </c>
      <c r="G1724">
        <f t="shared" si="199"/>
        <v>961.09749999999997</v>
      </c>
      <c r="H1724">
        <f t="shared" si="200"/>
        <v>0.106253079138696</v>
      </c>
      <c r="I1724">
        <f t="shared" si="201"/>
        <v>0.10297870073833962</v>
      </c>
      <c r="J1724">
        <f t="shared" si="202"/>
        <v>11051.613902307579</v>
      </c>
      <c r="K1724" s="5">
        <f t="shared" si="203"/>
        <v>1063.2170687275029</v>
      </c>
      <c r="L1724" s="5">
        <f t="shared" si="204"/>
        <v>0.10097870073833962</v>
      </c>
    </row>
    <row r="1725" spans="2:12">
      <c r="B1725">
        <v>16.771484375</v>
      </c>
      <c r="C1725">
        <v>2.7982548344880298</v>
      </c>
      <c r="D1725">
        <v>48.064195312499997</v>
      </c>
      <c r="E1725" s="5">
        <f t="shared" si="198"/>
        <v>48064.1953125</v>
      </c>
      <c r="F1725" s="5">
        <v>1.06384512037039</v>
      </c>
      <c r="G1725">
        <f t="shared" si="199"/>
        <v>961.28390624999997</v>
      </c>
      <c r="H1725">
        <f t="shared" si="200"/>
        <v>0.106384512037039</v>
      </c>
      <c r="I1725">
        <f t="shared" si="201"/>
        <v>0.10309750275003987</v>
      </c>
      <c r="J1725">
        <f t="shared" si="202"/>
        <v>11064.616188478114</v>
      </c>
      <c r="K1725" s="5">
        <f t="shared" si="203"/>
        <v>1063.549625545465</v>
      </c>
      <c r="L1725" s="5">
        <f t="shared" si="204"/>
        <v>0.10109750275003987</v>
      </c>
    </row>
    <row r="1726" spans="2:12">
      <c r="B1726">
        <v>16.78125</v>
      </c>
      <c r="C1726">
        <v>2.7995915152132498</v>
      </c>
      <c r="D1726">
        <v>48.053640625</v>
      </c>
      <c r="E1726" s="5">
        <f t="shared" si="198"/>
        <v>48053.640625</v>
      </c>
      <c r="F1726" s="5">
        <v>1.06508343014866</v>
      </c>
      <c r="G1726">
        <f t="shared" si="199"/>
        <v>961.07281250000005</v>
      </c>
      <c r="H1726">
        <f t="shared" si="200"/>
        <v>0.106508343014866</v>
      </c>
      <c r="I1726">
        <f t="shared" si="201"/>
        <v>0.10320942048493936</v>
      </c>
      <c r="J1726">
        <f t="shared" si="202"/>
        <v>11076.865024974188</v>
      </c>
      <c r="K1726" s="5">
        <f t="shared" si="203"/>
        <v>1063.4350852760122</v>
      </c>
      <c r="L1726" s="5">
        <f t="shared" si="204"/>
        <v>0.10120942048493936</v>
      </c>
    </row>
    <row r="1727" spans="2:12">
      <c r="B1727">
        <v>16.791015625</v>
      </c>
      <c r="C1727">
        <v>2.8016953729093101</v>
      </c>
      <c r="D1727">
        <v>48.062734374999998</v>
      </c>
      <c r="E1727" s="5">
        <f t="shared" si="198"/>
        <v>48062.734375</v>
      </c>
      <c r="F1727" s="5">
        <v>1.0662991553545</v>
      </c>
      <c r="G1727">
        <f t="shared" si="199"/>
        <v>961.25468750000005</v>
      </c>
      <c r="H1727">
        <f t="shared" si="200"/>
        <v>0.10662991553545001</v>
      </c>
      <c r="I1727">
        <f t="shared" si="201"/>
        <v>0.10331928485535224</v>
      </c>
      <c r="J1727">
        <f t="shared" si="202"/>
        <v>11088.889130994026</v>
      </c>
      <c r="K1727" s="5">
        <f t="shared" si="203"/>
        <v>1063.7531936361804</v>
      </c>
      <c r="L1727" s="5">
        <f t="shared" si="204"/>
        <v>0.10131928485535224</v>
      </c>
    </row>
    <row r="1728" spans="2:12">
      <c r="B1728">
        <v>16.80078125</v>
      </c>
      <c r="C1728">
        <v>2.8029740788042501</v>
      </c>
      <c r="D1728">
        <v>48.061425781250001</v>
      </c>
      <c r="E1728" s="5">
        <f t="shared" si="198"/>
        <v>48061.42578125</v>
      </c>
      <c r="F1728" s="5">
        <v>1.0676439851522399</v>
      </c>
      <c r="G1728">
        <f t="shared" si="199"/>
        <v>961.228515625</v>
      </c>
      <c r="H1728">
        <f t="shared" si="200"/>
        <v>0.10676439851522398</v>
      </c>
      <c r="I1728">
        <f t="shared" si="201"/>
        <v>0.10344080227236721</v>
      </c>
      <c r="J1728">
        <f t="shared" si="202"/>
        <v>11102.188604699229</v>
      </c>
      <c r="K1728" s="5">
        <f t="shared" si="203"/>
        <v>1063.8534999313847</v>
      </c>
      <c r="L1728" s="5">
        <f t="shared" si="204"/>
        <v>0.10144080227236721</v>
      </c>
    </row>
    <row r="1729" spans="2:12">
      <c r="B1729">
        <v>16.810546875</v>
      </c>
      <c r="C1729">
        <v>2.8043910861015302</v>
      </c>
      <c r="D1729">
        <v>48.055445312499998</v>
      </c>
      <c r="E1729" s="5">
        <f t="shared" si="198"/>
        <v>48055.4453125</v>
      </c>
      <c r="F1729" s="5">
        <v>1.06893514748663</v>
      </c>
      <c r="G1729">
        <f t="shared" si="199"/>
        <v>961.10890625000002</v>
      </c>
      <c r="H1729">
        <f t="shared" si="200"/>
        <v>0.106893514748663</v>
      </c>
      <c r="I1729">
        <f t="shared" si="201"/>
        <v>0.10355745646072367</v>
      </c>
      <c r="J1729">
        <f t="shared" si="202"/>
        <v>11114.955822343902</v>
      </c>
      <c r="K1729" s="5">
        <f t="shared" si="203"/>
        <v>1063.8452152953057</v>
      </c>
      <c r="L1729" s="5">
        <f t="shared" si="204"/>
        <v>0.10155745646072367</v>
      </c>
    </row>
    <row r="1730" spans="2:12">
      <c r="B1730">
        <v>16.8203125</v>
      </c>
      <c r="C1730">
        <v>2.8066469822078899</v>
      </c>
      <c r="D1730">
        <v>48.062734374999998</v>
      </c>
      <c r="E1730" s="5">
        <f t="shared" si="198"/>
        <v>48062.734375</v>
      </c>
      <c r="F1730" s="5">
        <v>1.07018032576889</v>
      </c>
      <c r="G1730">
        <f t="shared" si="199"/>
        <v>961.25468750000005</v>
      </c>
      <c r="H1730">
        <f t="shared" si="200"/>
        <v>0.10701803257688899</v>
      </c>
      <c r="I1730">
        <f t="shared" si="201"/>
        <v>0.10366994318451155</v>
      </c>
      <c r="J1730">
        <f t="shared" si="202"/>
        <v>11127.266931828866</v>
      </c>
      <c r="K1730" s="5">
        <f t="shared" si="203"/>
        <v>1064.1262729615623</v>
      </c>
      <c r="L1730" s="5">
        <f t="shared" si="204"/>
        <v>0.10166994318451154</v>
      </c>
    </row>
    <row r="1731" spans="2:12">
      <c r="B1731">
        <v>16.830078125</v>
      </c>
      <c r="C1731">
        <v>2.8074278961867098</v>
      </c>
      <c r="D1731">
        <v>48.044328125</v>
      </c>
      <c r="E1731" s="5">
        <f t="shared" si="198"/>
        <v>48044.328125</v>
      </c>
      <c r="F1731" s="5">
        <v>1.07142131309956</v>
      </c>
      <c r="G1731">
        <f t="shared" si="199"/>
        <v>960.88656249999997</v>
      </c>
      <c r="H1731">
        <f t="shared" si="200"/>
        <v>0.10714213130995601</v>
      </c>
      <c r="I1731">
        <f t="shared" si="201"/>
        <v>0.10378203871872002</v>
      </c>
      <c r="J1731">
        <f t="shared" si="202"/>
        <v>11139.535227570312</v>
      </c>
      <c r="K1731" s="5">
        <f t="shared" si="203"/>
        <v>1063.8379967533474</v>
      </c>
      <c r="L1731" s="5">
        <f t="shared" si="204"/>
        <v>0.10178203871872002</v>
      </c>
    </row>
    <row r="1732" spans="2:12">
      <c r="B1732">
        <v>16.83984375</v>
      </c>
      <c r="C1732">
        <v>2.8084800578653799</v>
      </c>
      <c r="D1732">
        <v>48.04746875</v>
      </c>
      <c r="E1732" s="5">
        <f t="shared" si="198"/>
        <v>48047.46875</v>
      </c>
      <c r="F1732" s="5">
        <v>1.0728292400017401</v>
      </c>
      <c r="G1732">
        <f t="shared" si="199"/>
        <v>960.94937500000003</v>
      </c>
      <c r="H1732">
        <f t="shared" si="200"/>
        <v>0.107282924000174</v>
      </c>
      <c r="I1732">
        <f t="shared" si="201"/>
        <v>0.10390919830813131</v>
      </c>
      <c r="J1732">
        <f t="shared" si="202"/>
        <v>11153.452208833431</v>
      </c>
      <c r="K1732" s="5">
        <f t="shared" si="203"/>
        <v>1064.0428337661397</v>
      </c>
      <c r="L1732" s="5">
        <f t="shared" si="204"/>
        <v>0.1019091983081313</v>
      </c>
    </row>
    <row r="1733" spans="2:12">
      <c r="B1733">
        <v>16.849609375</v>
      </c>
      <c r="C1733">
        <v>2.8116628527641301</v>
      </c>
      <c r="D1733">
        <v>48.055585937499998</v>
      </c>
      <c r="E1733" s="5">
        <f t="shared" si="198"/>
        <v>48055.5859375</v>
      </c>
      <c r="F1733" s="5">
        <v>1.0741256410255999</v>
      </c>
      <c r="G1733">
        <f t="shared" si="199"/>
        <v>961.11171875000002</v>
      </c>
      <c r="H1733">
        <f t="shared" si="200"/>
        <v>0.10741256410255999</v>
      </c>
      <c r="I1733">
        <f t="shared" si="201"/>
        <v>0.10402627092893225</v>
      </c>
      <c r="J1733">
        <f t="shared" si="202"/>
        <v>11166.26522181699</v>
      </c>
      <c r="K1733" s="5">
        <f t="shared" si="203"/>
        <v>1064.3471928499562</v>
      </c>
      <c r="L1733" s="5">
        <f t="shared" si="204"/>
        <v>0.10202627092893225</v>
      </c>
    </row>
    <row r="1734" spans="2:12">
      <c r="B1734">
        <v>16.859375</v>
      </c>
      <c r="C1734">
        <v>2.8119178023189302</v>
      </c>
      <c r="D1734">
        <v>48.051574218749998</v>
      </c>
      <c r="E1734" s="5">
        <f t="shared" si="198"/>
        <v>48051.57421875</v>
      </c>
      <c r="F1734" s="5">
        <v>1.0753980604931701</v>
      </c>
      <c r="G1734">
        <f t="shared" si="199"/>
        <v>961.03148437499999</v>
      </c>
      <c r="H1734">
        <f t="shared" si="200"/>
        <v>0.10753980604931701</v>
      </c>
      <c r="I1734">
        <f t="shared" si="201"/>
        <v>0.10414116454796597</v>
      </c>
      <c r="J1734">
        <f t="shared" si="202"/>
        <v>11178.839753952136</v>
      </c>
      <c r="K1734" s="5">
        <f t="shared" si="203"/>
        <v>1064.3806238119748</v>
      </c>
      <c r="L1734" s="5">
        <f t="shared" si="204"/>
        <v>0.10214116454796597</v>
      </c>
    </row>
    <row r="1735" spans="2:12">
      <c r="B1735">
        <v>16.869140625</v>
      </c>
      <c r="C1735">
        <v>2.8131394647061798</v>
      </c>
      <c r="D1735">
        <v>48.073593750000001</v>
      </c>
      <c r="E1735" s="5">
        <f t="shared" si="198"/>
        <v>48073.59375</v>
      </c>
      <c r="F1735" s="5">
        <v>1.0767448693513899</v>
      </c>
      <c r="G1735">
        <f t="shared" si="199"/>
        <v>961.47187499999995</v>
      </c>
      <c r="H1735">
        <f t="shared" si="200"/>
        <v>0.10767448693513899</v>
      </c>
      <c r="I1735">
        <f t="shared" si="201"/>
        <v>0.10426276080744686</v>
      </c>
      <c r="J1735">
        <f t="shared" si="202"/>
        <v>11192.14785657102</v>
      </c>
      <c r="K1735" s="5">
        <f t="shared" si="203"/>
        <v>1064.997865843191</v>
      </c>
      <c r="L1735" s="5">
        <f t="shared" si="204"/>
        <v>0.10226276080744685</v>
      </c>
    </row>
    <row r="1736" spans="2:12">
      <c r="B1736">
        <v>16.87890625</v>
      </c>
      <c r="C1736">
        <v>2.8180093504488499</v>
      </c>
      <c r="D1736">
        <v>48.034929687499996</v>
      </c>
      <c r="E1736" s="5">
        <f t="shared" si="198"/>
        <v>48034.9296875</v>
      </c>
      <c r="F1736" s="5">
        <v>1.0780600132420699</v>
      </c>
      <c r="G1736">
        <f t="shared" si="199"/>
        <v>960.69859374999999</v>
      </c>
      <c r="H1736">
        <f t="shared" si="200"/>
        <v>0.10780600132420699</v>
      </c>
      <c r="I1736">
        <f t="shared" si="201"/>
        <v>0.10438148393763873</v>
      </c>
      <c r="J1736">
        <f t="shared" si="202"/>
        <v>11205.141509554871</v>
      </c>
      <c r="K1736" s="5">
        <f t="shared" si="203"/>
        <v>1064.2676676199762</v>
      </c>
      <c r="L1736" s="5">
        <f t="shared" si="204"/>
        <v>0.10238148393763873</v>
      </c>
    </row>
    <row r="1737" spans="2:12">
      <c r="B1737">
        <v>16.888671875</v>
      </c>
      <c r="C1737">
        <v>2.8169513680040801</v>
      </c>
      <c r="D1737">
        <v>48.023523437500003</v>
      </c>
      <c r="E1737" s="5">
        <f t="shared" ref="E1737:E1800" si="205" xml:space="preserve"> D1737*R$3</f>
        <v>48023.5234375</v>
      </c>
      <c r="F1737" s="5">
        <v>1.0793819092214101</v>
      </c>
      <c r="G1737">
        <f t="shared" ref="G1737:G1800" si="206" xml:space="preserve"> E1737/C$3</f>
        <v>960.47046875000001</v>
      </c>
      <c r="H1737">
        <f t="shared" ref="H1737:H1800" si="207" xml:space="preserve"> F1737/C$4</f>
        <v>0.10793819092214101</v>
      </c>
      <c r="I1737">
        <f t="shared" ref="I1737:I1800" si="208">L1737+0.002</f>
        <v>0.10450080240278777</v>
      </c>
      <c r="J1737">
        <f t="shared" ref="J1737:J1800" si="209">L1737*G$2</f>
        <v>11218.200318973108</v>
      </c>
      <c r="K1737" s="5">
        <f t="shared" ref="K1737:K1800" si="210" xml:space="preserve"> G1737 * (1 + H1737)</f>
        <v>1064.1419135810158</v>
      </c>
      <c r="L1737" s="5">
        <f t="shared" ref="L1737:L1800" si="211">LN(1 + H1737)</f>
        <v>0.10250080240278776</v>
      </c>
    </row>
    <row r="1738" spans="2:12">
      <c r="B1738">
        <v>16.8984375</v>
      </c>
      <c r="C1738">
        <v>2.8213858604431201</v>
      </c>
      <c r="D1738">
        <v>48.040925781250003</v>
      </c>
      <c r="E1738" s="5">
        <f t="shared" si="205"/>
        <v>48040.92578125</v>
      </c>
      <c r="F1738" s="5">
        <v>1.0806838981807201</v>
      </c>
      <c r="G1738">
        <f t="shared" si="206"/>
        <v>960.81851562500003</v>
      </c>
      <c r="H1738">
        <f t="shared" si="207"/>
        <v>0.10806838981807201</v>
      </c>
      <c r="I1738">
        <f t="shared" si="208"/>
        <v>0.10461831008278513</v>
      </c>
      <c r="J1738">
        <f t="shared" si="209"/>
        <v>11231.060947010419</v>
      </c>
      <c r="K1738" s="5">
        <f t="shared" si="210"/>
        <v>1064.652625515984</v>
      </c>
      <c r="L1738" s="5">
        <f t="shared" si="211"/>
        <v>0.10261831008278513</v>
      </c>
    </row>
    <row r="1739" spans="2:12">
      <c r="B1739">
        <v>16.908203125</v>
      </c>
      <c r="C1739">
        <v>2.8219118248671302</v>
      </c>
      <c r="D1739">
        <v>48.025707031250001</v>
      </c>
      <c r="E1739" s="5">
        <f t="shared" si="205"/>
        <v>48025.70703125</v>
      </c>
      <c r="F1739" s="5">
        <v>1.08202407136559</v>
      </c>
      <c r="G1739">
        <f t="shared" si="206"/>
        <v>960.51414062499998</v>
      </c>
      <c r="H1739">
        <f t="shared" si="207"/>
        <v>0.108202407136559</v>
      </c>
      <c r="I1739">
        <f t="shared" si="208"/>
        <v>0.10473924956259459</v>
      </c>
      <c r="J1739">
        <f t="shared" si="209"/>
        <v>11244.297168378165</v>
      </c>
      <c r="K1739" s="5">
        <f t="shared" si="210"/>
        <v>1064.4440827293283</v>
      </c>
      <c r="L1739" s="5">
        <f t="shared" si="211"/>
        <v>0.10273924956259459</v>
      </c>
    </row>
    <row r="1740" spans="2:12">
      <c r="B1740">
        <v>16.91796875</v>
      </c>
      <c r="C1740">
        <v>2.8221651446074199</v>
      </c>
      <c r="D1740">
        <v>48.000863281249998</v>
      </c>
      <c r="E1740" s="5">
        <f t="shared" si="205"/>
        <v>48000.86328125</v>
      </c>
      <c r="F1740" s="5">
        <v>1.08322571031749</v>
      </c>
      <c r="G1740">
        <f t="shared" si="206"/>
        <v>960.01726562500005</v>
      </c>
      <c r="H1740">
        <f t="shared" si="207"/>
        <v>0.108322571031749</v>
      </c>
      <c r="I1740">
        <f t="shared" si="208"/>
        <v>0.10484767504526793</v>
      </c>
      <c r="J1740">
        <f t="shared" si="209"/>
        <v>11256.163795329348</v>
      </c>
      <c r="K1740" s="5">
        <f t="shared" si="210"/>
        <v>1064.0088040723697</v>
      </c>
      <c r="L1740" s="5">
        <f t="shared" si="211"/>
        <v>0.10284767504526793</v>
      </c>
    </row>
    <row r="1741" spans="2:12">
      <c r="B1741">
        <v>16.927734375</v>
      </c>
      <c r="C1741">
        <v>2.8239681851118799</v>
      </c>
      <c r="D1741">
        <v>48.002554687500002</v>
      </c>
      <c r="E1741" s="5">
        <f t="shared" si="205"/>
        <v>48002.5546875</v>
      </c>
      <c r="F1741" s="5">
        <v>1.08443817589432</v>
      </c>
      <c r="G1741">
        <f t="shared" si="206"/>
        <v>960.05109374999995</v>
      </c>
      <c r="H1741">
        <f t="shared" si="207"/>
        <v>0.108443817589432</v>
      </c>
      <c r="I1741">
        <f t="shared" si="208"/>
        <v>0.10495706551458057</v>
      </c>
      <c r="J1741">
        <f t="shared" si="209"/>
        <v>11268.136035243271</v>
      </c>
      <c r="K1741" s="5">
        <f t="shared" si="210"/>
        <v>1064.1626994371595</v>
      </c>
      <c r="L1741" s="5">
        <f t="shared" si="211"/>
        <v>0.10295706551458057</v>
      </c>
    </row>
    <row r="1742" spans="2:12">
      <c r="B1742">
        <v>16.9375</v>
      </c>
      <c r="C1742">
        <v>2.8263523709028999</v>
      </c>
      <c r="D1742">
        <v>47.983058593750002</v>
      </c>
      <c r="E1742" s="5">
        <f t="shared" si="205"/>
        <v>47983.05859375</v>
      </c>
      <c r="F1742" s="5">
        <v>1.0857599554583399</v>
      </c>
      <c r="G1742">
        <f t="shared" si="206"/>
        <v>959.66117187500004</v>
      </c>
      <c r="H1742">
        <f t="shared" si="207"/>
        <v>0.108575995545834</v>
      </c>
      <c r="I1742">
        <f t="shared" si="208"/>
        <v>0.10507630482473519</v>
      </c>
      <c r="J1742">
        <f t="shared" si="209"/>
        <v>11281.186181543142</v>
      </c>
      <c r="K1742" s="5">
        <f t="shared" si="210"/>
        <v>1063.8573389980099</v>
      </c>
      <c r="L1742" s="5">
        <f t="shared" si="211"/>
        <v>0.10307630482473519</v>
      </c>
    </row>
    <row r="1743" spans="2:12">
      <c r="B1743">
        <v>16.947265625</v>
      </c>
      <c r="C1743">
        <v>2.8283596038818399</v>
      </c>
      <c r="D1743">
        <v>47.997398437500003</v>
      </c>
      <c r="E1743" s="5">
        <f t="shared" si="205"/>
        <v>47997.3984375</v>
      </c>
      <c r="F1743" s="5">
        <v>1.0871482081711299</v>
      </c>
      <c r="G1743">
        <f t="shared" si="206"/>
        <v>959.94796874999997</v>
      </c>
      <c r="H1743">
        <f t="shared" si="207"/>
        <v>0.10871482081711299</v>
      </c>
      <c r="I1743">
        <f t="shared" si="208"/>
        <v>0.10520152545022622</v>
      </c>
      <c r="J1743">
        <f t="shared" si="209"/>
        <v>11294.890952900008</v>
      </c>
      <c r="K1743" s="5">
        <f t="shared" si="210"/>
        <v>1064.3085401664077</v>
      </c>
      <c r="L1743" s="5">
        <f t="shared" si="211"/>
        <v>0.10320152545022622</v>
      </c>
    </row>
    <row r="1744" spans="2:12">
      <c r="B1744">
        <v>16.95703125</v>
      </c>
      <c r="C1744">
        <v>2.8290227055549599</v>
      </c>
      <c r="D1744">
        <v>48.01063671875</v>
      </c>
      <c r="E1744" s="5">
        <f t="shared" si="205"/>
        <v>48010.63671875</v>
      </c>
      <c r="F1744" s="5">
        <v>1.08837627340108</v>
      </c>
      <c r="G1744">
        <f t="shared" si="206"/>
        <v>960.21273437499997</v>
      </c>
      <c r="H1744">
        <f t="shared" si="207"/>
        <v>0.108837627340108</v>
      </c>
      <c r="I1744">
        <f t="shared" si="208"/>
        <v>0.10531228406901119</v>
      </c>
      <c r="J1744">
        <f t="shared" si="209"/>
        <v>11307.012929932929</v>
      </c>
      <c r="K1744" s="5">
        <f t="shared" si="210"/>
        <v>1064.7200101261324</v>
      </c>
      <c r="L1744" s="5">
        <f t="shared" si="211"/>
        <v>0.10331228406901119</v>
      </c>
    </row>
    <row r="1745" spans="2:12">
      <c r="B1745">
        <v>16.966796875</v>
      </c>
      <c r="C1745">
        <v>2.8304485604166998</v>
      </c>
      <c r="D1745">
        <v>48.001515625000003</v>
      </c>
      <c r="E1745" s="5">
        <f t="shared" si="205"/>
        <v>48001.515625</v>
      </c>
      <c r="F1745" s="5">
        <v>1.08977453783154</v>
      </c>
      <c r="G1745">
        <f t="shared" si="206"/>
        <v>960.03031250000004</v>
      </c>
      <c r="H1745">
        <f t="shared" si="207"/>
        <v>0.108977453783154</v>
      </c>
      <c r="I1745">
        <f t="shared" si="208"/>
        <v>0.10543837793898393</v>
      </c>
      <c r="J1745">
        <f t="shared" si="209"/>
        <v>11320.813273532096</v>
      </c>
      <c r="K1745" s="5">
        <f t="shared" si="210"/>
        <v>1064.6519715108957</v>
      </c>
      <c r="L1745" s="5">
        <f t="shared" si="211"/>
        <v>0.10343837793898393</v>
      </c>
    </row>
    <row r="1746" spans="2:12">
      <c r="B1746">
        <v>16.9765625</v>
      </c>
      <c r="C1746">
        <v>2.8331638313829899</v>
      </c>
      <c r="D1746">
        <v>47.986476562500002</v>
      </c>
      <c r="E1746" s="5">
        <f t="shared" si="205"/>
        <v>47986.4765625</v>
      </c>
      <c r="F1746" s="5">
        <v>1.09105184674263</v>
      </c>
      <c r="G1746">
        <f t="shared" si="206"/>
        <v>959.72953125000004</v>
      </c>
      <c r="H1746">
        <f t="shared" si="207"/>
        <v>0.109105184674263</v>
      </c>
      <c r="I1746">
        <f t="shared" si="208"/>
        <v>0.1055535502856184</v>
      </c>
      <c r="J1746">
        <f t="shared" si="209"/>
        <v>11333.418311009505</v>
      </c>
      <c r="K1746" s="5">
        <f t="shared" si="210"/>
        <v>1064.4409989943751</v>
      </c>
      <c r="L1746" s="5">
        <f t="shared" si="211"/>
        <v>0.1035535502856184</v>
      </c>
    </row>
    <row r="1747" spans="2:12">
      <c r="B1747">
        <v>16.986328125</v>
      </c>
      <c r="C1747">
        <v>2.83349305391312</v>
      </c>
      <c r="D1747">
        <v>47.966429687500003</v>
      </c>
      <c r="E1747" s="5">
        <f t="shared" si="205"/>
        <v>47966.4296875</v>
      </c>
      <c r="F1747" s="5">
        <v>1.09226012136787</v>
      </c>
      <c r="G1747">
        <f t="shared" si="206"/>
        <v>959.32859374999998</v>
      </c>
      <c r="H1747">
        <f t="shared" si="207"/>
        <v>0.109226012136787</v>
      </c>
      <c r="I1747">
        <f t="shared" si="208"/>
        <v>0.10566248574378365</v>
      </c>
      <c r="J1747">
        <f t="shared" si="209"/>
        <v>11345.340752228401</v>
      </c>
      <c r="K1747" s="5">
        <f t="shared" si="210"/>
        <v>1064.1122303741042</v>
      </c>
      <c r="L1747" s="5">
        <f t="shared" si="211"/>
        <v>0.10366248574378364</v>
      </c>
    </row>
    <row r="1748" spans="2:12">
      <c r="B1748">
        <v>16.99609375</v>
      </c>
      <c r="C1748">
        <v>2.83531239256263</v>
      </c>
      <c r="D1748">
        <v>47.960542968749998</v>
      </c>
      <c r="E1748" s="5">
        <f t="shared" si="205"/>
        <v>47960.54296875</v>
      </c>
      <c r="F1748" s="5">
        <v>1.09347270336002</v>
      </c>
      <c r="G1748">
        <f t="shared" si="206"/>
        <v>959.21085937500004</v>
      </c>
      <c r="H1748">
        <f t="shared" si="207"/>
        <v>0.109347270336002</v>
      </c>
      <c r="I1748">
        <f t="shared" si="208"/>
        <v>0.10577179761578163</v>
      </c>
      <c r="J1748">
        <f t="shared" si="209"/>
        <v>11357.30439005922</v>
      </c>
      <c r="K1748" s="5">
        <f t="shared" si="210"/>
        <v>1064.0979485243072</v>
      </c>
      <c r="L1748" s="5">
        <f t="shared" si="211"/>
        <v>0.10377179761578163</v>
      </c>
    </row>
    <row r="1749" spans="2:12">
      <c r="B1749">
        <v>17.005859375</v>
      </c>
      <c r="C1749">
        <v>2.8374553658068198</v>
      </c>
      <c r="D1749">
        <v>47.983175781249997</v>
      </c>
      <c r="E1749" s="5">
        <f t="shared" si="205"/>
        <v>47983.17578125</v>
      </c>
      <c r="F1749" s="5">
        <v>1.0949481511488599</v>
      </c>
      <c r="G1749">
        <f t="shared" si="206"/>
        <v>959.66351562499995</v>
      </c>
      <c r="H1749">
        <f t="shared" si="207"/>
        <v>0.10949481511488598</v>
      </c>
      <c r="I1749">
        <f t="shared" si="208"/>
        <v>0.10590479020688924</v>
      </c>
      <c r="J1749">
        <f t="shared" si="209"/>
        <v>11371.859764192992</v>
      </c>
      <c r="K1749" s="5">
        <f t="shared" si="210"/>
        <v>1064.7416948408609</v>
      </c>
      <c r="L1749" s="5">
        <f t="shared" si="211"/>
        <v>0.10390479020688924</v>
      </c>
    </row>
    <row r="1750" spans="2:12">
      <c r="B1750">
        <v>17.015625</v>
      </c>
      <c r="C1750">
        <v>2.83811101689935</v>
      </c>
      <c r="D1750">
        <v>47.96508984375</v>
      </c>
      <c r="E1750" s="5">
        <f t="shared" si="205"/>
        <v>47965.08984375</v>
      </c>
      <c r="F1750" s="5">
        <v>1.09620089642704</v>
      </c>
      <c r="G1750">
        <f t="shared" si="206"/>
        <v>959.30179687500004</v>
      </c>
      <c r="H1750">
        <f t="shared" si="207"/>
        <v>0.10962008964270401</v>
      </c>
      <c r="I1750">
        <f t="shared" si="208"/>
        <v>0.10601769515622961</v>
      </c>
      <c r="J1750">
        <f t="shared" si="209"/>
        <v>11384.216646373548</v>
      </c>
      <c r="K1750" s="5">
        <f t="shared" si="210"/>
        <v>1064.4605458428446</v>
      </c>
      <c r="L1750" s="5">
        <f t="shared" si="211"/>
        <v>0.10401769515622961</v>
      </c>
    </row>
    <row r="1751" spans="2:12">
      <c r="B1751">
        <v>17.025390625</v>
      </c>
      <c r="C1751">
        <v>2.8416230343282201</v>
      </c>
      <c r="D1751">
        <v>47.974343750000003</v>
      </c>
      <c r="E1751" s="5">
        <f t="shared" si="205"/>
        <v>47974.34375</v>
      </c>
      <c r="F1751" s="5">
        <v>1.09738914761692</v>
      </c>
      <c r="G1751">
        <f t="shared" si="206"/>
        <v>959.48687500000005</v>
      </c>
      <c r="H1751">
        <f t="shared" si="207"/>
        <v>0.10973891476169199</v>
      </c>
      <c r="I1751">
        <f t="shared" si="208"/>
        <v>0.10612477573117562</v>
      </c>
      <c r="J1751">
        <f t="shared" si="209"/>
        <v>11395.936079898516</v>
      </c>
      <c r="K1751" s="5">
        <f t="shared" si="210"/>
        <v>1064.7799233905873</v>
      </c>
      <c r="L1751" s="5">
        <f t="shared" si="211"/>
        <v>0.10412477573117562</v>
      </c>
    </row>
    <row r="1752" spans="2:12">
      <c r="B1752">
        <v>17.03515625</v>
      </c>
      <c r="C1752">
        <v>2.8437376022338898</v>
      </c>
      <c r="D1752">
        <v>47.96121484375</v>
      </c>
      <c r="E1752" s="5">
        <f t="shared" si="205"/>
        <v>47961.21484375</v>
      </c>
      <c r="F1752" s="5">
        <v>1.09872815664858</v>
      </c>
      <c r="G1752">
        <f t="shared" si="206"/>
        <v>959.22429687500005</v>
      </c>
      <c r="H1752">
        <f t="shared" si="207"/>
        <v>0.109872815664858</v>
      </c>
      <c r="I1752">
        <f t="shared" si="208"/>
        <v>0.10624542827728801</v>
      </c>
      <c r="J1752">
        <f t="shared" si="209"/>
        <v>11409.140897807787</v>
      </c>
      <c r="K1752" s="5">
        <f t="shared" si="210"/>
        <v>1064.6169712267999</v>
      </c>
      <c r="L1752" s="5">
        <f t="shared" si="211"/>
        <v>0.10424542827728801</v>
      </c>
    </row>
    <row r="1753" spans="2:12">
      <c r="B1753">
        <v>17.044921875</v>
      </c>
      <c r="C1753">
        <v>2.8450712561607401</v>
      </c>
      <c r="D1753">
        <v>47.953199218750001</v>
      </c>
      <c r="E1753" s="5">
        <f t="shared" si="205"/>
        <v>47953.19921875</v>
      </c>
      <c r="F1753" s="5">
        <v>1.10007228795439</v>
      </c>
      <c r="G1753">
        <f t="shared" si="206"/>
        <v>959.06398437500002</v>
      </c>
      <c r="H1753">
        <f t="shared" si="207"/>
        <v>0.110007228795439</v>
      </c>
      <c r="I1753">
        <f t="shared" si="208"/>
        <v>0.10636652773136043</v>
      </c>
      <c r="J1753">
        <f t="shared" si="209"/>
        <v>11422.394627558742</v>
      </c>
      <c r="K1753" s="5">
        <f t="shared" si="210"/>
        <v>1064.567955533606</v>
      </c>
      <c r="L1753" s="5">
        <f t="shared" si="211"/>
        <v>0.10436652773136043</v>
      </c>
    </row>
    <row r="1754" spans="2:12">
      <c r="B1754">
        <v>17.0546875</v>
      </c>
      <c r="C1754">
        <v>2.8451501857489299</v>
      </c>
      <c r="D1754">
        <v>47.945679687499997</v>
      </c>
      <c r="E1754" s="5">
        <f t="shared" si="205"/>
        <v>47945.6796875</v>
      </c>
      <c r="F1754" s="5">
        <v>1.10124901402742</v>
      </c>
      <c r="G1754">
        <f t="shared" si="206"/>
        <v>958.91359375000002</v>
      </c>
      <c r="H1754">
        <f t="shared" si="207"/>
        <v>0.110124901402742</v>
      </c>
      <c r="I1754">
        <f t="shared" si="208"/>
        <v>0.10647253278017056</v>
      </c>
      <c r="J1754">
        <f t="shared" si="209"/>
        <v>11433.996350125766</v>
      </c>
      <c r="K1754" s="5">
        <f t="shared" si="210"/>
        <v>1064.5138587154679</v>
      </c>
      <c r="L1754" s="5">
        <f t="shared" si="211"/>
        <v>0.10447253278017056</v>
      </c>
    </row>
    <row r="1755" spans="2:12">
      <c r="B1755">
        <v>17.064453125</v>
      </c>
      <c r="C1755">
        <v>2.8456421568989798</v>
      </c>
      <c r="D1755">
        <v>47.94866015625</v>
      </c>
      <c r="E1755" s="5">
        <f t="shared" si="205"/>
        <v>47948.66015625</v>
      </c>
      <c r="F1755" s="5">
        <v>1.1025979183614301</v>
      </c>
      <c r="G1755">
        <f t="shared" si="206"/>
        <v>958.97320312500005</v>
      </c>
      <c r="H1755">
        <f t="shared" si="207"/>
        <v>0.11025979183614301</v>
      </c>
      <c r="I1755">
        <f t="shared" si="208"/>
        <v>0.10659403463881476</v>
      </c>
      <c r="J1755">
        <f t="shared" si="209"/>
        <v>11447.294121045081</v>
      </c>
      <c r="K1755" s="5">
        <f t="shared" si="210"/>
        <v>1064.7093888780018</v>
      </c>
      <c r="L1755" s="5">
        <f t="shared" si="211"/>
        <v>0.10459403463881475</v>
      </c>
    </row>
    <row r="1756" spans="2:12">
      <c r="B1756">
        <v>17.07421875</v>
      </c>
      <c r="C1756">
        <v>2.8484791982919</v>
      </c>
      <c r="D1756">
        <v>47.945496093750002</v>
      </c>
      <c r="E1756" s="5">
        <f t="shared" si="205"/>
        <v>47945.49609375</v>
      </c>
      <c r="F1756" s="5">
        <v>1.10402819700539</v>
      </c>
      <c r="G1756">
        <f t="shared" si="206"/>
        <v>958.90992187500001</v>
      </c>
      <c r="H1756">
        <f t="shared" si="207"/>
        <v>0.110402819700539</v>
      </c>
      <c r="I1756">
        <f t="shared" si="208"/>
        <v>0.10672285012285168</v>
      </c>
      <c r="J1756">
        <f t="shared" si="209"/>
        <v>11461.392331695502</v>
      </c>
      <c r="K1756" s="5">
        <f t="shared" si="210"/>
        <v>1064.7762810888237</v>
      </c>
      <c r="L1756" s="5">
        <f t="shared" si="211"/>
        <v>0.10472285012285168</v>
      </c>
    </row>
    <row r="1757" spans="2:12">
      <c r="B1757">
        <v>17.083984375</v>
      </c>
      <c r="C1757">
        <v>2.8502331115305402</v>
      </c>
      <c r="D1757">
        <v>47.954300781249998</v>
      </c>
      <c r="E1757" s="5">
        <f t="shared" si="205"/>
        <v>47954.30078125</v>
      </c>
      <c r="F1757" s="5">
        <v>1.1052440386265501</v>
      </c>
      <c r="G1757">
        <f t="shared" si="206"/>
        <v>959.08601562499996</v>
      </c>
      <c r="H1757">
        <f t="shared" si="207"/>
        <v>0.11052440386265501</v>
      </c>
      <c r="I1757">
        <f t="shared" si="208"/>
        <v>0.106832339673835</v>
      </c>
      <c r="J1757">
        <f t="shared" si="209"/>
        <v>11473.375415602872</v>
      </c>
      <c r="K1757" s="5">
        <f t="shared" si="210"/>
        <v>1065.0884257549621</v>
      </c>
      <c r="L1757" s="5">
        <f t="shared" si="211"/>
        <v>0.104832339673835</v>
      </c>
    </row>
    <row r="1758" spans="2:12">
      <c r="B1758">
        <v>17.09375</v>
      </c>
      <c r="C1758">
        <v>2.8518452309072</v>
      </c>
      <c r="D1758">
        <v>47.957753906249998</v>
      </c>
      <c r="E1758" s="5">
        <f t="shared" si="205"/>
        <v>47957.75390625</v>
      </c>
      <c r="F1758" s="5">
        <v>1.1065651196986399</v>
      </c>
      <c r="G1758">
        <f t="shared" si="206"/>
        <v>959.15507812500005</v>
      </c>
      <c r="H1758">
        <f t="shared" si="207"/>
        <v>0.11065651196986399</v>
      </c>
      <c r="I1758">
        <f t="shared" si="208"/>
        <v>0.10695129271041397</v>
      </c>
      <c r="J1758">
        <f t="shared" si="209"/>
        <v>11486.394230691256</v>
      </c>
      <c r="K1758" s="5">
        <f t="shared" si="210"/>
        <v>1065.2918335084948</v>
      </c>
      <c r="L1758" s="5">
        <f t="shared" si="211"/>
        <v>0.10495129271041397</v>
      </c>
    </row>
    <row r="1759" spans="2:12">
      <c r="B1759">
        <v>17.103515625</v>
      </c>
      <c r="C1759">
        <v>2.8533146250993</v>
      </c>
      <c r="D1759">
        <v>47.93394140625</v>
      </c>
      <c r="E1759" s="5">
        <f t="shared" si="205"/>
        <v>47933.94140625</v>
      </c>
      <c r="F1759" s="5">
        <v>1.10797316301614</v>
      </c>
      <c r="G1759">
        <f t="shared" si="206"/>
        <v>958.678828125</v>
      </c>
      <c r="H1759">
        <f t="shared" si="207"/>
        <v>0.110797316301614</v>
      </c>
      <c r="I1759">
        <f t="shared" si="208"/>
        <v>0.10707806044256012</v>
      </c>
      <c r="J1759">
        <f t="shared" si="209"/>
        <v>11500.268325135992</v>
      </c>
      <c r="K1759" s="5">
        <f t="shared" si="210"/>
        <v>1064.8978694764262</v>
      </c>
      <c r="L1759" s="5">
        <f t="shared" si="211"/>
        <v>0.10507806044256011</v>
      </c>
    </row>
    <row r="1760" spans="2:12">
      <c r="B1760">
        <v>17.11328125</v>
      </c>
      <c r="C1760">
        <v>2.8558282647281898</v>
      </c>
      <c r="D1760">
        <v>47.928066406249997</v>
      </c>
      <c r="E1760" s="5">
        <f t="shared" si="205"/>
        <v>47928.06640625</v>
      </c>
      <c r="F1760" s="5">
        <v>1.1091869091615101</v>
      </c>
      <c r="G1760">
        <f t="shared" si="206"/>
        <v>958.56132812500005</v>
      </c>
      <c r="H1760">
        <f t="shared" si="207"/>
        <v>0.110918690916151</v>
      </c>
      <c r="I1760">
        <f t="shared" si="208"/>
        <v>0.10718732248529053</v>
      </c>
      <c r="J1760">
        <f t="shared" si="209"/>
        <v>11512.226509402622</v>
      </c>
      <c r="K1760" s="5">
        <f t="shared" si="210"/>
        <v>1064.8836958034722</v>
      </c>
      <c r="L1760" s="5">
        <f t="shared" si="211"/>
        <v>0.10518732248529053</v>
      </c>
    </row>
    <row r="1761" spans="2:12">
      <c r="B1761">
        <v>17.123046875</v>
      </c>
      <c r="C1761">
        <v>2.8565153479576102</v>
      </c>
      <c r="D1761">
        <v>47.911593750000002</v>
      </c>
      <c r="E1761" s="5">
        <f t="shared" si="205"/>
        <v>47911.59375</v>
      </c>
      <c r="F1761" s="5">
        <v>1.11036340240389</v>
      </c>
      <c r="G1761">
        <f t="shared" si="206"/>
        <v>958.23187499999995</v>
      </c>
      <c r="H1761">
        <f t="shared" si="207"/>
        <v>0.111036340240389</v>
      </c>
      <c r="I1761">
        <f t="shared" si="208"/>
        <v>0.10729321960984826</v>
      </c>
      <c r="J1761">
        <f t="shared" si="209"/>
        <v>11523.816420199842</v>
      </c>
      <c r="K1761" s="5">
        <f t="shared" si="210"/>
        <v>1064.630435501686</v>
      </c>
      <c r="L1761" s="5">
        <f t="shared" si="211"/>
        <v>0.10529321960984826</v>
      </c>
    </row>
    <row r="1762" spans="2:12">
      <c r="B1762">
        <v>17.1328125</v>
      </c>
      <c r="C1762">
        <v>2.8582380618900101</v>
      </c>
      <c r="D1762">
        <v>47.907933593750002</v>
      </c>
      <c r="E1762" s="5">
        <f t="shared" si="205"/>
        <v>47907.93359375</v>
      </c>
      <c r="F1762" s="5">
        <v>1.1117160320282</v>
      </c>
      <c r="G1762">
        <f t="shared" si="206"/>
        <v>958.15867187499998</v>
      </c>
      <c r="H1762">
        <f t="shared" si="207"/>
        <v>0.11117160320282</v>
      </c>
      <c r="I1762">
        <f t="shared" si="208"/>
        <v>0.1074149570584044</v>
      </c>
      <c r="J1762">
        <f t="shared" si="209"/>
        <v>11537.139975257069</v>
      </c>
      <c r="K1762" s="5">
        <f t="shared" si="210"/>
        <v>1064.6787075500285</v>
      </c>
      <c r="L1762" s="5">
        <f t="shared" si="211"/>
        <v>0.1054149570584044</v>
      </c>
    </row>
    <row r="1763" spans="2:12">
      <c r="B1763">
        <v>17.142578125</v>
      </c>
      <c r="C1763">
        <v>2.8598725330084598</v>
      </c>
      <c r="D1763">
        <v>47.915613281250003</v>
      </c>
      <c r="E1763" s="5">
        <f t="shared" si="205"/>
        <v>47915.61328125</v>
      </c>
      <c r="F1763" s="5">
        <v>1.1131181381642801</v>
      </c>
      <c r="G1763">
        <f t="shared" si="206"/>
        <v>958.31226562500001</v>
      </c>
      <c r="H1763">
        <f t="shared" si="207"/>
        <v>0.111311813816428</v>
      </c>
      <c r="I1763">
        <f t="shared" si="208"/>
        <v>0.10754113178053752</v>
      </c>
      <c r="J1763">
        <f t="shared" si="209"/>
        <v>11550.949167720928</v>
      </c>
      <c r="K1763" s="5">
        <f t="shared" si="210"/>
        <v>1064.9837421142493</v>
      </c>
      <c r="L1763" s="5">
        <f t="shared" si="211"/>
        <v>0.10554113178053752</v>
      </c>
    </row>
    <row r="1764" spans="2:12">
      <c r="B1764">
        <v>17.15234375</v>
      </c>
      <c r="C1764">
        <v>2.8605475090444101</v>
      </c>
      <c r="D1764">
        <v>47.898062500000002</v>
      </c>
      <c r="E1764" s="5">
        <f t="shared" si="205"/>
        <v>47898.0625</v>
      </c>
      <c r="F1764" s="5">
        <v>1.1142381699755799</v>
      </c>
      <c r="G1764">
        <f t="shared" si="206"/>
        <v>957.96124999999995</v>
      </c>
      <c r="H1764">
        <f t="shared" si="207"/>
        <v>0.11142381699755799</v>
      </c>
      <c r="I1764">
        <f t="shared" si="208"/>
        <v>0.10764191136014384</v>
      </c>
      <c r="J1764">
        <f t="shared" si="209"/>
        <v>11561.978988810943</v>
      </c>
      <c r="K1764" s="5">
        <f t="shared" si="210"/>
        <v>1064.7009490107516</v>
      </c>
      <c r="L1764" s="5">
        <f t="shared" si="211"/>
        <v>0.10564191136014384</v>
      </c>
    </row>
    <row r="1765" spans="2:12">
      <c r="B1765">
        <v>17.162109375</v>
      </c>
      <c r="C1765">
        <v>2.8629184234887401</v>
      </c>
      <c r="D1765">
        <v>47.922277343749997</v>
      </c>
      <c r="E1765" s="5">
        <f t="shared" si="205"/>
        <v>47922.27734375</v>
      </c>
      <c r="F1765" s="5">
        <v>1.11562141682953</v>
      </c>
      <c r="G1765">
        <f t="shared" si="206"/>
        <v>958.44554687499999</v>
      </c>
      <c r="H1765">
        <f t="shared" si="207"/>
        <v>0.111562141682953</v>
      </c>
      <c r="I1765">
        <f t="shared" si="208"/>
        <v>0.10776636080619957</v>
      </c>
      <c r="J1765">
        <f t="shared" si="209"/>
        <v>11575.599358434512</v>
      </c>
      <c r="K1765" s="5">
        <f t="shared" si="210"/>
        <v>1065.3717847708642</v>
      </c>
      <c r="L1765" s="5">
        <f t="shared" si="211"/>
        <v>0.10576636080619957</v>
      </c>
    </row>
    <row r="1766" spans="2:12">
      <c r="B1766">
        <v>17.171875</v>
      </c>
      <c r="C1766">
        <v>2.8648197185248101</v>
      </c>
      <c r="D1766">
        <v>47.908003906250002</v>
      </c>
      <c r="E1766" s="5">
        <f t="shared" si="205"/>
        <v>47908.00390625</v>
      </c>
      <c r="F1766" s="5">
        <v>1.1170379584655199</v>
      </c>
      <c r="G1766">
        <f t="shared" si="206"/>
        <v>958.16007812500004</v>
      </c>
      <c r="H1766">
        <f t="shared" si="207"/>
        <v>0.11170379584655199</v>
      </c>
      <c r="I1766">
        <f t="shared" si="208"/>
        <v>0.10789378970384023</v>
      </c>
      <c r="J1766">
        <f t="shared" si="209"/>
        <v>11589.545814136793</v>
      </c>
      <c r="K1766" s="5">
        <f t="shared" si="210"/>
        <v>1065.1901958801914</v>
      </c>
      <c r="L1766" s="5">
        <f t="shared" si="211"/>
        <v>0.10589378970384022</v>
      </c>
    </row>
    <row r="1767" spans="2:12">
      <c r="B1767">
        <v>17.181640625</v>
      </c>
      <c r="C1767">
        <v>2.8666958678513801</v>
      </c>
      <c r="D1767">
        <v>47.898355468749997</v>
      </c>
      <c r="E1767" s="5">
        <f t="shared" si="205"/>
        <v>47898.35546875</v>
      </c>
      <c r="F1767" s="5">
        <v>1.11821340397</v>
      </c>
      <c r="G1767">
        <f t="shared" si="206"/>
        <v>957.96710937499995</v>
      </c>
      <c r="H1767">
        <f t="shared" si="207"/>
        <v>0.11182134039700001</v>
      </c>
      <c r="I1767">
        <f t="shared" si="208"/>
        <v>0.10799951780975772</v>
      </c>
      <c r="J1767">
        <f t="shared" si="209"/>
        <v>11601.117226688933</v>
      </c>
      <c r="K1767" s="5">
        <f t="shared" si="210"/>
        <v>1065.0882756015521</v>
      </c>
      <c r="L1767" s="5">
        <f t="shared" si="211"/>
        <v>0.10599951780975772</v>
      </c>
    </row>
    <row r="1768" spans="2:12">
      <c r="B1768">
        <v>17.19140625</v>
      </c>
      <c r="C1768">
        <v>2.8677673544734699</v>
      </c>
      <c r="D1768">
        <v>47.893683593749998</v>
      </c>
      <c r="E1768" s="5">
        <f t="shared" si="205"/>
        <v>47893.68359375</v>
      </c>
      <c r="F1768" s="5">
        <v>1.1195066617801801</v>
      </c>
      <c r="G1768">
        <f t="shared" si="206"/>
        <v>957.87367187500001</v>
      </c>
      <c r="H1768">
        <f t="shared" si="207"/>
        <v>0.11195066617801801</v>
      </c>
      <c r="I1768">
        <f t="shared" si="208"/>
        <v>0.10811582989641176</v>
      </c>
      <c r="J1768">
        <f t="shared" si="209"/>
        <v>11613.847003012785</v>
      </c>
      <c r="K1768" s="5">
        <f t="shared" si="210"/>
        <v>1065.1082675557905</v>
      </c>
      <c r="L1768" s="5">
        <f t="shared" si="211"/>
        <v>0.10611582989641176</v>
      </c>
    </row>
    <row r="1769" spans="2:12">
      <c r="B1769">
        <v>17.201171875</v>
      </c>
      <c r="C1769">
        <v>2.8693124186247601</v>
      </c>
      <c r="D1769">
        <v>47.9128046875</v>
      </c>
      <c r="E1769" s="5">
        <f t="shared" si="205"/>
        <v>47912.8046875</v>
      </c>
      <c r="F1769" s="5">
        <v>1.1210095835849601</v>
      </c>
      <c r="G1769">
        <f t="shared" si="206"/>
        <v>958.25609374999999</v>
      </c>
      <c r="H1769">
        <f t="shared" si="207"/>
        <v>0.11210095835849601</v>
      </c>
      <c r="I1769">
        <f t="shared" si="208"/>
        <v>0.10825098159797174</v>
      </c>
      <c r="J1769">
        <f t="shared" si="209"/>
        <v>11628.638680990016</v>
      </c>
      <c r="K1769" s="5">
        <f t="shared" si="210"/>
        <v>1065.6775202122437</v>
      </c>
      <c r="L1769" s="5">
        <f t="shared" si="211"/>
        <v>0.10625098159797174</v>
      </c>
    </row>
    <row r="1770" spans="2:12">
      <c r="B1770">
        <v>17.2109375</v>
      </c>
      <c r="C1770">
        <v>2.8718113899231001</v>
      </c>
      <c r="D1770">
        <v>47.927691406249998</v>
      </c>
      <c r="E1770" s="5">
        <f t="shared" si="205"/>
        <v>47927.69140625</v>
      </c>
      <c r="F1770" s="5">
        <v>1.1224084300920401</v>
      </c>
      <c r="G1770">
        <f t="shared" si="206"/>
        <v>958.553828125</v>
      </c>
      <c r="H1770">
        <f t="shared" si="207"/>
        <v>0.11224084300920401</v>
      </c>
      <c r="I1770">
        <f t="shared" si="208"/>
        <v>0.10837675781708207</v>
      </c>
      <c r="J1770">
        <f t="shared" si="209"/>
        <v>11642.404259290548</v>
      </c>
      <c r="K1770" s="5">
        <f t="shared" si="210"/>
        <v>1066.1427178634497</v>
      </c>
      <c r="L1770" s="5">
        <f t="shared" si="211"/>
        <v>0.10637675781708207</v>
      </c>
    </row>
    <row r="1771" spans="2:12">
      <c r="B1771">
        <v>17.220703125</v>
      </c>
      <c r="C1771">
        <v>2.87285889498889</v>
      </c>
      <c r="D1771">
        <v>47.922109374999998</v>
      </c>
      <c r="E1771" s="5">
        <f t="shared" si="205"/>
        <v>47922.109375</v>
      </c>
      <c r="F1771" s="5">
        <v>1.1236916761845399</v>
      </c>
      <c r="G1771">
        <f t="shared" si="206"/>
        <v>958.44218750000005</v>
      </c>
      <c r="H1771">
        <f t="shared" si="207"/>
        <v>0.11236916761845399</v>
      </c>
      <c r="I1771">
        <f t="shared" si="208"/>
        <v>0.10849212600186872</v>
      </c>
      <c r="J1771">
        <f t="shared" si="209"/>
        <v>11655.030730274522</v>
      </c>
      <c r="K1771" s="5">
        <f t="shared" si="210"/>
        <v>1066.1415383197852</v>
      </c>
      <c r="L1771" s="5">
        <f t="shared" si="211"/>
        <v>0.10649212600186872</v>
      </c>
    </row>
    <row r="1772" spans="2:12">
      <c r="B1772">
        <v>17.23046875</v>
      </c>
      <c r="C1772">
        <v>2.8750090859830402</v>
      </c>
      <c r="D1772">
        <v>47.920632812500003</v>
      </c>
      <c r="E1772" s="5">
        <f t="shared" si="205"/>
        <v>47920.6328125</v>
      </c>
      <c r="F1772" s="5">
        <v>1.12509657628834</v>
      </c>
      <c r="G1772">
        <f t="shared" si="206"/>
        <v>958.41265625000005</v>
      </c>
      <c r="H1772">
        <f t="shared" si="207"/>
        <v>0.112509657628834</v>
      </c>
      <c r="I1772">
        <f t="shared" si="208"/>
        <v>0.10861841603526071</v>
      </c>
      <c r="J1772">
        <f t="shared" si="209"/>
        <v>11668.852542979108</v>
      </c>
      <c r="K1772" s="5">
        <f t="shared" si="210"/>
        <v>1066.2433360718289</v>
      </c>
      <c r="L1772" s="5">
        <f t="shared" si="211"/>
        <v>0.1066184160352607</v>
      </c>
    </row>
    <row r="1773" spans="2:12">
      <c r="B1773">
        <v>17.240234375</v>
      </c>
      <c r="C1773">
        <v>2.8772382065653801</v>
      </c>
      <c r="D1773">
        <v>47.896124999999998</v>
      </c>
      <c r="E1773" s="5">
        <f t="shared" si="205"/>
        <v>47896.125</v>
      </c>
      <c r="F1773" s="5">
        <v>1.1264461791142799</v>
      </c>
      <c r="G1773">
        <f t="shared" si="206"/>
        <v>957.92250000000001</v>
      </c>
      <c r="H1773">
        <f t="shared" si="207"/>
        <v>0.11264461791142799</v>
      </c>
      <c r="I1773">
        <f t="shared" si="208"/>
        <v>0.10873972023806856</v>
      </c>
      <c r="J1773">
        <f t="shared" si="209"/>
        <v>11682.128681455413</v>
      </c>
      <c r="K1773" s="5">
        <f t="shared" si="210"/>
        <v>1065.82731400126</v>
      </c>
      <c r="L1773" s="5">
        <f t="shared" si="211"/>
        <v>0.10673972023806856</v>
      </c>
    </row>
    <row r="1774" spans="2:12">
      <c r="B1774">
        <v>17.25</v>
      </c>
      <c r="C1774">
        <v>2.8782128356397201</v>
      </c>
      <c r="D1774">
        <v>47.876035156249998</v>
      </c>
      <c r="E1774" s="5">
        <f t="shared" si="205"/>
        <v>47876.03515625</v>
      </c>
      <c r="F1774" s="5">
        <v>1.12770055420697</v>
      </c>
      <c r="G1774">
        <f t="shared" si="206"/>
        <v>957.52070312499995</v>
      </c>
      <c r="H1774">
        <f t="shared" si="207"/>
        <v>0.112770055420697</v>
      </c>
      <c r="I1774">
        <f t="shared" si="208"/>
        <v>0.10885245204567726</v>
      </c>
      <c r="J1774">
        <f t="shared" si="209"/>
        <v>11694.466614139146</v>
      </c>
      <c r="K1774" s="5">
        <f t="shared" si="210"/>
        <v>1065.5003658828709</v>
      </c>
      <c r="L1774" s="5">
        <f t="shared" si="211"/>
        <v>0.10685245204567725</v>
      </c>
    </row>
    <row r="1775" spans="2:12">
      <c r="B1775">
        <v>17.259765625</v>
      </c>
      <c r="C1775">
        <v>2.87968525663018</v>
      </c>
      <c r="D1775">
        <v>47.866046875000002</v>
      </c>
      <c r="E1775" s="5">
        <f t="shared" si="205"/>
        <v>47866.046875</v>
      </c>
      <c r="F1775" s="5">
        <v>1.12899346277118</v>
      </c>
      <c r="G1775">
        <f t="shared" si="206"/>
        <v>957.32093750000001</v>
      </c>
      <c r="H1775">
        <f t="shared" si="207"/>
        <v>0.11289934627711799</v>
      </c>
      <c r="I1775">
        <f t="shared" si="208"/>
        <v>0.10896863359219786</v>
      </c>
      <c r="J1775">
        <f t="shared" si="209"/>
        <v>11707.182103498095</v>
      </c>
      <c r="K1775" s="5">
        <f t="shared" si="210"/>
        <v>1065.4018455211476</v>
      </c>
      <c r="L1775" s="5">
        <f t="shared" si="211"/>
        <v>0.10696863359219785</v>
      </c>
    </row>
    <row r="1776" spans="2:12">
      <c r="B1776">
        <v>17.26953125</v>
      </c>
      <c r="C1776">
        <v>2.8813495300710201</v>
      </c>
      <c r="D1776">
        <v>47.848867187499998</v>
      </c>
      <c r="E1776" s="5">
        <f t="shared" si="205"/>
        <v>47848.8671875</v>
      </c>
      <c r="F1776" s="5">
        <v>1.1302874190732799</v>
      </c>
      <c r="G1776">
        <f t="shared" si="206"/>
        <v>956.97734375000005</v>
      </c>
      <c r="H1776">
        <f t="shared" si="207"/>
        <v>0.11302874190732799</v>
      </c>
      <c r="I1776">
        <f t="shared" si="208"/>
        <v>0.10908489577608653</v>
      </c>
      <c r="J1776">
        <f t="shared" si="209"/>
        <v>11719.90641821379</v>
      </c>
      <c r="K1776" s="5">
        <f t="shared" si="210"/>
        <v>1065.143288947879</v>
      </c>
      <c r="L1776" s="5">
        <f t="shared" si="211"/>
        <v>0.10708489577608653</v>
      </c>
    </row>
    <row r="1777" spans="2:12">
      <c r="B1777">
        <v>17.279296875</v>
      </c>
      <c r="C1777">
        <v>2.8818189166486299</v>
      </c>
      <c r="D1777">
        <v>47.863648437499997</v>
      </c>
      <c r="E1777" s="5">
        <f t="shared" si="205"/>
        <v>47863.6484375</v>
      </c>
      <c r="F1777" s="5">
        <v>1.1316998861730101</v>
      </c>
      <c r="G1777">
        <f t="shared" si="206"/>
        <v>957.27296875000002</v>
      </c>
      <c r="H1777">
        <f t="shared" si="207"/>
        <v>0.11316998861730101</v>
      </c>
      <c r="I1777">
        <f t="shared" si="208"/>
        <v>0.10921179074572773</v>
      </c>
      <c r="J1777">
        <f t="shared" si="209"/>
        <v>11733.794438166171</v>
      </c>
      <c r="K1777" s="5">
        <f t="shared" si="210"/>
        <v>1065.6075397270874</v>
      </c>
      <c r="L1777" s="5">
        <f t="shared" si="211"/>
        <v>0.10721179074572773</v>
      </c>
    </row>
    <row r="1778" spans="2:12">
      <c r="B1778">
        <v>17.2890625</v>
      </c>
      <c r="C1778">
        <v>2.8846291825175299</v>
      </c>
      <c r="D1778">
        <v>47.888191406250002</v>
      </c>
      <c r="E1778" s="5">
        <f t="shared" si="205"/>
        <v>47888.19140625</v>
      </c>
      <c r="F1778" s="5">
        <v>1.13304005935788</v>
      </c>
      <c r="G1778">
        <f t="shared" si="206"/>
        <v>957.76382812500003</v>
      </c>
      <c r="H1778">
        <f t="shared" si="207"/>
        <v>0.113304005935788</v>
      </c>
      <c r="I1778">
        <f t="shared" si="208"/>
        <v>0.1093321759997003</v>
      </c>
      <c r="J1778">
        <f t="shared" si="209"/>
        <v>11746.970002287198</v>
      </c>
      <c r="K1778" s="5">
        <f t="shared" si="210"/>
        <v>1066.2823065919581</v>
      </c>
      <c r="L1778" s="5">
        <f t="shared" si="211"/>
        <v>0.1073321759997003</v>
      </c>
    </row>
    <row r="1779" spans="2:12">
      <c r="B1779">
        <v>17.298828125</v>
      </c>
      <c r="C1779">
        <v>2.8856769204139701</v>
      </c>
      <c r="D1779">
        <v>47.880019531249999</v>
      </c>
      <c r="E1779" s="5">
        <f t="shared" si="205"/>
        <v>47880.01953125</v>
      </c>
      <c r="F1779" s="5">
        <v>1.1344340164214399</v>
      </c>
      <c r="G1779">
        <f t="shared" si="206"/>
        <v>957.60039062500005</v>
      </c>
      <c r="H1779">
        <f t="shared" si="207"/>
        <v>0.11344340164214399</v>
      </c>
      <c r="I1779">
        <f t="shared" si="208"/>
        <v>0.10945737718422956</v>
      </c>
      <c r="J1779">
        <f t="shared" si="209"/>
        <v>11760.672645928003</v>
      </c>
      <c r="K1779" s="5">
        <f t="shared" si="210"/>
        <v>1066.2338363513459</v>
      </c>
      <c r="L1779" s="5">
        <f t="shared" si="211"/>
        <v>0.10745737718422955</v>
      </c>
    </row>
    <row r="1780" spans="2:12">
      <c r="B1780">
        <v>17.30859375</v>
      </c>
      <c r="C1780">
        <v>2.8856173157692</v>
      </c>
      <c r="D1780">
        <v>47.856957031249998</v>
      </c>
      <c r="E1780" s="5">
        <f t="shared" si="205"/>
        <v>47856.95703125</v>
      </c>
      <c r="F1780" s="5">
        <v>1.1358120245859</v>
      </c>
      <c r="G1780">
        <f t="shared" si="206"/>
        <v>957.13914062499998</v>
      </c>
      <c r="H1780">
        <f t="shared" si="207"/>
        <v>0.11358120245859001</v>
      </c>
      <c r="I1780">
        <f t="shared" si="208"/>
        <v>0.1095811304794273</v>
      </c>
      <c r="J1780">
        <f t="shared" si="209"/>
        <v>11774.21682532092</v>
      </c>
      <c r="K1780" s="5">
        <f t="shared" si="210"/>
        <v>1065.852155137369</v>
      </c>
      <c r="L1780" s="5">
        <f t="shared" si="211"/>
        <v>0.1075811304794273</v>
      </c>
    </row>
    <row r="1781" spans="2:12">
      <c r="B1781">
        <v>17.318359375</v>
      </c>
      <c r="C1781">
        <v>2.8876080177724401</v>
      </c>
      <c r="D1781">
        <v>47.884625</v>
      </c>
      <c r="E1781" s="5">
        <f t="shared" si="205"/>
        <v>47884.625</v>
      </c>
      <c r="F1781" s="5">
        <v>1.13721925299615</v>
      </c>
      <c r="G1781">
        <f t="shared" si="206"/>
        <v>957.6925</v>
      </c>
      <c r="H1781">
        <f t="shared" si="207"/>
        <v>0.113721925299615</v>
      </c>
      <c r="I1781">
        <f t="shared" si="208"/>
        <v>0.1097074921223115</v>
      </c>
      <c r="J1781">
        <f t="shared" si="209"/>
        <v>11788.046475326382</v>
      </c>
      <c r="K1781" s="5">
        <f t="shared" si="210"/>
        <v>1066.6031349450016</v>
      </c>
      <c r="L1781" s="5">
        <f t="shared" si="211"/>
        <v>0.1077074921223115</v>
      </c>
    </row>
    <row r="1782" spans="2:12">
      <c r="B1782">
        <v>17.328125</v>
      </c>
      <c r="C1782">
        <v>2.89135263301432</v>
      </c>
      <c r="D1782">
        <v>47.866847656250002</v>
      </c>
      <c r="E1782" s="5">
        <f t="shared" si="205"/>
        <v>47866.84765625</v>
      </c>
      <c r="F1782" s="5">
        <v>1.13858166150749</v>
      </c>
      <c r="G1782">
        <f t="shared" si="206"/>
        <v>957.33695312500004</v>
      </c>
      <c r="H1782">
        <f t="shared" si="207"/>
        <v>0.11385816615074899</v>
      </c>
      <c r="I1782">
        <f t="shared" si="208"/>
        <v>0.10982981396548708</v>
      </c>
      <c r="J1782">
        <f t="shared" si="209"/>
        <v>11801.433989452733</v>
      </c>
      <c r="K1782" s="5">
        <f t="shared" si="210"/>
        <v>1066.3375829961581</v>
      </c>
      <c r="L1782" s="5">
        <f t="shared" si="211"/>
        <v>0.10782981396548708</v>
      </c>
    </row>
    <row r="1783" spans="2:12">
      <c r="B1783">
        <v>17.337890625</v>
      </c>
      <c r="C1783">
        <v>2.8922988567501302</v>
      </c>
      <c r="D1783">
        <v>47.856308593750001</v>
      </c>
      <c r="E1783" s="5">
        <f t="shared" si="205"/>
        <v>47856.30859375</v>
      </c>
      <c r="F1783" s="5">
        <v>1.1399139184504701</v>
      </c>
      <c r="G1783">
        <f t="shared" si="206"/>
        <v>957.12617187499995</v>
      </c>
      <c r="H1783">
        <f t="shared" si="207"/>
        <v>0.113991391845047</v>
      </c>
      <c r="I1783">
        <f t="shared" si="208"/>
        <v>0.10994941422662566</v>
      </c>
      <c r="J1783">
        <f t="shared" si="209"/>
        <v>11814.523640033045</v>
      </c>
      <c r="K1783" s="5">
        <f t="shared" si="210"/>
        <v>1066.2303163783529</v>
      </c>
      <c r="L1783" s="5">
        <f t="shared" si="211"/>
        <v>0.10794941422662566</v>
      </c>
    </row>
    <row r="1784" spans="2:12">
      <c r="B1784">
        <v>17.34765625</v>
      </c>
      <c r="C1784">
        <v>2.8952227439731399</v>
      </c>
      <c r="D1784">
        <v>47.863124999999997</v>
      </c>
      <c r="E1784" s="5">
        <f t="shared" si="205"/>
        <v>47863.125</v>
      </c>
      <c r="F1784" s="5">
        <v>1.14129250869155</v>
      </c>
      <c r="G1784">
        <f t="shared" si="206"/>
        <v>957.26250000000005</v>
      </c>
      <c r="H1784">
        <f t="shared" si="207"/>
        <v>0.114129250869155</v>
      </c>
      <c r="I1784">
        <f t="shared" si="208"/>
        <v>0.11007315889434337</v>
      </c>
      <c r="J1784">
        <f t="shared" si="209"/>
        <v>11828.066875191409</v>
      </c>
      <c r="K1784" s="5">
        <f t="shared" si="210"/>
        <v>1066.5141520101345</v>
      </c>
      <c r="L1784" s="5">
        <f t="shared" si="211"/>
        <v>0.10807315889434337</v>
      </c>
    </row>
    <row r="1785" spans="2:12">
      <c r="B1785">
        <v>17.357421875</v>
      </c>
      <c r="C1785">
        <v>2.8962716460228002</v>
      </c>
      <c r="D1785">
        <v>47.848066406249998</v>
      </c>
      <c r="E1785" s="5">
        <f t="shared" si="205"/>
        <v>47848.06640625</v>
      </c>
      <c r="F1785" s="5">
        <v>1.1427686549723099</v>
      </c>
      <c r="G1785">
        <f t="shared" si="206"/>
        <v>956.96132812500002</v>
      </c>
      <c r="H1785">
        <f t="shared" si="207"/>
        <v>0.114276865497231</v>
      </c>
      <c r="I1785">
        <f t="shared" si="208"/>
        <v>0.11020564338826741</v>
      </c>
      <c r="J1785">
        <f t="shared" si="209"/>
        <v>11842.566640628927</v>
      </c>
      <c r="K1785" s="5">
        <f t="shared" si="210"/>
        <v>1066.3198691051923</v>
      </c>
      <c r="L1785" s="5">
        <f t="shared" si="211"/>
        <v>0.10820564338826741</v>
      </c>
    </row>
    <row r="1786" spans="2:12">
      <c r="B1786">
        <v>17.3671875</v>
      </c>
      <c r="C1786">
        <v>2.8988167177885802</v>
      </c>
      <c r="D1786">
        <v>47.845097656249997</v>
      </c>
      <c r="E1786" s="5">
        <f t="shared" si="205"/>
        <v>47845.09765625</v>
      </c>
      <c r="F1786" s="5">
        <v>1.1440201196819499</v>
      </c>
      <c r="G1786">
        <f t="shared" si="206"/>
        <v>956.90195312499998</v>
      </c>
      <c r="H1786">
        <f t="shared" si="207"/>
        <v>0.11440201196819499</v>
      </c>
      <c r="I1786">
        <f t="shared" si="208"/>
        <v>0.11031794890913976</v>
      </c>
      <c r="J1786">
        <f t="shared" si="209"/>
        <v>11854.857918360802</v>
      </c>
      <c r="K1786" s="5">
        <f t="shared" si="210"/>
        <v>1066.3734618187955</v>
      </c>
      <c r="L1786" s="5">
        <f t="shared" si="211"/>
        <v>0.10831794890913976</v>
      </c>
    </row>
    <row r="1787" spans="2:12">
      <c r="B1787">
        <v>17.376953125</v>
      </c>
      <c r="C1787">
        <v>2.8989850543439402</v>
      </c>
      <c r="D1787">
        <v>47.825320312499997</v>
      </c>
      <c r="E1787" s="5">
        <f t="shared" si="205"/>
        <v>47825.3203125</v>
      </c>
      <c r="F1787" s="5">
        <v>1.14537437912077</v>
      </c>
      <c r="G1787">
        <f t="shared" si="206"/>
        <v>956.50640625000005</v>
      </c>
      <c r="H1787">
        <f t="shared" si="207"/>
        <v>0.114537437912077</v>
      </c>
      <c r="I1787">
        <f t="shared" si="208"/>
        <v>0.11043946494588618</v>
      </c>
      <c r="J1787">
        <f t="shared" si="209"/>
        <v>11868.157241002513</v>
      </c>
      <c r="K1787" s="5">
        <f t="shared" si="210"/>
        <v>1066.0621993683633</v>
      </c>
      <c r="L1787" s="5">
        <f t="shared" si="211"/>
        <v>0.10843946494588617</v>
      </c>
    </row>
    <row r="1788" spans="2:12">
      <c r="B1788">
        <v>17.38671875</v>
      </c>
      <c r="C1788">
        <v>2.9015496838837902</v>
      </c>
      <c r="D1788">
        <v>47.820003906250001</v>
      </c>
      <c r="E1788" s="5">
        <f t="shared" si="205"/>
        <v>47820.00390625</v>
      </c>
      <c r="F1788" s="5">
        <v>1.1467330623418099</v>
      </c>
      <c r="G1788">
        <f t="shared" si="206"/>
        <v>956.40007812500005</v>
      </c>
      <c r="H1788">
        <f t="shared" si="207"/>
        <v>0.114673306234181</v>
      </c>
      <c r="I1788">
        <f t="shared" si="208"/>
        <v>0.11056136308640879</v>
      </c>
      <c r="J1788">
        <f t="shared" si="209"/>
        <v>11881.498382992009</v>
      </c>
      <c r="K1788" s="5">
        <f t="shared" si="210"/>
        <v>1066.0736371662229</v>
      </c>
      <c r="L1788" s="5">
        <f t="shared" si="211"/>
        <v>0.10856136308640879</v>
      </c>
    </row>
    <row r="1789" spans="2:12">
      <c r="B1789">
        <v>17.396484375</v>
      </c>
      <c r="C1789">
        <v>2.9031708836555499</v>
      </c>
      <c r="D1789">
        <v>47.841859374999999</v>
      </c>
      <c r="E1789" s="5">
        <f t="shared" si="205"/>
        <v>47841.859375</v>
      </c>
      <c r="F1789" s="5">
        <v>1.1481971014290999</v>
      </c>
      <c r="G1789">
        <f t="shared" si="206"/>
        <v>956.83718750000003</v>
      </c>
      <c r="H1789">
        <f t="shared" si="207"/>
        <v>0.11481971014290999</v>
      </c>
      <c r="I1789">
        <f t="shared" si="208"/>
        <v>0.11069269689895192</v>
      </c>
      <c r="J1789">
        <f t="shared" si="209"/>
        <v>11895.872212105793</v>
      </c>
      <c r="K1789" s="5">
        <f t="shared" si="210"/>
        <v>1066.7009560227073</v>
      </c>
      <c r="L1789" s="5">
        <f t="shared" si="211"/>
        <v>0.10869269689895192</v>
      </c>
    </row>
    <row r="1790" spans="2:12">
      <c r="B1790">
        <v>17.40625</v>
      </c>
      <c r="C1790">
        <v>2.9047608841210599</v>
      </c>
      <c r="D1790">
        <v>47.824097656249997</v>
      </c>
      <c r="E1790" s="5">
        <f t="shared" si="205"/>
        <v>47824.09765625</v>
      </c>
      <c r="F1790" s="5">
        <v>1.14953413140029</v>
      </c>
      <c r="G1790">
        <f t="shared" si="206"/>
        <v>956.48195312500002</v>
      </c>
      <c r="H1790">
        <f t="shared" si="207"/>
        <v>0.11495341314002901</v>
      </c>
      <c r="I1790">
        <f t="shared" si="208"/>
        <v>0.11081262210199885</v>
      </c>
      <c r="J1790">
        <f t="shared" si="209"/>
        <v>11908.997425953265</v>
      </c>
      <c r="K1790" s="5">
        <f t="shared" si="210"/>
        <v>1066.43281824356</v>
      </c>
      <c r="L1790" s="5">
        <f t="shared" si="211"/>
        <v>0.10881262210199885</v>
      </c>
    </row>
    <row r="1791" spans="2:12">
      <c r="B1791">
        <v>17.416015625</v>
      </c>
      <c r="C1791">
        <v>2.9069753363728501</v>
      </c>
      <c r="D1791">
        <v>47.842175781249999</v>
      </c>
      <c r="E1791" s="5">
        <f t="shared" si="205"/>
        <v>47842.17578125</v>
      </c>
      <c r="F1791" s="5">
        <v>1.15098140668124</v>
      </c>
      <c r="G1791">
        <f t="shared" si="206"/>
        <v>956.84351562500001</v>
      </c>
      <c r="H1791">
        <f t="shared" si="207"/>
        <v>0.115098140668124</v>
      </c>
      <c r="I1791">
        <f t="shared" si="208"/>
        <v>0.11094241957511204</v>
      </c>
      <c r="J1791">
        <f t="shared" si="209"/>
        <v>11923.203110398137</v>
      </c>
      <c r="K1791" s="5">
        <f t="shared" si="210"/>
        <v>1066.9744251837885</v>
      </c>
      <c r="L1791" s="5">
        <f t="shared" si="211"/>
        <v>0.10894241957511204</v>
      </c>
    </row>
    <row r="1792" spans="2:12">
      <c r="B1792">
        <v>17.42578125</v>
      </c>
      <c r="C1792">
        <v>2.90905381552875</v>
      </c>
      <c r="D1792">
        <v>47.830988281250001</v>
      </c>
      <c r="E1792" s="5">
        <f t="shared" si="205"/>
        <v>47830.98828125</v>
      </c>
      <c r="F1792" s="5">
        <v>1.15239969454706</v>
      </c>
      <c r="G1792">
        <f t="shared" si="206"/>
        <v>956.61976562500001</v>
      </c>
      <c r="H1792">
        <f t="shared" si="207"/>
        <v>0.11523996945470601</v>
      </c>
      <c r="I1792">
        <f t="shared" si="208"/>
        <v>0.11106960099763218</v>
      </c>
      <c r="J1792">
        <f t="shared" si="209"/>
        <v>11937.122481185854</v>
      </c>
      <c r="K1792" s="5">
        <f t="shared" si="210"/>
        <v>1066.8605981953929</v>
      </c>
      <c r="L1792" s="5">
        <f t="shared" si="211"/>
        <v>0.10906960099763217</v>
      </c>
    </row>
    <row r="1793" spans="2:12">
      <c r="B1793">
        <v>17.435546875</v>
      </c>
      <c r="C1793">
        <v>2.9074100311845501</v>
      </c>
      <c r="D1793">
        <v>47.816421875000003</v>
      </c>
      <c r="E1793" s="5">
        <f t="shared" si="205"/>
        <v>47816.421875</v>
      </c>
      <c r="F1793" s="5">
        <v>1.15384848322719</v>
      </c>
      <c r="G1793">
        <f t="shared" si="206"/>
        <v>956.32843749999995</v>
      </c>
      <c r="H1793">
        <f t="shared" si="207"/>
        <v>0.115384848322719</v>
      </c>
      <c r="I1793">
        <f t="shared" si="208"/>
        <v>0.11119950080602849</v>
      </c>
      <c r="J1793">
        <f t="shared" si="209"/>
        <v>11951.339365715787</v>
      </c>
      <c r="K1793" s="5">
        <f t="shared" si="210"/>
        <v>1066.6742492076403</v>
      </c>
      <c r="L1793" s="5">
        <f t="shared" si="211"/>
        <v>0.10919950080602848</v>
      </c>
    </row>
    <row r="1794" spans="2:12">
      <c r="B1794">
        <v>17.4453125</v>
      </c>
      <c r="C1794">
        <v>2.90942331776023</v>
      </c>
      <c r="D1794">
        <v>47.811585937499999</v>
      </c>
      <c r="E1794" s="5">
        <f t="shared" si="205"/>
        <v>47811.5859375</v>
      </c>
      <c r="F1794" s="5">
        <v>1.1551696807146099</v>
      </c>
      <c r="G1794">
        <f t="shared" si="206"/>
        <v>956.23171875000003</v>
      </c>
      <c r="H1794">
        <f t="shared" si="207"/>
        <v>0.11551696807146099</v>
      </c>
      <c r="I1794">
        <f t="shared" si="208"/>
        <v>0.11131794595491457</v>
      </c>
      <c r="J1794">
        <f t="shared" si="209"/>
        <v>11964.302595035624</v>
      </c>
      <c r="K1794" s="5">
        <f t="shared" si="210"/>
        <v>1066.692707673762</v>
      </c>
      <c r="L1794" s="5">
        <f t="shared" si="211"/>
        <v>0.10931794595491456</v>
      </c>
    </row>
    <row r="1795" spans="2:12">
      <c r="B1795">
        <v>17.455078125</v>
      </c>
      <c r="C1795">
        <v>2.9154524672776501</v>
      </c>
      <c r="D1795">
        <v>47.804234375</v>
      </c>
      <c r="E1795" s="5">
        <f t="shared" si="205"/>
        <v>47804.234375</v>
      </c>
      <c r="F1795" s="5">
        <v>1.1565359309315699</v>
      </c>
      <c r="G1795">
        <f t="shared" si="206"/>
        <v>956.08468749999997</v>
      </c>
      <c r="H1795">
        <f t="shared" si="207"/>
        <v>0.11565359309315699</v>
      </c>
      <c r="I1795">
        <f t="shared" si="208"/>
        <v>0.11144041532076668</v>
      </c>
      <c r="J1795">
        <f t="shared" si="209"/>
        <v>11977.706254781309</v>
      </c>
      <c r="K1795" s="5">
        <f t="shared" si="210"/>
        <v>1066.6593169107232</v>
      </c>
      <c r="L1795" s="5">
        <f t="shared" si="211"/>
        <v>0.10944041532076668</v>
      </c>
    </row>
    <row r="1796" spans="2:12">
      <c r="B1796">
        <v>17.46484375</v>
      </c>
      <c r="C1796">
        <v>2.91515444405377</v>
      </c>
      <c r="D1796">
        <v>47.778511718750003</v>
      </c>
      <c r="E1796" s="5">
        <f t="shared" si="205"/>
        <v>47778.51171875</v>
      </c>
      <c r="F1796" s="5">
        <v>1.1579446727410001</v>
      </c>
      <c r="G1796">
        <f t="shared" si="206"/>
        <v>955.57023437500004</v>
      </c>
      <c r="H1796">
        <f t="shared" si="207"/>
        <v>0.1157944672741</v>
      </c>
      <c r="I1796">
        <f t="shared" si="208"/>
        <v>0.11156667788867691</v>
      </c>
      <c r="J1796">
        <f t="shared" si="209"/>
        <v>11991.525061526245</v>
      </c>
      <c r="K1796" s="5">
        <f t="shared" si="210"/>
        <v>1066.21998060744</v>
      </c>
      <c r="L1796" s="5">
        <f t="shared" si="211"/>
        <v>0.10956667788867691</v>
      </c>
    </row>
    <row r="1797" spans="2:12">
      <c r="B1797">
        <v>17.474609375</v>
      </c>
      <c r="C1797">
        <v>2.9150990303605799</v>
      </c>
      <c r="D1797">
        <v>47.785726562500003</v>
      </c>
      <c r="E1797" s="5">
        <f t="shared" si="205"/>
        <v>47785.7265625</v>
      </c>
      <c r="F1797" s="5">
        <v>1.1593450326472501</v>
      </c>
      <c r="G1797">
        <f t="shared" si="206"/>
        <v>955.71453125000005</v>
      </c>
      <c r="H1797">
        <f t="shared" si="207"/>
        <v>0.11593450326472501</v>
      </c>
      <c r="I1797">
        <f t="shared" si="208"/>
        <v>0.11169217340597079</v>
      </c>
      <c r="J1797">
        <f t="shared" si="209"/>
        <v>12005.259918416474</v>
      </c>
      <c r="K1797" s="5">
        <f t="shared" si="210"/>
        <v>1066.5148206933484</v>
      </c>
      <c r="L1797" s="5">
        <f t="shared" si="211"/>
        <v>0.10969217340597079</v>
      </c>
    </row>
    <row r="1798" spans="2:12">
      <c r="B1798">
        <v>17.484375</v>
      </c>
      <c r="C1798">
        <v>2.9174804221838699</v>
      </c>
      <c r="D1798">
        <v>47.767316406250004</v>
      </c>
      <c r="E1798" s="5">
        <f t="shared" si="205"/>
        <v>47767.31640625</v>
      </c>
      <c r="F1798" s="5">
        <v>1.16059463471174</v>
      </c>
      <c r="G1798">
        <f t="shared" si="206"/>
        <v>955.34632812500001</v>
      </c>
      <c r="H1798">
        <f t="shared" si="207"/>
        <v>0.11605946347117399</v>
      </c>
      <c r="I1798">
        <f t="shared" si="208"/>
        <v>0.11180414521991107</v>
      </c>
      <c r="J1798">
        <f t="shared" si="209"/>
        <v>12017.514673593167</v>
      </c>
      <c r="K1798" s="5">
        <f t="shared" si="210"/>
        <v>1066.2233103963438</v>
      </c>
      <c r="L1798" s="5">
        <f t="shared" si="211"/>
        <v>0.10980414521991107</v>
      </c>
    </row>
    <row r="1799" spans="2:12">
      <c r="B1799">
        <v>17.494140625</v>
      </c>
      <c r="C1799">
        <v>2.9174417722970198</v>
      </c>
      <c r="D1799">
        <v>47.743042968749997</v>
      </c>
      <c r="E1799" s="5">
        <f t="shared" si="205"/>
        <v>47743.04296875</v>
      </c>
      <c r="F1799" s="5">
        <v>1.16193143185228</v>
      </c>
      <c r="G1799">
        <f t="shared" si="206"/>
        <v>954.86085937500002</v>
      </c>
      <c r="H1799">
        <f t="shared" si="207"/>
        <v>0.116193143185228</v>
      </c>
      <c r="I1799">
        <f t="shared" si="208"/>
        <v>0.11192391635496565</v>
      </c>
      <c r="J1799">
        <f t="shared" si="209"/>
        <v>12030.623025469216</v>
      </c>
      <c r="K1799" s="5">
        <f t="shared" si="210"/>
        <v>1065.8091439303294</v>
      </c>
      <c r="L1799" s="5">
        <f t="shared" si="211"/>
        <v>0.10992391635496565</v>
      </c>
    </row>
    <row r="1800" spans="2:12">
      <c r="B1800">
        <v>17.50390625</v>
      </c>
      <c r="C1800">
        <v>2.9203130397945598</v>
      </c>
      <c r="D1800">
        <v>47.734515625</v>
      </c>
      <c r="E1800" s="5">
        <f t="shared" si="205"/>
        <v>47734.515625</v>
      </c>
      <c r="F1800" s="5">
        <v>1.16327812429518</v>
      </c>
      <c r="G1800">
        <f t="shared" si="206"/>
        <v>954.6903125</v>
      </c>
      <c r="H1800">
        <f t="shared" si="207"/>
        <v>0.11632781242951799</v>
      </c>
      <c r="I1800">
        <f t="shared" si="208"/>
        <v>0.11204455956247014</v>
      </c>
      <c r="J1800">
        <f t="shared" si="209"/>
        <v>12043.826821314544</v>
      </c>
      <c r="K1800" s="5">
        <f t="shared" si="210"/>
        <v>1065.7473481007778</v>
      </c>
      <c r="L1800" s="5">
        <f t="shared" si="211"/>
        <v>0.11004455956247014</v>
      </c>
    </row>
    <row r="1801" spans="2:12">
      <c r="B1801">
        <v>17.513671875</v>
      </c>
      <c r="C1801">
        <v>2.9217628762126</v>
      </c>
      <c r="D1801">
        <v>47.739253906249999</v>
      </c>
      <c r="E1801" s="5">
        <f t="shared" ref="E1801:E1864" si="212" xml:space="preserve"> D1801*R$3</f>
        <v>47739.25390625</v>
      </c>
      <c r="F1801" s="5">
        <v>1.1645492631942</v>
      </c>
      <c r="G1801">
        <f t="shared" ref="G1801:G1864" si="213" xml:space="preserve"> E1801/C$3</f>
        <v>954.78507812500004</v>
      </c>
      <c r="H1801">
        <f t="shared" ref="H1801:H1864" si="214" xml:space="preserve"> F1801/C$4</f>
        <v>0.11645492631942</v>
      </c>
      <c r="I1801">
        <f t="shared" ref="I1801:I1864" si="215">L1801+0.002</f>
        <v>0.1121584209676425</v>
      </c>
      <c r="J1801">
        <f t="shared" ref="J1801:J1803" si="216">L1801*G$2</f>
        <v>12056.288382803634</v>
      </c>
      <c r="K1801" s="5">
        <f t="shared" ref="K1801:K1864" si="217" xml:space="preserve"> G1801 * (1 + H1801)</f>
        <v>1065.9745040489286</v>
      </c>
      <c r="L1801" s="5">
        <f t="shared" ref="L1801:L1864" si="218">LN(1 + H1801)</f>
        <v>0.1101584209676425</v>
      </c>
    </row>
    <row r="1802" spans="2:12">
      <c r="B1802">
        <v>17.5234375</v>
      </c>
      <c r="C1802">
        <v>2.9237091075629</v>
      </c>
      <c r="D1802">
        <v>47.762273437499999</v>
      </c>
      <c r="E1802" s="5">
        <f t="shared" si="212"/>
        <v>47762.2734375</v>
      </c>
      <c r="F1802" s="5">
        <v>1.1659392621368201</v>
      </c>
      <c r="G1802">
        <f t="shared" si="213"/>
        <v>955.24546874999999</v>
      </c>
      <c r="H1802">
        <f t="shared" si="214"/>
        <v>0.116593926213682</v>
      </c>
      <c r="I1802">
        <f t="shared" si="215"/>
        <v>0.11228291434295212</v>
      </c>
      <c r="J1802">
        <f t="shared" si="216"/>
        <v>12069.913560264395</v>
      </c>
      <c r="K1802" s="5">
        <f t="shared" si="217"/>
        <v>1066.6212884493914</v>
      </c>
      <c r="L1802" s="5">
        <f t="shared" si="218"/>
        <v>0.11028291434295212</v>
      </c>
    </row>
    <row r="1803" spans="2:12">
      <c r="B1803">
        <v>17.533203125</v>
      </c>
      <c r="C1803">
        <v>2.9260560404509302</v>
      </c>
      <c r="D1803">
        <v>47.773417968750003</v>
      </c>
      <c r="E1803" s="5">
        <f t="shared" si="212"/>
        <v>47773.41796875</v>
      </c>
      <c r="F1803" s="5">
        <v>1.1674243723973601</v>
      </c>
      <c r="G1803">
        <f t="shared" si="213"/>
        <v>955.46835937499998</v>
      </c>
      <c r="H1803">
        <f t="shared" si="214"/>
        <v>0.11674243723973601</v>
      </c>
      <c r="I1803">
        <f t="shared" si="215"/>
        <v>0.11241590911141004</v>
      </c>
      <c r="J1803">
        <f t="shared" si="216"/>
        <v>12084.469172698271</v>
      </c>
      <c r="K1803" s="5">
        <f t="shared" si="217"/>
        <v>1067.0120643538896</v>
      </c>
      <c r="L1803" s="5">
        <f t="shared" si="218"/>
        <v>0.11041590911141004</v>
      </c>
    </row>
    <row r="1804" spans="2:12">
      <c r="B1804">
        <v>17.54296875</v>
      </c>
      <c r="C1804">
        <v>2.9272853862494199</v>
      </c>
      <c r="D1804">
        <v>47.768796875</v>
      </c>
      <c r="E1804" s="5">
        <f t="shared" si="212"/>
        <v>47768.796875</v>
      </c>
      <c r="F1804" s="5">
        <v>1.1689121602103101</v>
      </c>
      <c r="G1804">
        <f t="shared" si="213"/>
        <v>955.37593749999996</v>
      </c>
      <c r="H1804">
        <f t="shared" si="214"/>
        <v>0.116891216021031</v>
      </c>
      <c r="I1804">
        <f t="shared" si="215"/>
        <v>0.11254912592724522</v>
      </c>
      <c r="K1804" s="5">
        <f t="shared" si="217"/>
        <v>1067.0509925916074</v>
      </c>
      <c r="L1804" s="5">
        <f t="shared" si="218"/>
        <v>0.11054912592724522</v>
      </c>
    </row>
    <row r="1805" spans="2:12">
      <c r="B1805">
        <v>17.552734375</v>
      </c>
      <c r="C1805">
        <v>2.9285966884344798</v>
      </c>
      <c r="D1805">
        <v>47.756132812499999</v>
      </c>
      <c r="E1805" s="5">
        <f t="shared" si="212"/>
        <v>47756.1328125</v>
      </c>
      <c r="F1805" s="5">
        <v>1.17017875891179</v>
      </c>
      <c r="G1805">
        <f t="shared" si="213"/>
        <v>955.12265624999998</v>
      </c>
      <c r="H1805">
        <f t="shared" si="214"/>
        <v>0.117017875891179</v>
      </c>
      <c r="I1805">
        <f t="shared" si="215"/>
        <v>0.11266252344260737</v>
      </c>
      <c r="K1805" s="5">
        <f t="shared" si="217"/>
        <v>1066.8890806999157</v>
      </c>
      <c r="L1805" s="5">
        <f t="shared" si="218"/>
        <v>0.11066252344260737</v>
      </c>
    </row>
    <row r="1806" spans="2:12">
      <c r="B1806">
        <v>17.5625</v>
      </c>
      <c r="C1806">
        <v>2.9301717877388</v>
      </c>
      <c r="D1806">
        <v>47.741683593749997</v>
      </c>
      <c r="E1806" s="5">
        <f t="shared" si="212"/>
        <v>47741.68359375</v>
      </c>
      <c r="F1806" s="5">
        <v>1.1715790024027199</v>
      </c>
      <c r="G1806">
        <f t="shared" si="213"/>
        <v>954.83367187500005</v>
      </c>
      <c r="H1806">
        <f t="shared" si="214"/>
        <v>0.11715790024027199</v>
      </c>
      <c r="I1806">
        <f t="shared" si="215"/>
        <v>0.11278787109946792</v>
      </c>
      <c r="K1806" s="5">
        <f t="shared" si="217"/>
        <v>1066.6999799505841</v>
      </c>
      <c r="L1806" s="5">
        <f t="shared" si="218"/>
        <v>0.11078787109946792</v>
      </c>
    </row>
    <row r="1807" spans="2:12">
      <c r="B1807">
        <v>17.572265625</v>
      </c>
      <c r="C1807">
        <v>2.9324055649340202</v>
      </c>
      <c r="D1807">
        <v>47.731902343750001</v>
      </c>
      <c r="E1807" s="5">
        <f t="shared" si="212"/>
        <v>47731.90234375</v>
      </c>
      <c r="F1807" s="5">
        <v>1.1730226688087</v>
      </c>
      <c r="G1807">
        <f t="shared" si="213"/>
        <v>954.63804687499999</v>
      </c>
      <c r="H1807">
        <f t="shared" si="214"/>
        <v>0.11730226688087</v>
      </c>
      <c r="I1807">
        <f t="shared" si="215"/>
        <v>0.11291708946095243</v>
      </c>
      <c r="K1807" s="5">
        <f t="shared" si="217"/>
        <v>1066.6192538241637</v>
      </c>
      <c r="L1807" s="5">
        <f t="shared" si="218"/>
        <v>0.11091708946095243</v>
      </c>
    </row>
    <row r="1808" spans="2:12">
      <c r="B1808">
        <v>17.58203125</v>
      </c>
      <c r="C1808">
        <v>2.9337718151509802</v>
      </c>
      <c r="D1808">
        <v>47.746960937499999</v>
      </c>
      <c r="E1808" s="5">
        <f t="shared" si="212"/>
        <v>47746.9609375</v>
      </c>
      <c r="F1808" s="5">
        <v>1.1744159273803201</v>
      </c>
      <c r="G1808">
        <f t="shared" si="213"/>
        <v>954.93921875000001</v>
      </c>
      <c r="H1808">
        <f t="shared" si="214"/>
        <v>0.11744159273803201</v>
      </c>
      <c r="I1808">
        <f t="shared" si="215"/>
        <v>0.1130417801334361</v>
      </c>
      <c r="K1808" s="5">
        <f t="shared" si="217"/>
        <v>1067.0888015680118</v>
      </c>
      <c r="L1808" s="5">
        <f t="shared" si="218"/>
        <v>0.1110417801334361</v>
      </c>
    </row>
    <row r="1809" spans="2:12">
      <c r="B1809">
        <v>17.591796875</v>
      </c>
      <c r="C1809">
        <v>2.9360547196120002</v>
      </c>
      <c r="D1809">
        <v>47.753933593749998</v>
      </c>
      <c r="E1809" s="5">
        <f t="shared" si="212"/>
        <v>47753.93359375</v>
      </c>
      <c r="F1809" s="5">
        <v>1.1758821783587301</v>
      </c>
      <c r="G1809">
        <f t="shared" si="213"/>
        <v>955.07867187500005</v>
      </c>
      <c r="H1809">
        <f t="shared" si="214"/>
        <v>0.117588217835873</v>
      </c>
      <c r="I1809">
        <f t="shared" si="215"/>
        <v>0.11317298652482981</v>
      </c>
      <c r="K1809" s="5">
        <f t="shared" si="217"/>
        <v>1067.3846707938337</v>
      </c>
      <c r="L1809" s="5">
        <f t="shared" si="218"/>
        <v>0.11117298652482981</v>
      </c>
    </row>
    <row r="1810" spans="2:12">
      <c r="B1810">
        <v>17.6015625</v>
      </c>
      <c r="C1810">
        <v>2.93634389527142</v>
      </c>
      <c r="D1810">
        <v>47.734457031250003</v>
      </c>
      <c r="E1810" s="5">
        <f t="shared" si="212"/>
        <v>47734.45703125</v>
      </c>
      <c r="F1810" s="5">
        <v>1.1772026773542199</v>
      </c>
      <c r="G1810">
        <f t="shared" si="213"/>
        <v>954.68914062500005</v>
      </c>
      <c r="H1810">
        <f t="shared" si="214"/>
        <v>0.11772026773542199</v>
      </c>
      <c r="I1810">
        <f t="shared" si="215"/>
        <v>0.11329113567565634</v>
      </c>
      <c r="K1810" s="5">
        <f t="shared" si="217"/>
        <v>1067.075401863475</v>
      </c>
      <c r="L1810" s="5">
        <f t="shared" si="218"/>
        <v>0.11129113567565634</v>
      </c>
    </row>
    <row r="1811" spans="2:12">
      <c r="B1811">
        <v>17.611328125</v>
      </c>
      <c r="C1811">
        <v>2.93869688175619</v>
      </c>
      <c r="D1811">
        <v>47.734714843749998</v>
      </c>
      <c r="E1811" s="5">
        <f t="shared" si="212"/>
        <v>47734.71484375</v>
      </c>
      <c r="F1811" s="5">
        <v>1.17869069799781</v>
      </c>
      <c r="G1811">
        <f t="shared" si="213"/>
        <v>954.69429687499996</v>
      </c>
      <c r="H1811">
        <f t="shared" si="214"/>
        <v>0.117869069799781</v>
      </c>
      <c r="I1811">
        <f t="shared" si="215"/>
        <v>0.11342425678343794</v>
      </c>
      <c r="K1811" s="5">
        <f t="shared" si="217"/>
        <v>1067.2232255908123</v>
      </c>
      <c r="L1811" s="5">
        <f t="shared" si="218"/>
        <v>0.11142425678343794</v>
      </c>
    </row>
    <row r="1812" spans="2:12">
      <c r="B1812">
        <v>17.62109375</v>
      </c>
      <c r="C1812">
        <v>2.9398247133940498</v>
      </c>
      <c r="D1812">
        <v>47.7237734375</v>
      </c>
      <c r="E1812" s="5">
        <f t="shared" si="212"/>
        <v>47723.7734375</v>
      </c>
      <c r="F1812" s="5">
        <v>1.18008477147669</v>
      </c>
      <c r="G1812">
        <f t="shared" si="213"/>
        <v>954.47546875</v>
      </c>
      <c r="H1812">
        <f t="shared" si="214"/>
        <v>0.118008477147669</v>
      </c>
      <c r="I1812">
        <f t="shared" si="215"/>
        <v>0.11354895712604744</v>
      </c>
      <c r="K1812" s="5">
        <f t="shared" si="217"/>
        <v>1067.111665291995</v>
      </c>
      <c r="L1812" s="5">
        <f t="shared" si="218"/>
        <v>0.11154895712604744</v>
      </c>
    </row>
    <row r="1813" spans="2:12">
      <c r="B1813">
        <v>17.630859375</v>
      </c>
      <c r="C1813">
        <v>2.9419257771223801</v>
      </c>
      <c r="D1813">
        <v>47.720628906249999</v>
      </c>
      <c r="E1813" s="5">
        <f t="shared" si="212"/>
        <v>47720.62890625</v>
      </c>
      <c r="F1813" s="5">
        <v>1.18145777378231</v>
      </c>
      <c r="G1813">
        <f t="shared" si="213"/>
        <v>954.41257812499998</v>
      </c>
      <c r="H1813">
        <f t="shared" si="214"/>
        <v>0.118145777378231</v>
      </c>
      <c r="I1813">
        <f t="shared" si="215"/>
        <v>0.11367175744758758</v>
      </c>
      <c r="K1813" s="5">
        <f t="shared" si="217"/>
        <v>1067.1723941071398</v>
      </c>
      <c r="L1813" s="5">
        <f t="shared" si="218"/>
        <v>0.11167175744758757</v>
      </c>
    </row>
    <row r="1814" spans="2:12">
      <c r="B1814">
        <v>17.640625</v>
      </c>
      <c r="C1814">
        <v>2.9432103037834199</v>
      </c>
      <c r="D1814">
        <v>47.713734375000001</v>
      </c>
      <c r="E1814" s="5">
        <f t="shared" si="212"/>
        <v>47713.734375</v>
      </c>
      <c r="F1814" s="5">
        <v>1.18298141751438</v>
      </c>
      <c r="G1814">
        <f t="shared" si="213"/>
        <v>954.27468750000003</v>
      </c>
      <c r="H1814">
        <f t="shared" si="214"/>
        <v>0.118298141751438</v>
      </c>
      <c r="I1814">
        <f t="shared" si="215"/>
        <v>0.11380801337794141</v>
      </c>
      <c r="K1814" s="5">
        <f t="shared" si="217"/>
        <v>1067.1636097516841</v>
      </c>
      <c r="L1814" s="5">
        <f t="shared" si="218"/>
        <v>0.11180801337794141</v>
      </c>
    </row>
    <row r="1815" spans="2:12">
      <c r="B1815">
        <v>17.650390625</v>
      </c>
      <c r="C1815">
        <v>2.9451355803757902</v>
      </c>
      <c r="D1815">
        <v>47.725929687499999</v>
      </c>
      <c r="E1815" s="5">
        <f t="shared" si="212"/>
        <v>47725.9296875</v>
      </c>
      <c r="F1815" s="5">
        <v>1.1843789834529199</v>
      </c>
      <c r="G1815">
        <f t="shared" si="213"/>
        <v>954.51859375000004</v>
      </c>
      <c r="H1815">
        <f t="shared" si="214"/>
        <v>0.11843789834529199</v>
      </c>
      <c r="I1815">
        <f t="shared" si="215"/>
        <v>0.11393297814046204</v>
      </c>
      <c r="K1815" s="5">
        <f t="shared" si="217"/>
        <v>1067.5697699252537</v>
      </c>
      <c r="L1815" s="5">
        <f t="shared" si="218"/>
        <v>0.11193297814046203</v>
      </c>
    </row>
    <row r="1816" spans="2:12">
      <c r="B1816">
        <v>17.66015625</v>
      </c>
      <c r="C1816">
        <v>2.9475542251020701</v>
      </c>
      <c r="D1816">
        <v>47.720324218750001</v>
      </c>
      <c r="E1816" s="5">
        <f t="shared" si="212"/>
        <v>47720.32421875</v>
      </c>
      <c r="F1816" s="5">
        <v>1.1857083300128599</v>
      </c>
      <c r="G1816">
        <f t="shared" si="213"/>
        <v>954.40648437499999</v>
      </c>
      <c r="H1816">
        <f t="shared" si="214"/>
        <v>0.11857083300128599</v>
      </c>
      <c r="I1816">
        <f t="shared" si="215"/>
        <v>0.11405182850907049</v>
      </c>
      <c r="K1816" s="5">
        <f t="shared" si="217"/>
        <v>1067.5712562491726</v>
      </c>
      <c r="L1816" s="5">
        <f t="shared" si="218"/>
        <v>0.11205182850907049</v>
      </c>
    </row>
    <row r="1817" spans="2:12">
      <c r="B1817">
        <v>17.669921875</v>
      </c>
      <c r="C1817">
        <v>2.9472543392330399</v>
      </c>
      <c r="D1817">
        <v>47.698667968750001</v>
      </c>
      <c r="E1817" s="5">
        <f t="shared" si="212"/>
        <v>47698.66796875</v>
      </c>
      <c r="F1817" s="5">
        <v>1.18719111196697</v>
      </c>
      <c r="G1817">
        <f t="shared" si="213"/>
        <v>953.97335937499997</v>
      </c>
      <c r="H1817">
        <f t="shared" si="214"/>
        <v>0.11871911119669701</v>
      </c>
      <c r="I1817">
        <f t="shared" si="215"/>
        <v>0.11418438012225107</v>
      </c>
      <c r="K1817" s="5">
        <f t="shared" si="217"/>
        <v>1067.2282287053272</v>
      </c>
      <c r="L1817" s="5">
        <f t="shared" si="218"/>
        <v>0.11218438012225107</v>
      </c>
    </row>
    <row r="1818" spans="2:12">
      <c r="B1818">
        <v>17.6796875</v>
      </c>
      <c r="C1818">
        <v>2.95010209083557</v>
      </c>
      <c r="D1818">
        <v>47.7033359375</v>
      </c>
      <c r="E1818" s="5">
        <f t="shared" si="212"/>
        <v>47703.3359375</v>
      </c>
      <c r="F1818" s="5">
        <v>1.18867144919932</v>
      </c>
      <c r="G1818">
        <f t="shared" si="213"/>
        <v>954.06671874999995</v>
      </c>
      <c r="H1818">
        <f t="shared" si="214"/>
        <v>0.118867144919932</v>
      </c>
      <c r="I1818">
        <f t="shared" si="215"/>
        <v>0.11431669566811771</v>
      </c>
      <c r="K1818" s="5">
        <f t="shared" si="217"/>
        <v>1067.47390567094</v>
      </c>
      <c r="L1818" s="5">
        <f t="shared" si="218"/>
        <v>0.11231669566811771</v>
      </c>
    </row>
    <row r="1819" spans="2:12">
      <c r="B1819">
        <v>17.689453125</v>
      </c>
      <c r="C1819">
        <v>2.9503239784389699</v>
      </c>
      <c r="D1819">
        <v>47.68212890625</v>
      </c>
      <c r="E1819" s="5">
        <f t="shared" si="212"/>
        <v>47682.12890625</v>
      </c>
      <c r="F1819" s="5">
        <v>1.1899487581104</v>
      </c>
      <c r="G1819">
        <f t="shared" si="213"/>
        <v>953.642578125</v>
      </c>
      <c r="H1819">
        <f t="shared" si="214"/>
        <v>0.11899487581104</v>
      </c>
      <c r="I1819">
        <f t="shared" si="215"/>
        <v>0.1144308500619664</v>
      </c>
      <c r="K1819" s="5">
        <f t="shared" si="217"/>
        <v>1067.1211582771043</v>
      </c>
      <c r="L1819" s="5">
        <f t="shared" si="218"/>
        <v>0.1124308500619664</v>
      </c>
    </row>
    <row r="1820" spans="2:12">
      <c r="B1820">
        <v>17.69921875</v>
      </c>
      <c r="C1820">
        <v>2.9533221386372999</v>
      </c>
      <c r="D1820">
        <v>47.662253906250001</v>
      </c>
      <c r="E1820" s="5">
        <f t="shared" si="212"/>
        <v>47662.25390625</v>
      </c>
      <c r="F1820" s="5">
        <v>1.19138648733497</v>
      </c>
      <c r="G1820">
        <f t="shared" si="213"/>
        <v>953.24507812499996</v>
      </c>
      <c r="H1820">
        <f t="shared" si="214"/>
        <v>0.119138648733497</v>
      </c>
      <c r="I1820">
        <f t="shared" si="215"/>
        <v>0.11455932579505224</v>
      </c>
      <c r="K1820" s="5">
        <f t="shared" si="217"/>
        <v>1066.8134086446694</v>
      </c>
      <c r="L1820" s="5">
        <f t="shared" si="218"/>
        <v>0.11255932579505223</v>
      </c>
    </row>
    <row r="1821" spans="2:12">
      <c r="B1821">
        <v>17.708984375</v>
      </c>
      <c r="C1821">
        <v>2.9513642657548198</v>
      </c>
      <c r="D1821">
        <v>47.661714843749998</v>
      </c>
      <c r="E1821" s="5">
        <f t="shared" si="212"/>
        <v>47661.71484375</v>
      </c>
      <c r="F1821" s="5">
        <v>1.1927791638299801</v>
      </c>
      <c r="G1821">
        <f t="shared" si="213"/>
        <v>953.23429687500004</v>
      </c>
      <c r="H1821">
        <f t="shared" si="214"/>
        <v>0.11927791638299801</v>
      </c>
      <c r="I1821">
        <f t="shared" si="215"/>
        <v>0.11468375987211452</v>
      </c>
      <c r="K1821" s="5">
        <f t="shared" si="217"/>
        <v>1066.9340976310623</v>
      </c>
      <c r="L1821" s="5">
        <f t="shared" si="218"/>
        <v>0.11268375987211451</v>
      </c>
    </row>
    <row r="1822" spans="2:12">
      <c r="B1822">
        <v>17.71875</v>
      </c>
      <c r="C1822">
        <v>2.9576288070529699</v>
      </c>
      <c r="D1822">
        <v>47.658124999999998</v>
      </c>
      <c r="E1822" s="5">
        <f t="shared" si="212"/>
        <v>47658.125</v>
      </c>
      <c r="F1822" s="5">
        <v>1.19405565783381</v>
      </c>
      <c r="G1822">
        <f t="shared" si="213"/>
        <v>953.16250000000002</v>
      </c>
      <c r="H1822">
        <f t="shared" si="214"/>
        <v>0.11940556578338099</v>
      </c>
      <c r="I1822">
        <f t="shared" si="215"/>
        <v>0.11479779957584059</v>
      </c>
      <c r="K1822" s="5">
        <f t="shared" si="217"/>
        <v>1066.975407596002</v>
      </c>
      <c r="L1822" s="5">
        <f t="shared" si="218"/>
        <v>0.11279779957584059</v>
      </c>
    </row>
    <row r="1823" spans="2:12">
      <c r="B1823">
        <v>17.728515625</v>
      </c>
      <c r="C1823">
        <v>2.9590532649308399</v>
      </c>
      <c r="D1823">
        <v>47.643382812500001</v>
      </c>
      <c r="E1823" s="5">
        <f t="shared" si="212"/>
        <v>47643.3828125</v>
      </c>
      <c r="F1823" s="5">
        <v>1.1954122455790599</v>
      </c>
      <c r="G1823">
        <f t="shared" si="213"/>
        <v>952.86765624999998</v>
      </c>
      <c r="H1823">
        <f t="shared" si="214"/>
        <v>0.11954122455790599</v>
      </c>
      <c r="I1823">
        <f t="shared" si="215"/>
        <v>0.11491898045899168</v>
      </c>
      <c r="K1823" s="5">
        <f t="shared" si="217"/>
        <v>1066.7746227197467</v>
      </c>
      <c r="L1823" s="5">
        <f t="shared" si="218"/>
        <v>0.11291898045899168</v>
      </c>
    </row>
    <row r="1824" spans="2:12">
      <c r="B1824">
        <v>17.73828125</v>
      </c>
      <c r="C1824">
        <v>2.9587685130536601</v>
      </c>
      <c r="D1824">
        <v>47.643582031249998</v>
      </c>
      <c r="E1824" s="5">
        <f t="shared" si="212"/>
        <v>47643.58203125</v>
      </c>
      <c r="F1824" s="5">
        <v>1.19684648234397</v>
      </c>
      <c r="G1824">
        <f t="shared" si="213"/>
        <v>952.87164062500005</v>
      </c>
      <c r="H1824">
        <f t="shared" si="214"/>
        <v>0.11968464823439699</v>
      </c>
      <c r="I1824">
        <f t="shared" si="215"/>
        <v>0.11504708158396509</v>
      </c>
      <c r="K1824" s="5">
        <f t="shared" si="217"/>
        <v>1066.9157477457359</v>
      </c>
      <c r="L1824" s="5">
        <f t="shared" si="218"/>
        <v>0.11304708158396509</v>
      </c>
    </row>
    <row r="1825" spans="2:12">
      <c r="B1825">
        <v>17.748046875</v>
      </c>
      <c r="C1825">
        <v>2.9597834218293402</v>
      </c>
      <c r="D1825">
        <v>47.635570312500001</v>
      </c>
      <c r="E1825" s="5">
        <f t="shared" si="212"/>
        <v>47635.5703125</v>
      </c>
      <c r="F1825" s="5">
        <v>1.19824276771396</v>
      </c>
      <c r="G1825">
        <f t="shared" si="213"/>
        <v>952.71140624999998</v>
      </c>
      <c r="H1825">
        <f t="shared" si="214"/>
        <v>0.119824276771396</v>
      </c>
      <c r="I1825">
        <f t="shared" si="215"/>
        <v>0.115171777257754</v>
      </c>
      <c r="K1825" s="5">
        <f t="shared" si="217"/>
        <v>1066.8693614757658</v>
      </c>
      <c r="L1825" s="5">
        <f t="shared" si="218"/>
        <v>0.113171777257754</v>
      </c>
    </row>
    <row r="1826" spans="2:12">
      <c r="B1826">
        <v>17.7578125</v>
      </c>
      <c r="C1826">
        <v>2.9623718000948398</v>
      </c>
      <c r="D1826">
        <v>47.658429687500004</v>
      </c>
      <c r="E1826" s="5">
        <f t="shared" si="212"/>
        <v>47658.4296875</v>
      </c>
      <c r="F1826" s="5">
        <v>1.19962682947516</v>
      </c>
      <c r="G1826">
        <f t="shared" si="213"/>
        <v>953.16859375000001</v>
      </c>
      <c r="H1826">
        <f t="shared" si="214"/>
        <v>0.119962682947516</v>
      </c>
      <c r="I1826">
        <f t="shared" si="215"/>
        <v>0.11529536595505901</v>
      </c>
      <c r="K1826" s="5">
        <f t="shared" si="217"/>
        <v>1067.513255557561</v>
      </c>
      <c r="L1826" s="5">
        <f t="shared" si="218"/>
        <v>0.11329536595505901</v>
      </c>
    </row>
    <row r="1827" spans="2:12">
      <c r="B1827">
        <v>17.767578125</v>
      </c>
      <c r="C1827">
        <v>2.9639811255037798</v>
      </c>
      <c r="D1827">
        <v>47.652749999999997</v>
      </c>
      <c r="E1827" s="5">
        <f t="shared" si="212"/>
        <v>47652.75</v>
      </c>
      <c r="F1827" s="5">
        <v>1.20108621194959</v>
      </c>
      <c r="G1827">
        <f t="shared" si="213"/>
        <v>953.05499999999995</v>
      </c>
      <c r="H1827">
        <f t="shared" si="214"/>
        <v>0.12010862119495899</v>
      </c>
      <c r="I1827">
        <f t="shared" si="215"/>
        <v>0.11542566381422047</v>
      </c>
      <c r="K1827" s="5">
        <f t="shared" si="217"/>
        <v>1067.5251219729614</v>
      </c>
      <c r="L1827" s="5">
        <f t="shared" si="218"/>
        <v>0.11342566381422046</v>
      </c>
    </row>
    <row r="1828" spans="2:12">
      <c r="B1828">
        <v>17.77734375</v>
      </c>
      <c r="C1828">
        <v>2.9656977858394402</v>
      </c>
      <c r="D1828">
        <v>47.655253906250003</v>
      </c>
      <c r="E1828" s="5">
        <f t="shared" si="212"/>
        <v>47655.25390625</v>
      </c>
      <c r="F1828" s="5">
        <v>1.20260624680668</v>
      </c>
      <c r="G1828">
        <f t="shared" si="213"/>
        <v>953.10507812499998</v>
      </c>
      <c r="H1828">
        <f t="shared" si="214"/>
        <v>0.120260624680668</v>
      </c>
      <c r="I1828">
        <f t="shared" si="215"/>
        <v>0.11556135884415562</v>
      </c>
      <c r="K1828" s="5">
        <f t="shared" si="217"/>
        <v>1067.7260902066294</v>
      </c>
      <c r="L1828" s="5">
        <f t="shared" si="218"/>
        <v>0.11356135884415562</v>
      </c>
    </row>
    <row r="1829" spans="2:12">
      <c r="B1829">
        <v>17.787109375</v>
      </c>
      <c r="C1829">
        <v>2.9676884878426799</v>
      </c>
      <c r="D1829">
        <v>47.660425781249998</v>
      </c>
      <c r="E1829" s="5">
        <f t="shared" si="212"/>
        <v>47660.42578125</v>
      </c>
      <c r="F1829" s="5">
        <v>1.2040537549182799</v>
      </c>
      <c r="G1829">
        <f t="shared" si="213"/>
        <v>953.20851562500002</v>
      </c>
      <c r="H1829">
        <f t="shared" si="214"/>
        <v>0.12040537549182799</v>
      </c>
      <c r="I1829">
        <f t="shared" si="215"/>
        <v>0.1156905622250701</v>
      </c>
      <c r="K1829" s="5">
        <f t="shared" si="217"/>
        <v>1067.9799448708361</v>
      </c>
      <c r="L1829" s="5">
        <f t="shared" si="218"/>
        <v>0.1136905622250701</v>
      </c>
    </row>
    <row r="1830" spans="2:12">
      <c r="B1830">
        <v>17.796875</v>
      </c>
      <c r="C1830">
        <v>2.9697953723370998</v>
      </c>
      <c r="D1830">
        <v>47.643921874999997</v>
      </c>
      <c r="E1830" s="5">
        <f t="shared" si="212"/>
        <v>47643.921875</v>
      </c>
      <c r="F1830" s="5">
        <v>1.2054161634296201</v>
      </c>
      <c r="G1830">
        <f t="shared" si="213"/>
        <v>952.87843750000002</v>
      </c>
      <c r="H1830">
        <f t="shared" si="214"/>
        <v>0.12054161634296201</v>
      </c>
      <c r="I1830">
        <f t="shared" si="215"/>
        <v>0.1158121544374681</v>
      </c>
      <c r="K1830" s="5">
        <f t="shared" si="217"/>
        <v>1067.7399445346061</v>
      </c>
      <c r="L1830" s="5">
        <f t="shared" si="218"/>
        <v>0.1138121544374681</v>
      </c>
    </row>
    <row r="1831" spans="2:12">
      <c r="B1831">
        <v>17.806640625</v>
      </c>
      <c r="C1831">
        <v>2.9707222711294898</v>
      </c>
      <c r="D1831">
        <v>47.631124999999997</v>
      </c>
      <c r="E1831" s="5">
        <f t="shared" si="212"/>
        <v>47631.125</v>
      </c>
      <c r="F1831" s="5">
        <v>1.20687950402498</v>
      </c>
      <c r="G1831">
        <f t="shared" si="213"/>
        <v>952.62249999999995</v>
      </c>
      <c r="H1831">
        <f t="shared" si="214"/>
        <v>0.120687950402498</v>
      </c>
      <c r="I1831">
        <f t="shared" si="215"/>
        <v>0.11594273816875132</v>
      </c>
      <c r="K1831" s="5">
        <f t="shared" si="217"/>
        <v>1067.5925570323036</v>
      </c>
      <c r="L1831" s="5">
        <f t="shared" si="218"/>
        <v>0.11394273816875132</v>
      </c>
    </row>
    <row r="1832" spans="2:12">
      <c r="B1832">
        <v>17.81640625</v>
      </c>
      <c r="C1832">
        <v>2.9723166953772302</v>
      </c>
      <c r="D1832">
        <v>47.630316406250003</v>
      </c>
      <c r="E1832" s="5">
        <f t="shared" si="212"/>
        <v>47630.31640625</v>
      </c>
      <c r="F1832" s="5">
        <v>1.20836938731372</v>
      </c>
      <c r="G1832">
        <f t="shared" si="213"/>
        <v>952.606328125</v>
      </c>
      <c r="H1832">
        <f t="shared" si="214"/>
        <v>0.120836938731372</v>
      </c>
      <c r="I1832">
        <f t="shared" si="215"/>
        <v>0.11607567296667888</v>
      </c>
      <c r="K1832" s="5">
        <f t="shared" si="217"/>
        <v>1067.7163606317579</v>
      </c>
      <c r="L1832" s="5">
        <f t="shared" si="218"/>
        <v>0.11407567296667888</v>
      </c>
    </row>
    <row r="1833" spans="2:12">
      <c r="B1833">
        <v>17.826171875</v>
      </c>
      <c r="C1833">
        <v>2.97356094233692</v>
      </c>
      <c r="D1833">
        <v>47.607082031250002</v>
      </c>
      <c r="E1833" s="5">
        <f t="shared" si="212"/>
        <v>47607.08203125</v>
      </c>
      <c r="F1833" s="5">
        <v>1.2097004801034901</v>
      </c>
      <c r="G1833">
        <f t="shared" si="213"/>
        <v>952.14164062500004</v>
      </c>
      <c r="H1833">
        <f t="shared" si="214"/>
        <v>0.12097004801034901</v>
      </c>
      <c r="I1833">
        <f t="shared" si="215"/>
        <v>0.11619442474140416</v>
      </c>
      <c r="K1833" s="5">
        <f t="shared" si="217"/>
        <v>1067.3222606040588</v>
      </c>
      <c r="L1833" s="5">
        <f t="shared" si="218"/>
        <v>0.11419442474140416</v>
      </c>
    </row>
    <row r="1834" spans="2:12">
      <c r="B1834">
        <v>17.8359375</v>
      </c>
      <c r="C1834">
        <v>2.97417491674423</v>
      </c>
      <c r="D1834">
        <v>47.603859374999999</v>
      </c>
      <c r="E1834" s="5">
        <f t="shared" si="212"/>
        <v>47603.859375</v>
      </c>
      <c r="F1834" s="5">
        <v>1.2110567186027801</v>
      </c>
      <c r="G1834">
        <f t="shared" si="213"/>
        <v>952.07718750000004</v>
      </c>
      <c r="H1834">
        <f t="shared" si="214"/>
        <v>0.12110567186027801</v>
      </c>
      <c r="I1834">
        <f t="shared" si="215"/>
        <v>0.11631540535672637</v>
      </c>
      <c r="K1834" s="5">
        <f t="shared" si="217"/>
        <v>1067.3791349550315</v>
      </c>
      <c r="L1834" s="5">
        <f t="shared" si="218"/>
        <v>0.11431540535672637</v>
      </c>
    </row>
    <row r="1835" spans="2:12">
      <c r="B1835">
        <v>17.845703125</v>
      </c>
      <c r="C1835">
        <v>2.9771283734589802</v>
      </c>
      <c r="D1835">
        <v>47.600953124999997</v>
      </c>
      <c r="E1835" s="5">
        <f t="shared" si="212"/>
        <v>47600.953125</v>
      </c>
      <c r="F1835" s="5">
        <v>1.21253367979079</v>
      </c>
      <c r="G1835">
        <f t="shared" si="213"/>
        <v>952.01906250000002</v>
      </c>
      <c r="H1835">
        <f t="shared" si="214"/>
        <v>0.121253367979079</v>
      </c>
      <c r="I1835">
        <f t="shared" si="215"/>
        <v>0.11644713815811139</v>
      </c>
      <c r="K1835" s="5">
        <f t="shared" si="217"/>
        <v>1067.4545802084103</v>
      </c>
      <c r="L1835" s="5">
        <f t="shared" si="218"/>
        <v>0.11444713815811139</v>
      </c>
    </row>
    <row r="1836" spans="2:12">
      <c r="B1836">
        <v>17.85546875</v>
      </c>
      <c r="C1836">
        <v>2.9802189674228399</v>
      </c>
      <c r="D1836">
        <v>47.608765624999997</v>
      </c>
      <c r="E1836" s="5">
        <f t="shared" si="212"/>
        <v>47608.765625</v>
      </c>
      <c r="F1836" s="5">
        <v>1.2140154140070101</v>
      </c>
      <c r="G1836">
        <f t="shared" si="213"/>
        <v>952.17531250000002</v>
      </c>
      <c r="H1836">
        <f t="shared" si="214"/>
        <v>0.121401541400701</v>
      </c>
      <c r="I1836">
        <f t="shared" si="215"/>
        <v>0.11657927923895077</v>
      </c>
      <c r="K1836" s="5">
        <f t="shared" si="217"/>
        <v>1067.7708631211942</v>
      </c>
      <c r="L1836" s="5">
        <f t="shared" si="218"/>
        <v>0.11457927923895077</v>
      </c>
    </row>
    <row r="1837" spans="2:12">
      <c r="B1837">
        <v>17.865234375</v>
      </c>
      <c r="C1837">
        <v>2.97974934801459</v>
      </c>
      <c r="D1837">
        <v>47.617902343750004</v>
      </c>
      <c r="E1837" s="5">
        <f t="shared" si="212"/>
        <v>47617.90234375</v>
      </c>
      <c r="F1837" s="5">
        <v>1.21531519107521</v>
      </c>
      <c r="G1837">
        <f t="shared" si="213"/>
        <v>952.35804687500001</v>
      </c>
      <c r="H1837">
        <f t="shared" si="214"/>
        <v>0.121531519107521</v>
      </c>
      <c r="I1837">
        <f t="shared" si="215"/>
        <v>0.11669517900364196</v>
      </c>
      <c r="K1837" s="5">
        <f t="shared" si="217"/>
        <v>1068.0995670459904</v>
      </c>
      <c r="L1837" s="5">
        <f t="shared" si="218"/>
        <v>0.11469517900364196</v>
      </c>
    </row>
    <row r="1838" spans="2:12">
      <c r="B1838">
        <v>17.875</v>
      </c>
      <c r="C1838">
        <v>2.9811025597155099</v>
      </c>
      <c r="D1838">
        <v>47.610496093750001</v>
      </c>
      <c r="E1838" s="5">
        <f t="shared" si="212"/>
        <v>47610.49609375</v>
      </c>
      <c r="F1838" s="5">
        <v>1.2168464018031999</v>
      </c>
      <c r="G1838">
        <f t="shared" si="213"/>
        <v>952.20992187499996</v>
      </c>
      <c r="H1838">
        <f t="shared" si="214"/>
        <v>0.12168464018031999</v>
      </c>
      <c r="I1838">
        <f t="shared" si="215"/>
        <v>0.11683169823510595</v>
      </c>
      <c r="K1838" s="5">
        <f t="shared" si="217"/>
        <v>1068.07924359449</v>
      </c>
      <c r="L1838" s="5">
        <f t="shared" si="218"/>
        <v>0.11483169823510594</v>
      </c>
    </row>
    <row r="1839" spans="2:12">
      <c r="B1839">
        <v>17.884765625</v>
      </c>
      <c r="C1839">
        <v>2.98645347356796</v>
      </c>
      <c r="D1839">
        <v>47.6076328125</v>
      </c>
      <c r="E1839" s="5">
        <f t="shared" si="212"/>
        <v>47607.6328125</v>
      </c>
      <c r="F1839" s="5">
        <v>1.2184189399704299</v>
      </c>
      <c r="G1839">
        <f t="shared" si="213"/>
        <v>952.15265624999995</v>
      </c>
      <c r="H1839">
        <f t="shared" si="214"/>
        <v>0.121841893997043</v>
      </c>
      <c r="I1839">
        <f t="shared" si="215"/>
        <v>0.1169718827299937</v>
      </c>
      <c r="K1839" s="5">
        <f t="shared" si="217"/>
        <v>1068.1647392618154</v>
      </c>
      <c r="L1839" s="5">
        <f t="shared" si="218"/>
        <v>0.1149718827299937</v>
      </c>
    </row>
    <row r="1840" spans="2:12">
      <c r="B1840">
        <v>17.89453125</v>
      </c>
      <c r="C1840">
        <v>2.9867603443562998</v>
      </c>
      <c r="D1840">
        <v>47.5998515625</v>
      </c>
      <c r="E1840" s="5">
        <f t="shared" si="212"/>
        <v>47599.8515625</v>
      </c>
      <c r="F1840" s="5">
        <v>1.2197829782962799</v>
      </c>
      <c r="G1840">
        <f t="shared" si="213"/>
        <v>951.99703124999996</v>
      </c>
      <c r="H1840">
        <f t="shared" si="214"/>
        <v>0.12197829782962799</v>
      </c>
      <c r="I1840">
        <f t="shared" si="215"/>
        <v>0.11709346451560197</v>
      </c>
      <c r="K1840" s="5">
        <f t="shared" si="217"/>
        <v>1068.1200086607341</v>
      </c>
      <c r="L1840" s="5">
        <f t="shared" si="218"/>
        <v>0.11509346451560197</v>
      </c>
    </row>
    <row r="1841" spans="2:12">
      <c r="B1841">
        <v>17.904296875</v>
      </c>
      <c r="C1841">
        <v>2.9885277617722799</v>
      </c>
      <c r="D1841">
        <v>47.596871093750003</v>
      </c>
      <c r="E1841" s="5">
        <f t="shared" si="212"/>
        <v>47596.87109375</v>
      </c>
      <c r="F1841" s="5">
        <v>1.2212264118716101</v>
      </c>
      <c r="G1841">
        <f t="shared" si="213"/>
        <v>951.93742187500004</v>
      </c>
      <c r="H1841">
        <f t="shared" si="214"/>
        <v>0.12212264118716101</v>
      </c>
      <c r="I1841">
        <f t="shared" si="215"/>
        <v>0.11722210699796312</v>
      </c>
      <c r="K1841" s="5">
        <f t="shared" si="217"/>
        <v>1068.1905340792719</v>
      </c>
      <c r="L1841" s="5">
        <f t="shared" si="218"/>
        <v>0.11522210699796312</v>
      </c>
    </row>
    <row r="1842" spans="2:12">
      <c r="B1842">
        <v>17.9140625</v>
      </c>
      <c r="C1842">
        <v>2.9885873664170499</v>
      </c>
      <c r="D1842">
        <v>47.594554687500001</v>
      </c>
      <c r="E1842" s="5">
        <f t="shared" si="212"/>
        <v>47594.5546875</v>
      </c>
      <c r="F1842" s="5">
        <v>1.2227675179019599</v>
      </c>
      <c r="G1842">
        <f t="shared" si="213"/>
        <v>951.89109374999998</v>
      </c>
      <c r="H1842">
        <f t="shared" si="214"/>
        <v>0.12227675179019599</v>
      </c>
      <c r="I1842">
        <f t="shared" si="215"/>
        <v>0.11735943603463934</v>
      </c>
      <c r="K1842" s="5">
        <f t="shared" si="217"/>
        <v>1068.2852447517669</v>
      </c>
      <c r="L1842" s="5">
        <f t="shared" si="218"/>
        <v>0.11535943603463934</v>
      </c>
    </row>
    <row r="1843" spans="2:12">
      <c r="B1843">
        <v>17.923828125</v>
      </c>
      <c r="C1843">
        <v>2.9902353417128298</v>
      </c>
      <c r="D1843">
        <v>47.578164062500001</v>
      </c>
      <c r="E1843" s="5">
        <f t="shared" si="212"/>
        <v>47578.1640625</v>
      </c>
      <c r="F1843" s="5">
        <v>1.2241814984008701</v>
      </c>
      <c r="G1843">
        <f t="shared" si="213"/>
        <v>951.56328125000005</v>
      </c>
      <c r="H1843">
        <f t="shared" si="214"/>
        <v>0.122418149840087</v>
      </c>
      <c r="I1843">
        <f t="shared" si="215"/>
        <v>0.11748542023852855</v>
      </c>
      <c r="K1843" s="5">
        <f t="shared" si="217"/>
        <v>1068.0518975963873</v>
      </c>
      <c r="L1843" s="5">
        <f t="shared" si="218"/>
        <v>0.11548542023852855</v>
      </c>
    </row>
    <row r="1844" spans="2:12">
      <c r="B1844">
        <v>17.93359375</v>
      </c>
      <c r="C1844">
        <v>2.99170310609043</v>
      </c>
      <c r="D1844">
        <v>47.567351562500001</v>
      </c>
      <c r="E1844" s="5">
        <f t="shared" si="212"/>
        <v>47567.3515625</v>
      </c>
      <c r="F1844" s="5">
        <v>1.22555915731937</v>
      </c>
      <c r="G1844">
        <f t="shared" si="213"/>
        <v>951.34703124999999</v>
      </c>
      <c r="H1844">
        <f t="shared" si="214"/>
        <v>0.122555915731937</v>
      </c>
      <c r="I1844">
        <f t="shared" si="215"/>
        <v>0.11760815296327191</v>
      </c>
      <c r="K1844" s="5">
        <f t="shared" si="217"/>
        <v>1067.9402378437032</v>
      </c>
      <c r="L1844" s="5">
        <f t="shared" si="218"/>
        <v>0.11560815296327191</v>
      </c>
    </row>
    <row r="1845" spans="2:12">
      <c r="B1845">
        <v>17.943359375</v>
      </c>
      <c r="C1845">
        <v>2.9928537551313599</v>
      </c>
      <c r="D1845">
        <v>47.565363281250001</v>
      </c>
      <c r="E1845" s="5">
        <f t="shared" si="212"/>
        <v>47565.36328125</v>
      </c>
      <c r="F1845" s="5">
        <v>1.2270675506442801</v>
      </c>
      <c r="G1845">
        <f t="shared" si="213"/>
        <v>951.30726562500001</v>
      </c>
      <c r="H1845">
        <f t="shared" si="214"/>
        <v>0.12270675506442801</v>
      </c>
      <c r="I1845">
        <f t="shared" si="215"/>
        <v>0.11774251526722862</v>
      </c>
      <c r="K1845" s="5">
        <f t="shared" si="217"/>
        <v>1068.0390932590576</v>
      </c>
      <c r="L1845" s="5">
        <f t="shared" si="218"/>
        <v>0.11574251526722862</v>
      </c>
    </row>
    <row r="1846" spans="2:12">
      <c r="B1846">
        <v>17.953125</v>
      </c>
      <c r="C1846">
        <v>2.9944942798465499</v>
      </c>
      <c r="D1846">
        <v>47.545714843749998</v>
      </c>
      <c r="E1846" s="5">
        <f t="shared" si="212"/>
        <v>47545.71484375</v>
      </c>
      <c r="F1846" s="5">
        <v>1.22859084513038</v>
      </c>
      <c r="G1846">
        <f t="shared" si="213"/>
        <v>950.91429687499999</v>
      </c>
      <c r="H1846">
        <f t="shared" si="214"/>
        <v>0.12285908451303799</v>
      </c>
      <c r="I1846">
        <f t="shared" si="215"/>
        <v>0.11787818659439148</v>
      </c>
      <c r="K1846" s="5">
        <f t="shared" si="217"/>
        <v>1067.7427568394216</v>
      </c>
      <c r="L1846" s="5">
        <f t="shared" si="218"/>
        <v>0.11587818659439147</v>
      </c>
    </row>
    <row r="1847" spans="2:12">
      <c r="B1847">
        <v>17.962890625</v>
      </c>
      <c r="C1847">
        <v>2.99670686945319</v>
      </c>
      <c r="D1847">
        <v>47.555527343750001</v>
      </c>
      <c r="E1847" s="5">
        <f t="shared" si="212"/>
        <v>47555.52734375</v>
      </c>
      <c r="F1847" s="5">
        <v>1.2299752561375501</v>
      </c>
      <c r="G1847">
        <f t="shared" si="213"/>
        <v>951.11054687499995</v>
      </c>
      <c r="H1847">
        <f t="shared" si="214"/>
        <v>0.12299752561375502</v>
      </c>
      <c r="I1847">
        <f t="shared" si="215"/>
        <v>0.11800147238233373</v>
      </c>
      <c r="K1847" s="5">
        <f t="shared" si="217"/>
        <v>1068.0947907257703</v>
      </c>
      <c r="L1847" s="5">
        <f t="shared" si="218"/>
        <v>0.11600147238233373</v>
      </c>
    </row>
    <row r="1848" spans="2:12">
      <c r="B1848">
        <v>17.97265625</v>
      </c>
      <c r="C1848">
        <v>2.9985576402395999</v>
      </c>
      <c r="D1848">
        <v>47.557875000000003</v>
      </c>
      <c r="E1848" s="5">
        <f t="shared" si="212"/>
        <v>47557.875</v>
      </c>
      <c r="F1848" s="5">
        <v>1.2312994804233299</v>
      </c>
      <c r="G1848">
        <f t="shared" si="213"/>
        <v>951.15750000000003</v>
      </c>
      <c r="H1848">
        <f t="shared" si="214"/>
        <v>0.12312994804233299</v>
      </c>
      <c r="I1848">
        <f t="shared" si="215"/>
        <v>0.11811938414850413</v>
      </c>
      <c r="K1848" s="5">
        <f t="shared" si="217"/>
        <v>1068.2734735550753</v>
      </c>
      <c r="L1848" s="5">
        <f t="shared" si="218"/>
        <v>0.11611938414850413</v>
      </c>
    </row>
    <row r="1849" spans="2:12">
      <c r="B1849">
        <v>17.982421875</v>
      </c>
      <c r="C1849">
        <v>3.0000105034560001</v>
      </c>
      <c r="D1849">
        <v>47.548539062499998</v>
      </c>
      <c r="E1849" s="5">
        <f t="shared" si="212"/>
        <v>47548.5390625</v>
      </c>
      <c r="F1849" s="5">
        <v>1.23292370699346</v>
      </c>
      <c r="G1849">
        <f t="shared" si="213"/>
        <v>950.97078124999996</v>
      </c>
      <c r="H1849">
        <f t="shared" si="214"/>
        <v>0.123292370699346</v>
      </c>
      <c r="I1849">
        <f t="shared" si="215"/>
        <v>0.11826398977847952</v>
      </c>
      <c r="K1849" s="5">
        <f t="shared" si="217"/>
        <v>1068.2182233361216</v>
      </c>
      <c r="L1849" s="5">
        <f t="shared" si="218"/>
        <v>0.11626398977847952</v>
      </c>
    </row>
    <row r="1850" spans="2:12">
      <c r="B1850">
        <v>17.9921875</v>
      </c>
      <c r="C1850">
        <v>3.00205801613629</v>
      </c>
      <c r="D1850">
        <v>47.528246093749999</v>
      </c>
      <c r="E1850" s="5">
        <f t="shared" si="212"/>
        <v>47528.24609375</v>
      </c>
      <c r="F1850" s="5">
        <v>1.23433722183108</v>
      </c>
      <c r="G1850">
        <f t="shared" si="213"/>
        <v>950.56492187499998</v>
      </c>
      <c r="H1850">
        <f t="shared" si="214"/>
        <v>0.123433722183108</v>
      </c>
      <c r="I1850">
        <f t="shared" si="215"/>
        <v>0.11838981863175728</v>
      </c>
      <c r="K1850" s="5">
        <f t="shared" si="217"/>
        <v>1067.8966883587264</v>
      </c>
      <c r="L1850" s="5">
        <f t="shared" si="218"/>
        <v>0.11638981863175728</v>
      </c>
    </row>
    <row r="1851" spans="2:12">
      <c r="B1851">
        <v>18.001953125</v>
      </c>
      <c r="C1851">
        <v>3.0026198364794299</v>
      </c>
      <c r="D1851">
        <v>47.512949218750002</v>
      </c>
      <c r="E1851" s="5">
        <f t="shared" si="212"/>
        <v>47512.94921875</v>
      </c>
      <c r="F1851" s="5">
        <v>1.23565772082657</v>
      </c>
      <c r="G1851">
        <f t="shared" si="213"/>
        <v>950.25898437499995</v>
      </c>
      <c r="H1851">
        <f t="shared" si="214"/>
        <v>0.123565772082657</v>
      </c>
      <c r="I1851">
        <f t="shared" si="215"/>
        <v>0.11850735305936902</v>
      </c>
      <c r="K1851" s="5">
        <f t="shared" si="217"/>
        <v>1067.6784694577784</v>
      </c>
      <c r="L1851" s="5">
        <f t="shared" si="218"/>
        <v>0.11650735305936902</v>
      </c>
    </row>
    <row r="1852" spans="2:12">
      <c r="B1852">
        <v>18.01171875</v>
      </c>
      <c r="C1852">
        <v>3.0036761891096799</v>
      </c>
      <c r="D1852">
        <v>47.512035156250001</v>
      </c>
      <c r="E1852" s="5">
        <f t="shared" si="212"/>
        <v>47512.03515625</v>
      </c>
      <c r="F1852" s="5">
        <v>1.2371373595669899</v>
      </c>
      <c r="G1852">
        <f t="shared" si="213"/>
        <v>950.24070312499998</v>
      </c>
      <c r="H1852">
        <f t="shared" si="214"/>
        <v>0.12371373595669899</v>
      </c>
      <c r="I1852">
        <f t="shared" si="215"/>
        <v>0.11863903572165159</v>
      </c>
      <c r="K1852" s="5">
        <f t="shared" si="217"/>
        <v>1067.7985305667144</v>
      </c>
      <c r="L1852" s="5">
        <f t="shared" si="218"/>
        <v>0.11663903572165159</v>
      </c>
    </row>
    <row r="1853" spans="2:12">
      <c r="B1853">
        <v>18.021484375</v>
      </c>
      <c r="C1853">
        <v>3.0051455833017799</v>
      </c>
      <c r="D1853">
        <v>47.510667968749999</v>
      </c>
      <c r="E1853" s="5">
        <f t="shared" si="212"/>
        <v>47510.66796875</v>
      </c>
      <c r="F1853" s="5">
        <v>1.2386656599119299</v>
      </c>
      <c r="G1853">
        <f t="shared" si="213"/>
        <v>950.21335937499998</v>
      </c>
      <c r="H1853">
        <f t="shared" si="214"/>
        <v>0.12386656599119299</v>
      </c>
      <c r="I1853">
        <f t="shared" si="215"/>
        <v>0.11877503089352336</v>
      </c>
      <c r="K1853" s="5">
        <f t="shared" si="217"/>
        <v>1067.9130251597367</v>
      </c>
      <c r="L1853" s="5">
        <f t="shared" si="218"/>
        <v>0.11677503089352335</v>
      </c>
    </row>
    <row r="1854" spans="2:12">
      <c r="B1854">
        <v>18.03125</v>
      </c>
      <c r="C1854">
        <v>3.0068426858633801</v>
      </c>
      <c r="D1854">
        <v>47.494253906250002</v>
      </c>
      <c r="E1854" s="5">
        <f t="shared" si="212"/>
        <v>47494.25390625</v>
      </c>
      <c r="F1854" s="5">
        <v>1.2400139821693299</v>
      </c>
      <c r="G1854">
        <f t="shared" si="213"/>
        <v>949.88507812499995</v>
      </c>
      <c r="H1854">
        <f t="shared" si="214"/>
        <v>0.12400139821693298</v>
      </c>
      <c r="I1854">
        <f t="shared" si="215"/>
        <v>0.1188949954359685</v>
      </c>
      <c r="K1854" s="5">
        <f t="shared" si="217"/>
        <v>1067.6721559579005</v>
      </c>
      <c r="L1854" s="5">
        <f t="shared" si="218"/>
        <v>0.1168949954359685</v>
      </c>
    </row>
    <row r="1855" spans="2:12">
      <c r="B1855">
        <v>18.041015625</v>
      </c>
      <c r="C1855">
        <v>3.0085609760135399</v>
      </c>
      <c r="D1855">
        <v>47.50571875</v>
      </c>
      <c r="E1855" s="5">
        <f t="shared" si="212"/>
        <v>47505.71875</v>
      </c>
      <c r="F1855" s="5">
        <v>1.24137476086617</v>
      </c>
      <c r="G1855">
        <f t="shared" si="213"/>
        <v>950.114375</v>
      </c>
      <c r="H1855">
        <f t="shared" si="214"/>
        <v>0.124137476086617</v>
      </c>
      <c r="I1855">
        <f t="shared" si="215"/>
        <v>0.11901605367788186</v>
      </c>
      <c r="K1855" s="5">
        <f t="shared" si="217"/>
        <v>1068.0591755061134</v>
      </c>
      <c r="L1855" s="5">
        <f t="shared" si="218"/>
        <v>0.11701605367788186</v>
      </c>
    </row>
    <row r="1856" spans="2:12">
      <c r="B1856">
        <v>18.05078125</v>
      </c>
      <c r="C1856">
        <v>3.0098094139248102</v>
      </c>
      <c r="D1856">
        <v>47.515679687499997</v>
      </c>
      <c r="E1856" s="5">
        <f t="shared" si="212"/>
        <v>47515.6796875</v>
      </c>
      <c r="F1856" s="5">
        <v>1.2429999187588701</v>
      </c>
      <c r="G1856">
        <f t="shared" si="213"/>
        <v>950.31359375</v>
      </c>
      <c r="H1856">
        <f t="shared" si="214"/>
        <v>0.124299991875887</v>
      </c>
      <c r="I1856">
        <f t="shared" si="215"/>
        <v>0.11916061254764686</v>
      </c>
      <c r="K1856" s="5">
        <f t="shared" si="217"/>
        <v>1068.4375657326698</v>
      </c>
      <c r="L1856" s="5">
        <f t="shared" si="218"/>
        <v>0.11716061254764686</v>
      </c>
    </row>
    <row r="1857" spans="2:12">
      <c r="B1857">
        <v>18.060546875</v>
      </c>
      <c r="C1857">
        <v>3.0124709010124202</v>
      </c>
      <c r="D1857">
        <v>47.509273437499999</v>
      </c>
      <c r="E1857" s="5">
        <f t="shared" si="212"/>
        <v>47509.2734375</v>
      </c>
      <c r="F1857" s="5">
        <v>1.2445545289665501</v>
      </c>
      <c r="G1857">
        <f t="shared" si="213"/>
        <v>950.18546875000004</v>
      </c>
      <c r="H1857">
        <f t="shared" si="214"/>
        <v>0.12445545289665501</v>
      </c>
      <c r="I1857">
        <f t="shared" si="215"/>
        <v>0.11929887660066088</v>
      </c>
      <c r="K1857" s="5">
        <f t="shared" si="217"/>
        <v>1068.4412315991017</v>
      </c>
      <c r="L1857" s="5">
        <f t="shared" si="218"/>
        <v>0.11729887660066088</v>
      </c>
    </row>
    <row r="1858" spans="2:12">
      <c r="B1858">
        <v>18.0703125</v>
      </c>
      <c r="C1858">
        <v>3.01533495076001</v>
      </c>
      <c r="D1858">
        <v>47.528484374999998</v>
      </c>
      <c r="E1858" s="5">
        <f t="shared" si="212"/>
        <v>47528.484375</v>
      </c>
      <c r="F1858" s="5">
        <v>1.2459571007639201</v>
      </c>
      <c r="G1858">
        <f t="shared" si="213"/>
        <v>950.56968749999999</v>
      </c>
      <c r="H1858">
        <f t="shared" si="214"/>
        <v>0.124595710076392</v>
      </c>
      <c r="I1858">
        <f t="shared" si="215"/>
        <v>0.11942360224694923</v>
      </c>
      <c r="K1858" s="5">
        <f t="shared" si="217"/>
        <v>1069.0065926911564</v>
      </c>
      <c r="L1858" s="5">
        <f t="shared" si="218"/>
        <v>0.11742360224694923</v>
      </c>
    </row>
    <row r="1859" spans="2:12">
      <c r="B1859">
        <v>18.080078125</v>
      </c>
      <c r="C1859">
        <v>3.0171691905707099</v>
      </c>
      <c r="D1859">
        <v>47.547636718749999</v>
      </c>
      <c r="E1859" s="5">
        <f t="shared" si="212"/>
        <v>47547.63671875</v>
      </c>
      <c r="F1859" s="5">
        <v>1.2475837720558001</v>
      </c>
      <c r="G1859">
        <f t="shared" si="213"/>
        <v>950.95273437499998</v>
      </c>
      <c r="H1859">
        <f t="shared" si="214"/>
        <v>0.12475837720558</v>
      </c>
      <c r="I1859">
        <f t="shared" si="215"/>
        <v>0.11956823677149245</v>
      </c>
      <c r="K1859" s="5">
        <f t="shared" si="217"/>
        <v>1069.5920543148341</v>
      </c>
      <c r="L1859" s="5">
        <f t="shared" si="218"/>
        <v>0.11756823677149245</v>
      </c>
    </row>
    <row r="1860" spans="2:12">
      <c r="B1860">
        <v>18.08984375</v>
      </c>
      <c r="C1860">
        <v>3.0197426676750201</v>
      </c>
      <c r="D1860">
        <v>47.535249999999998</v>
      </c>
      <c r="E1860" s="5">
        <f t="shared" si="212"/>
        <v>47535.25</v>
      </c>
      <c r="F1860" s="5">
        <v>1.2492712121456899</v>
      </c>
      <c r="G1860">
        <f t="shared" si="213"/>
        <v>950.70500000000004</v>
      </c>
      <c r="H1860">
        <f t="shared" si="214"/>
        <v>0.12492712121456899</v>
      </c>
      <c r="I1860">
        <f t="shared" si="215"/>
        <v>0.11971825241538933</v>
      </c>
      <c r="K1860" s="5">
        <f t="shared" si="217"/>
        <v>1069.4738387742968</v>
      </c>
      <c r="L1860" s="5">
        <f t="shared" si="218"/>
        <v>0.11771825241538933</v>
      </c>
    </row>
    <row r="1861" spans="2:12">
      <c r="B1861">
        <v>18.099609375</v>
      </c>
      <c r="C1861">
        <v>3.0214162543416001</v>
      </c>
      <c r="D1861">
        <v>47.5447109375</v>
      </c>
      <c r="E1861" s="5">
        <f t="shared" si="212"/>
        <v>47544.7109375</v>
      </c>
      <c r="F1861" s="5">
        <v>1.25080347061157</v>
      </c>
      <c r="G1861">
        <f t="shared" si="213"/>
        <v>950.89421875000005</v>
      </c>
      <c r="H1861">
        <f t="shared" si="214"/>
        <v>0.125080347061157</v>
      </c>
      <c r="I1861">
        <f t="shared" si="215"/>
        <v>0.11985445271604188</v>
      </c>
      <c r="K1861" s="5">
        <f t="shared" si="217"/>
        <v>1069.8323976496979</v>
      </c>
      <c r="L1861" s="5">
        <f t="shared" si="218"/>
        <v>0.11785445271604188</v>
      </c>
    </row>
    <row r="1862" spans="2:12">
      <c r="B1862">
        <v>18.109375</v>
      </c>
      <c r="C1862">
        <v>3.0234218575060399</v>
      </c>
      <c r="D1862">
        <v>47.548398437499998</v>
      </c>
      <c r="E1862" s="5">
        <f t="shared" si="212"/>
        <v>47548.3984375</v>
      </c>
      <c r="F1862" s="5">
        <v>1.25235226005316</v>
      </c>
      <c r="G1862">
        <f t="shared" si="213"/>
        <v>950.96796874999995</v>
      </c>
      <c r="H1862">
        <f t="shared" si="214"/>
        <v>0.125235226005316</v>
      </c>
      <c r="I1862">
        <f t="shared" si="215"/>
        <v>0.11999210358266456</v>
      </c>
      <c r="K1862" s="5">
        <f t="shared" si="217"/>
        <v>1070.0626572402225</v>
      </c>
      <c r="L1862" s="5">
        <f t="shared" si="218"/>
        <v>0.11799210358266456</v>
      </c>
    </row>
    <row r="1863" spans="2:12">
      <c r="B1863">
        <v>18.119140625</v>
      </c>
      <c r="C1863">
        <v>3.0256032478064299</v>
      </c>
      <c r="D1863">
        <v>47.509945312500001</v>
      </c>
      <c r="E1863" s="5">
        <f t="shared" si="212"/>
        <v>47509.9453125</v>
      </c>
      <c r="F1863" s="5">
        <v>1.2539082672446999</v>
      </c>
      <c r="G1863">
        <f t="shared" si="213"/>
        <v>950.19890625000005</v>
      </c>
      <c r="H1863">
        <f t="shared" si="214"/>
        <v>0.12539082672446999</v>
      </c>
      <c r="I1863">
        <f t="shared" si="215"/>
        <v>0.12013037685930533</v>
      </c>
      <c r="K1863" s="5">
        <f t="shared" si="217"/>
        <v>1069.3451326573747</v>
      </c>
      <c r="L1863" s="5">
        <f t="shared" si="218"/>
        <v>0.11813037685930533</v>
      </c>
    </row>
    <row r="1864" spans="2:12">
      <c r="B1864">
        <v>18.12890625</v>
      </c>
      <c r="C1864">
        <v>3.0232162680476899</v>
      </c>
      <c r="D1864">
        <v>47.467167968749997</v>
      </c>
      <c r="E1864" s="5">
        <f t="shared" si="212"/>
        <v>47467.16796875</v>
      </c>
      <c r="F1864" s="5">
        <v>1.25544413458556</v>
      </c>
      <c r="G1864">
        <f t="shared" si="213"/>
        <v>949.34335937499998</v>
      </c>
      <c r="H1864">
        <f t="shared" si="214"/>
        <v>0.12554441345855599</v>
      </c>
      <c r="I1864">
        <f t="shared" si="215"/>
        <v>0.12026684167764608</v>
      </c>
      <c r="K1864" s="5">
        <f t="shared" si="217"/>
        <v>1068.5281145985093</v>
      </c>
      <c r="L1864" s="5">
        <f t="shared" si="218"/>
        <v>0.11826684167764608</v>
      </c>
    </row>
    <row r="1865" spans="2:12">
      <c r="B1865">
        <v>18.138671875</v>
      </c>
      <c r="C1865">
        <v>3.0246912501752399</v>
      </c>
      <c r="D1865">
        <v>47.466953125000003</v>
      </c>
      <c r="E1865" s="5">
        <f t="shared" ref="E1865:E1928" si="219" xml:space="preserve"> D1865*R$3</f>
        <v>47466.953125</v>
      </c>
      <c r="F1865" s="5">
        <v>1.2569864047691199</v>
      </c>
      <c r="G1865">
        <f t="shared" ref="G1865:G1928" si="220" xml:space="preserve"> E1865/C$3</f>
        <v>949.33906249999995</v>
      </c>
      <c r="H1865">
        <f t="shared" ref="H1865:H1928" si="221" xml:space="preserve"> F1865/C$4</f>
        <v>0.12569864047691198</v>
      </c>
      <c r="I1865">
        <f t="shared" ref="I1865:I1928" si="222">L1865+0.002</f>
        <v>0.12040385666439107</v>
      </c>
      <c r="K1865" s="5">
        <f t="shared" ref="K1865:K1928" si="223" xml:space="preserve"> G1865 * (1 + H1865)</f>
        <v>1068.6696920078762</v>
      </c>
      <c r="L1865" s="5">
        <f t="shared" ref="L1865:L1928" si="224">LN(1 + H1865)</f>
        <v>0.11840385666439107</v>
      </c>
    </row>
    <row r="1866" spans="2:12">
      <c r="B1866">
        <v>18.1484375</v>
      </c>
      <c r="C1866">
        <v>3.0270472634583698</v>
      </c>
      <c r="D1866">
        <v>47.457652343749999</v>
      </c>
      <c r="E1866" s="5">
        <f t="shared" si="219"/>
        <v>47457.65234375</v>
      </c>
      <c r="F1866" s="5">
        <v>1.25840376131237</v>
      </c>
      <c r="G1866">
        <f t="shared" si="220"/>
        <v>949.15304687499997</v>
      </c>
      <c r="H1866">
        <f t="shared" si="221"/>
        <v>0.125840376131237</v>
      </c>
      <c r="I1866">
        <f t="shared" si="222"/>
        <v>0.12052975779554331</v>
      </c>
      <c r="K1866" s="5">
        <f t="shared" si="223"/>
        <v>1068.5948232998596</v>
      </c>
      <c r="L1866" s="5">
        <f t="shared" si="224"/>
        <v>0.11852975779554331</v>
      </c>
    </row>
    <row r="1867" spans="2:12">
      <c r="B1867">
        <v>18.158203125</v>
      </c>
      <c r="C1867">
        <v>3.0319003853946902</v>
      </c>
      <c r="D1867">
        <v>47.455917968750001</v>
      </c>
      <c r="E1867" s="5">
        <f t="shared" si="219"/>
        <v>47455.91796875</v>
      </c>
      <c r="F1867" s="5">
        <v>1.25993485562503</v>
      </c>
      <c r="G1867">
        <f t="shared" si="220"/>
        <v>949.11835937499995</v>
      </c>
      <c r="H1867">
        <f t="shared" si="221"/>
        <v>0.125993485562503</v>
      </c>
      <c r="I1867">
        <f t="shared" si="222"/>
        <v>0.12066574423229286</v>
      </c>
      <c r="K1867" s="5">
        <f t="shared" si="223"/>
        <v>1068.7010896840204</v>
      </c>
      <c r="L1867" s="5">
        <f t="shared" si="224"/>
        <v>0.11866574423229286</v>
      </c>
    </row>
    <row r="1868" spans="2:12">
      <c r="B1868">
        <v>18.16796875</v>
      </c>
      <c r="C1868">
        <v>3.0318186618387699</v>
      </c>
      <c r="D1868">
        <v>47.437183593749999</v>
      </c>
      <c r="E1868" s="5">
        <f t="shared" si="219"/>
        <v>47437.18359375</v>
      </c>
      <c r="F1868" s="5">
        <v>1.26141984947026</v>
      </c>
      <c r="G1868">
        <f t="shared" si="220"/>
        <v>948.74367187500002</v>
      </c>
      <c r="H1868">
        <f t="shared" si="221"/>
        <v>0.126141984947026</v>
      </c>
      <c r="I1868">
        <f t="shared" si="222"/>
        <v>0.12079761852376673</v>
      </c>
      <c r="K1868" s="5">
        <f t="shared" si="223"/>
        <v>1068.4200818512425</v>
      </c>
      <c r="L1868" s="5">
        <f t="shared" si="224"/>
        <v>0.11879761852376673</v>
      </c>
    </row>
    <row r="1869" spans="2:12">
      <c r="B1869">
        <v>18.177734375</v>
      </c>
      <c r="C1869">
        <v>3.0320226214826098</v>
      </c>
      <c r="D1869">
        <v>47.440425781249999</v>
      </c>
      <c r="E1869" s="5">
        <f t="shared" si="219"/>
        <v>47440.42578125</v>
      </c>
      <c r="F1869" s="5">
        <v>1.26290135085583</v>
      </c>
      <c r="G1869">
        <f t="shared" si="220"/>
        <v>948.80851562500004</v>
      </c>
      <c r="H1869">
        <f t="shared" si="221"/>
        <v>0.12629013508558301</v>
      </c>
      <c r="I1869">
        <f t="shared" si="222"/>
        <v>0.12092916534149588</v>
      </c>
      <c r="K1869" s="5">
        <f t="shared" si="223"/>
        <v>1068.6336712336326</v>
      </c>
      <c r="L1869" s="5">
        <f t="shared" si="224"/>
        <v>0.11892916534149588</v>
      </c>
    </row>
    <row r="1870" spans="2:12">
      <c r="B1870">
        <v>18.1875</v>
      </c>
      <c r="C1870">
        <v>3.0346170533448502</v>
      </c>
      <c r="D1870">
        <v>47.428906249999997</v>
      </c>
      <c r="E1870" s="5">
        <f t="shared" si="219"/>
        <v>47428.90625</v>
      </c>
      <c r="F1870" s="5">
        <v>1.2644184753298799</v>
      </c>
      <c r="G1870">
        <f t="shared" si="220"/>
        <v>948.578125</v>
      </c>
      <c r="H1870">
        <f t="shared" si="221"/>
        <v>0.12644184753298798</v>
      </c>
      <c r="I1870">
        <f t="shared" si="222"/>
        <v>0.12106385730556884</v>
      </c>
      <c r="K1870" s="5">
        <f t="shared" si="223"/>
        <v>1068.5180956543777</v>
      </c>
      <c r="L1870" s="5">
        <f t="shared" si="224"/>
        <v>0.11906385730556884</v>
      </c>
    </row>
    <row r="1871" spans="2:12">
      <c r="B1871">
        <v>18.197265625</v>
      </c>
      <c r="C1871">
        <v>3.03631741553545</v>
      </c>
      <c r="D1871">
        <v>47.4255</v>
      </c>
      <c r="E1871" s="5">
        <f t="shared" si="219"/>
        <v>47425.5</v>
      </c>
      <c r="F1871" s="5">
        <v>1.26594735775143</v>
      </c>
      <c r="G1871">
        <f t="shared" si="220"/>
        <v>948.51</v>
      </c>
      <c r="H1871">
        <f t="shared" si="221"/>
        <v>0.12659473577514299</v>
      </c>
      <c r="I1871">
        <f t="shared" si="222"/>
        <v>0.12119957480214412</v>
      </c>
      <c r="K1871" s="5">
        <f t="shared" si="223"/>
        <v>1068.5863728300808</v>
      </c>
      <c r="L1871" s="5">
        <f t="shared" si="224"/>
        <v>0.11919957480214412</v>
      </c>
    </row>
    <row r="1872" spans="2:12">
      <c r="B1872">
        <v>18.20703125</v>
      </c>
      <c r="C1872">
        <v>3.0380473472178</v>
      </c>
      <c r="D1872">
        <v>47.420531250000003</v>
      </c>
      <c r="E1872" s="5">
        <f t="shared" si="219"/>
        <v>47420.53125</v>
      </c>
      <c r="F1872" s="5">
        <v>1.2674549361690901</v>
      </c>
      <c r="G1872">
        <f t="shared" si="220"/>
        <v>948.41062499999998</v>
      </c>
      <c r="H1872">
        <f t="shared" si="221"/>
        <v>0.12674549361690901</v>
      </c>
      <c r="I1872">
        <f t="shared" si="222"/>
        <v>0.12133338312813466</v>
      </c>
      <c r="K1872" s="5">
        <f t="shared" si="223"/>
        <v>1068.6173978171462</v>
      </c>
      <c r="L1872" s="5">
        <f t="shared" si="224"/>
        <v>0.11933338312813466</v>
      </c>
    </row>
    <row r="1873" spans="2:12">
      <c r="B1873">
        <v>18.216796875</v>
      </c>
      <c r="C1873">
        <v>3.03998147137463</v>
      </c>
      <c r="D1873">
        <v>47.415339843749997</v>
      </c>
      <c r="E1873" s="5">
        <f t="shared" si="219"/>
        <v>47415.33984375</v>
      </c>
      <c r="F1873" s="5">
        <v>1.2689516879618199</v>
      </c>
      <c r="G1873">
        <f t="shared" si="220"/>
        <v>948.30679687500003</v>
      </c>
      <c r="H1873">
        <f t="shared" si="221"/>
        <v>0.12689516879618198</v>
      </c>
      <c r="I1873">
        <f t="shared" si="222"/>
        <v>0.12146621280412452</v>
      </c>
      <c r="K1873" s="5">
        <f t="shared" si="223"/>
        <v>1068.6423479350196</v>
      </c>
      <c r="L1873" s="5">
        <f t="shared" si="224"/>
        <v>0.11946621280412452</v>
      </c>
    </row>
    <row r="1874" spans="2:12">
      <c r="B1874">
        <v>18.2265625</v>
      </c>
      <c r="C1874">
        <v>3.0418396927416298</v>
      </c>
      <c r="D1874">
        <v>47.409710937500002</v>
      </c>
      <c r="E1874" s="5">
        <f t="shared" si="219"/>
        <v>47409.7109375</v>
      </c>
      <c r="F1874" s="5">
        <v>1.2703995453193799</v>
      </c>
      <c r="G1874">
        <f t="shared" si="220"/>
        <v>948.19421875</v>
      </c>
      <c r="H1874">
        <f t="shared" si="221"/>
        <v>0.127039954531938</v>
      </c>
      <c r="I1874">
        <f t="shared" si="222"/>
        <v>0.12159468654274883</v>
      </c>
      <c r="K1874" s="5">
        <f t="shared" si="223"/>
        <v>1068.6527691874464</v>
      </c>
      <c r="L1874" s="5">
        <f t="shared" si="224"/>
        <v>0.11959468654274882</v>
      </c>
    </row>
    <row r="1875" spans="2:12">
      <c r="B1875">
        <v>18.236328125</v>
      </c>
      <c r="C1875">
        <v>3.0424937140196602</v>
      </c>
      <c r="D1875">
        <v>47.406308593749998</v>
      </c>
      <c r="E1875" s="5">
        <f t="shared" si="219"/>
        <v>47406.30859375</v>
      </c>
      <c r="F1875" s="5">
        <v>1.2719378573819999</v>
      </c>
      <c r="G1875">
        <f t="shared" si="220"/>
        <v>948.12617187499995</v>
      </c>
      <c r="H1875">
        <f t="shared" si="221"/>
        <v>0.1271937857382</v>
      </c>
      <c r="I1875">
        <f t="shared" si="222"/>
        <v>0.12173116857986202</v>
      </c>
      <c r="K1875" s="5">
        <f t="shared" si="223"/>
        <v>1068.7219290332484</v>
      </c>
      <c r="L1875" s="5">
        <f t="shared" si="224"/>
        <v>0.11973116857986202</v>
      </c>
    </row>
    <row r="1876" spans="2:12">
      <c r="B1876">
        <v>18.24609375</v>
      </c>
      <c r="C1876">
        <v>3.04396008141339</v>
      </c>
      <c r="D1876">
        <v>47.4000078125</v>
      </c>
      <c r="E1876" s="5">
        <f t="shared" si="219"/>
        <v>47400.0078125</v>
      </c>
      <c r="F1876" s="5">
        <v>1.2734975898638401</v>
      </c>
      <c r="G1876">
        <f t="shared" si="220"/>
        <v>948.00015625000003</v>
      </c>
      <c r="H1876">
        <f t="shared" si="221"/>
        <v>0.12734975898638401</v>
      </c>
      <c r="I1876">
        <f t="shared" si="222"/>
        <v>0.12186953206261486</v>
      </c>
      <c r="K1876" s="5">
        <f t="shared" si="223"/>
        <v>1068.7277476674919</v>
      </c>
      <c r="L1876" s="5">
        <f t="shared" si="224"/>
        <v>0.11986953206261486</v>
      </c>
    </row>
    <row r="1877" spans="2:12">
      <c r="B1877">
        <v>18.255859375</v>
      </c>
      <c r="C1877">
        <v>3.0460015404969498</v>
      </c>
      <c r="D1877">
        <v>47.3971484375</v>
      </c>
      <c r="E1877" s="5">
        <f t="shared" si="219"/>
        <v>47397.1484375</v>
      </c>
      <c r="F1877" s="5">
        <v>1.27501983661205</v>
      </c>
      <c r="G1877">
        <f t="shared" si="220"/>
        <v>947.94296874999998</v>
      </c>
      <c r="H1877">
        <f t="shared" si="221"/>
        <v>0.12750198366120499</v>
      </c>
      <c r="I1877">
        <f t="shared" si="222"/>
        <v>0.12200455173789818</v>
      </c>
      <c r="K1877" s="5">
        <f t="shared" si="223"/>
        <v>1068.8075776633166</v>
      </c>
      <c r="L1877" s="5">
        <f t="shared" si="224"/>
        <v>0.12000455173789817</v>
      </c>
    </row>
    <row r="1878" spans="2:12">
      <c r="B1878">
        <v>18.265625</v>
      </c>
      <c r="C1878">
        <v>3.04721132852137</v>
      </c>
      <c r="D1878">
        <v>47.392667968749997</v>
      </c>
      <c r="E1878" s="5">
        <f t="shared" si="219"/>
        <v>47392.66796875</v>
      </c>
      <c r="F1878" s="5">
        <v>1.2765420833602501</v>
      </c>
      <c r="G1878">
        <f t="shared" si="220"/>
        <v>947.85335937499997</v>
      </c>
      <c r="H1878">
        <f t="shared" si="221"/>
        <v>0.127654208336025</v>
      </c>
      <c r="I1878">
        <f t="shared" si="222"/>
        <v>0.1221395531853291</v>
      </c>
      <c r="K1878" s="5">
        <f t="shared" si="223"/>
        <v>1068.8508295846575</v>
      </c>
      <c r="L1878" s="5">
        <f t="shared" si="224"/>
        <v>0.1201395531853291</v>
      </c>
    </row>
    <row r="1879" spans="2:12">
      <c r="B1879">
        <v>18.275390625</v>
      </c>
      <c r="C1879">
        <v>3.04869120009243</v>
      </c>
      <c r="D1879">
        <v>47.381851562500003</v>
      </c>
      <c r="E1879" s="5">
        <f t="shared" si="219"/>
        <v>47381.8515625</v>
      </c>
      <c r="F1879" s="5">
        <v>1.2780162505805499</v>
      </c>
      <c r="G1879">
        <f t="shared" si="220"/>
        <v>947.63703124999995</v>
      </c>
      <c r="H1879">
        <f t="shared" si="221"/>
        <v>0.12780162505805498</v>
      </c>
      <c r="I1879">
        <f t="shared" si="222"/>
        <v>0.12227027329969105</v>
      </c>
      <c r="K1879" s="5">
        <f t="shared" si="223"/>
        <v>1068.7465838089406</v>
      </c>
      <c r="L1879" s="5">
        <f t="shared" si="224"/>
        <v>0.12027027329969105</v>
      </c>
    </row>
    <row r="1880" spans="2:12">
      <c r="B1880">
        <v>18.28515625</v>
      </c>
      <c r="C1880">
        <v>3.05180088616908</v>
      </c>
      <c r="D1880">
        <v>47.387957031249996</v>
      </c>
      <c r="E1880" s="5">
        <f t="shared" si="219"/>
        <v>47387.95703125</v>
      </c>
      <c r="F1880" s="5">
        <v>1.2796466471627399</v>
      </c>
      <c r="G1880">
        <f t="shared" si="220"/>
        <v>947.75914062499999</v>
      </c>
      <c r="H1880">
        <f t="shared" si="221"/>
        <v>0.12796466471627399</v>
      </c>
      <c r="I1880">
        <f t="shared" si="222"/>
        <v>0.12241482697907002</v>
      </c>
      <c r="K1880" s="5">
        <f t="shared" si="223"/>
        <v>1069.038821286862</v>
      </c>
      <c r="L1880" s="5">
        <f t="shared" si="224"/>
        <v>0.12041482697907002</v>
      </c>
    </row>
    <row r="1881" spans="2:12">
      <c r="B1881">
        <v>18.294921875</v>
      </c>
      <c r="C1881">
        <v>3.05430288426578</v>
      </c>
      <c r="D1881">
        <v>47.374117187499998</v>
      </c>
      <c r="E1881" s="5">
        <f t="shared" si="219"/>
        <v>47374.1171875</v>
      </c>
      <c r="F1881" s="5">
        <v>1.2811268679797601</v>
      </c>
      <c r="G1881">
        <f t="shared" si="220"/>
        <v>947.48234375000004</v>
      </c>
      <c r="H1881">
        <f t="shared" si="221"/>
        <v>0.12811268679797599</v>
      </c>
      <c r="I1881">
        <f t="shared" si="222"/>
        <v>0.12254604772982586</v>
      </c>
      <c r="K1881" s="5">
        <f t="shared" si="223"/>
        <v>1068.8668525014562</v>
      </c>
      <c r="L1881" s="5">
        <f t="shared" si="224"/>
        <v>0.12054604772982586</v>
      </c>
    </row>
    <row r="1882" spans="2:12">
      <c r="B1882">
        <v>18.3046875</v>
      </c>
      <c r="C1882">
        <v>3.0528977513313298</v>
      </c>
      <c r="D1882">
        <v>47.348613281250003</v>
      </c>
      <c r="E1882" s="5">
        <f t="shared" si="219"/>
        <v>47348.61328125</v>
      </c>
      <c r="F1882" s="5">
        <v>1.2825331650674301</v>
      </c>
      <c r="G1882">
        <f t="shared" si="220"/>
        <v>946.97226562499998</v>
      </c>
      <c r="H1882">
        <f t="shared" si="221"/>
        <v>0.12825331650674301</v>
      </c>
      <c r="I1882">
        <f t="shared" si="222"/>
        <v>0.12267069923471741</v>
      </c>
      <c r="K1882" s="5">
        <f t="shared" si="223"/>
        <v>1068.4245993313107</v>
      </c>
      <c r="L1882" s="5">
        <f t="shared" si="224"/>
        <v>0.1206706992347174</v>
      </c>
    </row>
    <row r="1883" spans="2:12">
      <c r="B1883">
        <v>18.314453125</v>
      </c>
      <c r="C1883">
        <v>3.05517902597785</v>
      </c>
      <c r="D1883">
        <v>47.344839843750002</v>
      </c>
      <c r="E1883" s="5">
        <f t="shared" si="219"/>
        <v>47344.83984375</v>
      </c>
      <c r="F1883" s="5">
        <v>1.2840650742873501</v>
      </c>
      <c r="G1883">
        <f t="shared" si="220"/>
        <v>946.89679687499995</v>
      </c>
      <c r="H1883">
        <f t="shared" si="221"/>
        <v>0.128406507428735</v>
      </c>
      <c r="I1883">
        <f t="shared" si="222"/>
        <v>0.12280646708116244</v>
      </c>
      <c r="K1883" s="5">
        <f t="shared" si="223"/>
        <v>1068.4845074571751</v>
      </c>
      <c r="L1883" s="5">
        <f t="shared" si="224"/>
        <v>0.12080646708116244</v>
      </c>
    </row>
    <row r="1884" spans="2:12">
      <c r="B1884">
        <v>18.32421875</v>
      </c>
      <c r="C1884">
        <v>3.0573830008506802</v>
      </c>
      <c r="D1884">
        <v>47.337882812499998</v>
      </c>
      <c r="E1884" s="5">
        <f t="shared" si="219"/>
        <v>47337.8828125</v>
      </c>
      <c r="F1884" s="5">
        <v>1.28563737962395</v>
      </c>
      <c r="G1884">
        <f t="shared" si="220"/>
        <v>946.75765624999997</v>
      </c>
      <c r="H1884">
        <f t="shared" si="221"/>
        <v>0.12856373796239501</v>
      </c>
      <c r="I1884">
        <f t="shared" si="222"/>
        <v>0.12294579593074327</v>
      </c>
      <c r="K1884" s="5">
        <f t="shared" si="223"/>
        <v>1068.4763594820161</v>
      </c>
      <c r="L1884" s="5">
        <f t="shared" si="224"/>
        <v>0.12094579593074327</v>
      </c>
    </row>
    <row r="1885" spans="2:12">
      <c r="B1885">
        <v>18.333984375</v>
      </c>
      <c r="C1885">
        <v>3.0583739280700701</v>
      </c>
      <c r="D1885">
        <v>47.350921874999997</v>
      </c>
      <c r="E1885" s="5">
        <f t="shared" si="219"/>
        <v>47350.921875</v>
      </c>
      <c r="F1885" s="5">
        <v>1.2870761565864099</v>
      </c>
      <c r="G1885">
        <f t="shared" si="220"/>
        <v>947.0184375</v>
      </c>
      <c r="H1885">
        <f t="shared" si="221"/>
        <v>0.128707615658641</v>
      </c>
      <c r="I1885">
        <f t="shared" si="222"/>
        <v>0.12307327523996338</v>
      </c>
      <c r="K1885" s="5">
        <f t="shared" si="223"/>
        <v>1068.9069225753967</v>
      </c>
      <c r="L1885" s="5">
        <f t="shared" si="224"/>
        <v>0.12107327523996338</v>
      </c>
    </row>
    <row r="1886" spans="2:12">
      <c r="B1886">
        <v>18.34375</v>
      </c>
      <c r="C1886">
        <v>3.0598088633269098</v>
      </c>
      <c r="D1886">
        <v>47.34085546875</v>
      </c>
      <c r="E1886" s="5">
        <f t="shared" si="219"/>
        <v>47340.85546875</v>
      </c>
      <c r="F1886" s="5">
        <v>1.28863134887069</v>
      </c>
      <c r="G1886">
        <f t="shared" si="220"/>
        <v>946.81710937499997</v>
      </c>
      <c r="H1886">
        <f t="shared" si="221"/>
        <v>0.12886313488706899</v>
      </c>
      <c r="I1886">
        <f t="shared" si="222"/>
        <v>0.12321105096959342</v>
      </c>
      <c r="K1886" s="5">
        <f t="shared" si="223"/>
        <v>1068.8269302537753</v>
      </c>
      <c r="L1886" s="5">
        <f t="shared" si="224"/>
        <v>0.12121105096959342</v>
      </c>
    </row>
    <row r="1887" spans="2:12">
      <c r="B1887">
        <v>18.353515625</v>
      </c>
      <c r="C1887">
        <v>3.0624479986727202</v>
      </c>
      <c r="D1887">
        <v>47.338894531249998</v>
      </c>
      <c r="E1887" s="5">
        <f t="shared" si="219"/>
        <v>47338.89453125</v>
      </c>
      <c r="F1887" s="5">
        <v>1.2901731533929699</v>
      </c>
      <c r="G1887">
        <f t="shared" si="220"/>
        <v>946.77789062500005</v>
      </c>
      <c r="H1887">
        <f t="shared" si="221"/>
        <v>0.129017315339297</v>
      </c>
      <c r="I1887">
        <f t="shared" si="222"/>
        <v>0.12334762193149021</v>
      </c>
      <c r="K1887" s="5">
        <f t="shared" si="223"/>
        <v>1068.9286322960402</v>
      </c>
      <c r="L1887" s="5">
        <f t="shared" si="224"/>
        <v>0.12134762193149021</v>
      </c>
    </row>
    <row r="1888" spans="2:12">
      <c r="B1888">
        <v>18.36328125</v>
      </c>
      <c r="C1888">
        <v>3.06391576305032</v>
      </c>
      <c r="D1888">
        <v>47.344121093749997</v>
      </c>
      <c r="E1888" s="5">
        <f t="shared" si="219"/>
        <v>47344.12109375</v>
      </c>
      <c r="F1888" s="5">
        <v>1.2916799169033799</v>
      </c>
      <c r="G1888">
        <f t="shared" si="220"/>
        <v>946.88242187499998</v>
      </c>
      <c r="H1888">
        <f t="shared" si="221"/>
        <v>0.12916799169033799</v>
      </c>
      <c r="I1888">
        <f t="shared" si="222"/>
        <v>0.12348107098971906</v>
      </c>
      <c r="K1888" s="5">
        <f t="shared" si="223"/>
        <v>1069.1893226754771</v>
      </c>
      <c r="L1888" s="5">
        <f t="shared" si="224"/>
        <v>0.12148107098971905</v>
      </c>
    </row>
    <row r="1889" spans="2:12">
      <c r="B1889">
        <v>18.373046875</v>
      </c>
      <c r="C1889">
        <v>3.0661164782941301</v>
      </c>
      <c r="D1889">
        <v>47.335296874999997</v>
      </c>
      <c r="E1889" s="5">
        <f t="shared" si="219"/>
        <v>47335.296875</v>
      </c>
      <c r="F1889" s="5">
        <v>1.2933217221871001</v>
      </c>
      <c r="G1889">
        <f t="shared" si="220"/>
        <v>946.7059375</v>
      </c>
      <c r="H1889">
        <f t="shared" si="221"/>
        <v>0.12933217221871002</v>
      </c>
      <c r="I1889">
        <f t="shared" si="222"/>
        <v>0.12362645997953156</v>
      </c>
      <c r="K1889" s="5">
        <f t="shared" si="223"/>
        <v>1069.1454728492254</v>
      </c>
      <c r="L1889" s="5">
        <f t="shared" si="224"/>
        <v>0.12162645997953156</v>
      </c>
    </row>
    <row r="1890" spans="2:12">
      <c r="B1890">
        <v>18.3828125</v>
      </c>
      <c r="C1890">
        <v>3.0673220753669699</v>
      </c>
      <c r="D1890">
        <v>47.327542968750002</v>
      </c>
      <c r="E1890" s="5">
        <f t="shared" si="219"/>
        <v>47327.54296875</v>
      </c>
      <c r="F1890" s="5">
        <v>1.2948379153385801</v>
      </c>
      <c r="G1890">
        <f t="shared" si="220"/>
        <v>946.55085937499996</v>
      </c>
      <c r="H1890">
        <f t="shared" si="221"/>
        <v>0.129483791533858</v>
      </c>
      <c r="I1890">
        <f t="shared" si="222"/>
        <v>0.12376070669799719</v>
      </c>
      <c r="K1890" s="5">
        <f t="shared" si="223"/>
        <v>1069.1138535265065</v>
      </c>
      <c r="L1890" s="5">
        <f t="shared" si="224"/>
        <v>0.12176070669799718</v>
      </c>
    </row>
    <row r="1891" spans="2:12">
      <c r="B1891">
        <v>18.392578125</v>
      </c>
      <c r="C1891">
        <v>3.06945899501443</v>
      </c>
      <c r="D1891">
        <v>47.313472656249999</v>
      </c>
      <c r="E1891" s="5">
        <f t="shared" si="219"/>
        <v>47313.47265625</v>
      </c>
      <c r="F1891" s="5">
        <v>1.29631976597011</v>
      </c>
      <c r="G1891">
        <f t="shared" si="220"/>
        <v>946.26945312500004</v>
      </c>
      <c r="H1891">
        <f t="shared" si="221"/>
        <v>0.12963197659701101</v>
      </c>
      <c r="I1891">
        <f t="shared" si="222"/>
        <v>0.12389189525013429</v>
      </c>
      <c r="K1891" s="5">
        <f t="shared" si="223"/>
        <v>1068.9362327269666</v>
      </c>
      <c r="L1891" s="5">
        <f t="shared" si="224"/>
        <v>0.12189189525013429</v>
      </c>
    </row>
    <row r="1892" spans="2:12">
      <c r="B1892">
        <v>18.40234375</v>
      </c>
      <c r="C1892">
        <v>3.0704154632985601</v>
      </c>
      <c r="D1892">
        <v>47.292578124999999</v>
      </c>
      <c r="E1892" s="5">
        <f t="shared" si="219"/>
        <v>47292.578125</v>
      </c>
      <c r="F1892" s="5">
        <v>1.29776226822287</v>
      </c>
      <c r="G1892">
        <f t="shared" si="220"/>
        <v>945.8515625</v>
      </c>
      <c r="H1892">
        <f t="shared" si="221"/>
        <v>0.12977622682228701</v>
      </c>
      <c r="I1892">
        <f t="shared" si="222"/>
        <v>0.12401958375303843</v>
      </c>
      <c r="K1892" s="5">
        <f t="shared" si="223"/>
        <v>1068.6006094152146</v>
      </c>
      <c r="L1892" s="5">
        <f t="shared" si="224"/>
        <v>0.12201958375303842</v>
      </c>
    </row>
    <row r="1893" spans="2:12">
      <c r="B1893">
        <v>18.412109375</v>
      </c>
      <c r="C1893">
        <v>3.0713172163814302</v>
      </c>
      <c r="D1893">
        <v>47.315730468749997</v>
      </c>
      <c r="E1893" s="5">
        <f t="shared" si="219"/>
        <v>47315.73046875</v>
      </c>
      <c r="F1893" s="5">
        <v>1.29937473684549</v>
      </c>
      <c r="G1893">
        <f t="shared" si="220"/>
        <v>946.31460937500003</v>
      </c>
      <c r="H1893">
        <f t="shared" si="221"/>
        <v>0.129937473684549</v>
      </c>
      <c r="I1893">
        <f t="shared" si="222"/>
        <v>0.12416229817079794</v>
      </c>
      <c r="K1893" s="5">
        <f t="shared" si="223"/>
        <v>1069.2763390279683</v>
      </c>
      <c r="L1893" s="5">
        <f t="shared" si="224"/>
        <v>0.12216229817079793</v>
      </c>
    </row>
    <row r="1894" spans="2:12">
      <c r="B1894">
        <v>18.421875</v>
      </c>
      <c r="C1894">
        <v>3.0741810332983701</v>
      </c>
      <c r="D1894">
        <v>47.313109375000003</v>
      </c>
      <c r="E1894" s="5">
        <f t="shared" si="219"/>
        <v>47313.109375</v>
      </c>
      <c r="F1894" s="5">
        <v>1.3009284157306</v>
      </c>
      <c r="G1894">
        <f t="shared" si="220"/>
        <v>946.26218749999998</v>
      </c>
      <c r="H1894">
        <f t="shared" si="221"/>
        <v>0.13009284157306</v>
      </c>
      <c r="I1894">
        <f t="shared" si="222"/>
        <v>0.12429979003336895</v>
      </c>
      <c r="K1894" s="5">
        <f t="shared" si="223"/>
        <v>1069.3641243450147</v>
      </c>
      <c r="L1894" s="5">
        <f t="shared" si="224"/>
        <v>0.12229979003336895</v>
      </c>
    </row>
    <row r="1895" spans="2:12">
      <c r="B1895">
        <v>18.431640625</v>
      </c>
      <c r="C1895">
        <v>3.0756592750549299</v>
      </c>
      <c r="D1895">
        <v>47.296097656249998</v>
      </c>
      <c r="E1895" s="5">
        <f t="shared" si="219"/>
        <v>47296.09765625</v>
      </c>
      <c r="F1895" s="5">
        <v>1.3023986248299499</v>
      </c>
      <c r="G1895">
        <f t="shared" si="220"/>
        <v>945.92195312499996</v>
      </c>
      <c r="H1895">
        <f t="shared" si="221"/>
        <v>0.13023986248299499</v>
      </c>
      <c r="I1895">
        <f t="shared" si="222"/>
        <v>0.12442987788271832</v>
      </c>
      <c r="K1895" s="5">
        <f t="shared" si="223"/>
        <v>1069.1186982196459</v>
      </c>
      <c r="L1895" s="5">
        <f t="shared" si="224"/>
        <v>0.12242987788271832</v>
      </c>
    </row>
    <row r="1896" spans="2:12">
      <c r="B1896">
        <v>18.44140625</v>
      </c>
      <c r="C1896">
        <v>3.07781249284744</v>
      </c>
      <c r="D1896">
        <v>47.300687500000002</v>
      </c>
      <c r="E1896" s="5">
        <f t="shared" si="219"/>
        <v>47300.6875</v>
      </c>
      <c r="F1896" s="5">
        <v>1.30399072077125</v>
      </c>
      <c r="G1896">
        <f t="shared" si="220"/>
        <v>946.01374999999996</v>
      </c>
      <c r="H1896">
        <f t="shared" si="221"/>
        <v>0.13039907207712501</v>
      </c>
      <c r="I1896">
        <f t="shared" si="222"/>
        <v>0.12457073150773498</v>
      </c>
      <c r="K1896" s="5">
        <f t="shared" si="223"/>
        <v>1069.3730651722014</v>
      </c>
      <c r="L1896" s="5">
        <f t="shared" si="224"/>
        <v>0.12257073150773498</v>
      </c>
    </row>
    <row r="1897" spans="2:12">
      <c r="B1897">
        <v>18.451171875</v>
      </c>
      <c r="C1897">
        <v>3.0786527786403899</v>
      </c>
      <c r="D1897">
        <v>47.266277343749998</v>
      </c>
      <c r="E1897" s="5">
        <f t="shared" si="219"/>
        <v>47266.27734375</v>
      </c>
      <c r="F1897" s="5">
        <v>1.3055958552286</v>
      </c>
      <c r="G1897">
        <f t="shared" si="220"/>
        <v>945.32554687499999</v>
      </c>
      <c r="H1897">
        <f t="shared" si="221"/>
        <v>0.13055958552286001</v>
      </c>
      <c r="I1897">
        <f t="shared" si="222"/>
        <v>0.12471271857633094</v>
      </c>
      <c r="K1897" s="5">
        <f t="shared" si="223"/>
        <v>1068.7468584591711</v>
      </c>
      <c r="L1897" s="5">
        <f t="shared" si="224"/>
        <v>0.12271271857633094</v>
      </c>
    </row>
    <row r="1898" spans="2:12">
      <c r="B1898">
        <v>18.4609375</v>
      </c>
      <c r="C1898">
        <v>3.0806362628936799</v>
      </c>
      <c r="D1898">
        <v>47.258156249999999</v>
      </c>
      <c r="E1898" s="5">
        <f t="shared" si="219"/>
        <v>47258.15625</v>
      </c>
      <c r="F1898" s="5">
        <v>1.3070945860818</v>
      </c>
      <c r="G1898">
        <f t="shared" si="220"/>
        <v>945.16312500000004</v>
      </c>
      <c r="H1898">
        <f t="shared" si="221"/>
        <v>0.13070945860818001</v>
      </c>
      <c r="I1898">
        <f t="shared" si="222"/>
        <v>0.12484527519176637</v>
      </c>
      <c r="K1898" s="5">
        <f t="shared" si="223"/>
        <v>1068.7048853651656</v>
      </c>
      <c r="L1898" s="5">
        <f t="shared" si="224"/>
        <v>0.12284527519176637</v>
      </c>
    </row>
    <row r="1899" spans="2:12">
      <c r="B1899">
        <v>18.470703125</v>
      </c>
      <c r="C1899">
        <v>3.0819282401353099</v>
      </c>
      <c r="D1899">
        <v>47.260874999999999</v>
      </c>
      <c r="E1899" s="5">
        <f t="shared" si="219"/>
        <v>47260.875</v>
      </c>
      <c r="F1899" s="5">
        <v>1.3085836544632901</v>
      </c>
      <c r="G1899">
        <f t="shared" si="220"/>
        <v>945.21749999999997</v>
      </c>
      <c r="H1899">
        <f t="shared" si="221"/>
        <v>0.13085836544632901</v>
      </c>
      <c r="I1899">
        <f t="shared" si="222"/>
        <v>0.12497695980169089</v>
      </c>
      <c r="K1899" s="5">
        <f t="shared" si="223"/>
        <v>1068.9071170412656</v>
      </c>
      <c r="L1899" s="5">
        <f t="shared" si="224"/>
        <v>0.12297695980169089</v>
      </c>
    </row>
    <row r="1900" spans="2:12">
      <c r="B1900">
        <v>18.48046875</v>
      </c>
      <c r="C1900">
        <v>3.0841573607176498</v>
      </c>
      <c r="D1900">
        <v>47.273792968750001</v>
      </c>
      <c r="E1900" s="5">
        <f t="shared" si="219"/>
        <v>47273.79296875</v>
      </c>
      <c r="F1900" s="5">
        <v>1.3102161465212701</v>
      </c>
      <c r="G1900">
        <f t="shared" si="220"/>
        <v>945.47585937500003</v>
      </c>
      <c r="H1900">
        <f t="shared" si="221"/>
        <v>0.131021614652127</v>
      </c>
      <c r="I1900">
        <f t="shared" si="222"/>
        <v>0.12512130804962424</v>
      </c>
      <c r="K1900" s="5">
        <f t="shared" si="223"/>
        <v>1069.3536330849199</v>
      </c>
      <c r="L1900" s="5">
        <f t="shared" si="224"/>
        <v>0.12312130804962425</v>
      </c>
    </row>
    <row r="1901" spans="2:12">
      <c r="B1901">
        <v>18.490234375</v>
      </c>
      <c r="C1901">
        <v>3.0859410762786901</v>
      </c>
      <c r="D1901">
        <v>47.277808593750002</v>
      </c>
      <c r="E1901" s="5">
        <f t="shared" si="219"/>
        <v>47277.80859375</v>
      </c>
      <c r="F1901" s="5">
        <v>1.31177809089422</v>
      </c>
      <c r="G1901">
        <f t="shared" si="220"/>
        <v>945.55617187500002</v>
      </c>
      <c r="H1901">
        <f t="shared" si="221"/>
        <v>0.131177809089422</v>
      </c>
      <c r="I1901">
        <f t="shared" si="222"/>
        <v>0.12525939882615256</v>
      </c>
      <c r="K1901" s="5">
        <f t="shared" si="223"/>
        <v>1069.5921588725435</v>
      </c>
      <c r="L1901" s="5">
        <f t="shared" si="224"/>
        <v>0.12325939882615256</v>
      </c>
    </row>
    <row r="1902" spans="2:12">
      <c r="B1902">
        <v>18.5</v>
      </c>
      <c r="C1902">
        <v>3.0863881111145002</v>
      </c>
      <c r="D1902">
        <v>47.248839843749998</v>
      </c>
      <c r="E1902" s="5">
        <f t="shared" si="219"/>
        <v>47248.83984375</v>
      </c>
      <c r="F1902" s="5">
        <v>1.31330569274724</v>
      </c>
      <c r="G1902">
        <f t="shared" si="220"/>
        <v>944.97679687499999</v>
      </c>
      <c r="H1902">
        <f t="shared" si="221"/>
        <v>0.131330569274724</v>
      </c>
      <c r="I1902">
        <f t="shared" si="222"/>
        <v>0.1253944349541907</v>
      </c>
      <c r="K1902" s="5">
        <f t="shared" si="223"/>
        <v>1069.081137559999</v>
      </c>
      <c r="L1902" s="5">
        <f t="shared" si="224"/>
        <v>0.12339443495419071</v>
      </c>
    </row>
    <row r="1903" spans="2:12">
      <c r="B1903">
        <v>18.509765625</v>
      </c>
      <c r="C1903">
        <v>3.0896572861820499</v>
      </c>
      <c r="D1903">
        <v>47.253179687500001</v>
      </c>
      <c r="E1903" s="5">
        <f t="shared" si="219"/>
        <v>47253.1796875</v>
      </c>
      <c r="F1903" s="5">
        <v>1.3150206068530701</v>
      </c>
      <c r="G1903">
        <f t="shared" si="220"/>
        <v>945.06359375</v>
      </c>
      <c r="H1903">
        <f t="shared" si="221"/>
        <v>0.13150206068530701</v>
      </c>
      <c r="I1903">
        <f t="shared" si="222"/>
        <v>0.12554600728759338</v>
      </c>
      <c r="K1903" s="5">
        <f t="shared" si="223"/>
        <v>1069.3414038067867</v>
      </c>
      <c r="L1903" s="5">
        <f t="shared" si="224"/>
        <v>0.12354600728759338</v>
      </c>
    </row>
    <row r="1904" spans="2:12">
      <c r="B1904">
        <v>18.51953125</v>
      </c>
      <c r="C1904">
        <v>3.0900775454938398</v>
      </c>
      <c r="D1904">
        <v>47.249515625000001</v>
      </c>
      <c r="E1904" s="5">
        <f t="shared" si="219"/>
        <v>47249.515625</v>
      </c>
      <c r="F1904" s="5">
        <v>1.31653912831098</v>
      </c>
      <c r="G1904">
        <f t="shared" si="220"/>
        <v>944.99031249999996</v>
      </c>
      <c r="H1904">
        <f t="shared" si="221"/>
        <v>0.13165391283109801</v>
      </c>
      <c r="I1904">
        <f t="shared" si="222"/>
        <v>0.12568020232125071</v>
      </c>
      <c r="K1904" s="5">
        <f t="shared" si="223"/>
        <v>1069.401984728107</v>
      </c>
      <c r="L1904" s="5">
        <f t="shared" si="224"/>
        <v>0.12368020232125072</v>
      </c>
    </row>
    <row r="1905" spans="2:12">
      <c r="B1905">
        <v>18.529296875</v>
      </c>
      <c r="C1905">
        <v>3.09354509226978</v>
      </c>
      <c r="D1905">
        <v>47.247640625000003</v>
      </c>
      <c r="E1905" s="5">
        <f t="shared" si="219"/>
        <v>47247.640625</v>
      </c>
      <c r="F1905" s="5">
        <v>1.3181284302845599</v>
      </c>
      <c r="G1905">
        <f t="shared" si="220"/>
        <v>944.95281250000005</v>
      </c>
      <c r="H1905">
        <f t="shared" si="221"/>
        <v>0.131812843028456</v>
      </c>
      <c r="I1905">
        <f t="shared" si="222"/>
        <v>0.12582063309825034</v>
      </c>
      <c r="K1905" s="5">
        <f t="shared" si="223"/>
        <v>1069.5097292433607</v>
      </c>
      <c r="L1905" s="5">
        <f t="shared" si="224"/>
        <v>0.12382063309825035</v>
      </c>
    </row>
    <row r="1906" spans="2:12">
      <c r="B1906">
        <v>18.5390625</v>
      </c>
      <c r="C1906">
        <v>3.0919716227799698</v>
      </c>
      <c r="D1906">
        <v>47.230324218749999</v>
      </c>
      <c r="E1906" s="5">
        <f t="shared" si="219"/>
        <v>47230.32421875</v>
      </c>
      <c r="F1906" s="5">
        <v>1.3196645304560699</v>
      </c>
      <c r="G1906">
        <f t="shared" si="220"/>
        <v>944.60648437500004</v>
      </c>
      <c r="H1906">
        <f t="shared" si="221"/>
        <v>0.131966453045607</v>
      </c>
      <c r="I1906">
        <f t="shared" si="222"/>
        <v>0.1259563442231407</v>
      </c>
      <c r="K1906" s="5">
        <f t="shared" si="223"/>
        <v>1069.2628516418495</v>
      </c>
      <c r="L1906" s="5">
        <f t="shared" si="224"/>
        <v>0.12395634422314071</v>
      </c>
    </row>
    <row r="1907" spans="2:12">
      <c r="B1907">
        <v>18.548828125</v>
      </c>
      <c r="C1907">
        <v>3.0981288291513902</v>
      </c>
      <c r="D1907">
        <v>47.238914062500001</v>
      </c>
      <c r="E1907" s="5">
        <f t="shared" si="219"/>
        <v>47238.9140625</v>
      </c>
      <c r="F1907" s="5">
        <v>1.3213112251833099</v>
      </c>
      <c r="G1907">
        <f t="shared" si="220"/>
        <v>944.77828124999996</v>
      </c>
      <c r="H1907">
        <f t="shared" si="221"/>
        <v>0.13213112251833098</v>
      </c>
      <c r="I1907">
        <f t="shared" si="222"/>
        <v>0.12610180568627866</v>
      </c>
      <c r="K1907" s="5">
        <f t="shared" si="223"/>
        <v>1069.6128960825019</v>
      </c>
      <c r="L1907" s="5">
        <f t="shared" si="224"/>
        <v>0.12410180568627867</v>
      </c>
    </row>
    <row r="1908" spans="2:12">
      <c r="B1908">
        <v>18.55859375</v>
      </c>
      <c r="C1908">
        <v>3.09749250300229</v>
      </c>
      <c r="D1908">
        <v>47.210847656250003</v>
      </c>
      <c r="E1908" s="5">
        <f t="shared" si="219"/>
        <v>47210.84765625</v>
      </c>
      <c r="F1908" s="5">
        <v>1.32281600963324</v>
      </c>
      <c r="G1908">
        <f t="shared" si="220"/>
        <v>944.21695312500003</v>
      </c>
      <c r="H1908">
        <f t="shared" si="221"/>
        <v>0.132281600963324</v>
      </c>
      <c r="I1908">
        <f t="shared" si="222"/>
        <v>0.12623471294620892</v>
      </c>
      <c r="K1908" s="5">
        <f t="shared" si="223"/>
        <v>1069.1194833410871</v>
      </c>
      <c r="L1908" s="5">
        <f t="shared" si="224"/>
        <v>0.12423471294620891</v>
      </c>
    </row>
    <row r="1909" spans="2:12">
      <c r="B1909">
        <v>18.568359375</v>
      </c>
      <c r="C1909">
        <v>3.1003833282738902</v>
      </c>
      <c r="D1909">
        <v>47.197351562500003</v>
      </c>
      <c r="E1909" s="5">
        <f t="shared" si="219"/>
        <v>47197.3515625</v>
      </c>
      <c r="F1909" s="5">
        <v>1.32434535771608</v>
      </c>
      <c r="G1909">
        <f t="shared" si="220"/>
        <v>943.94703125000001</v>
      </c>
      <c r="H1909">
        <f t="shared" si="221"/>
        <v>0.13243453577160799</v>
      </c>
      <c r="I1909">
        <f t="shared" si="222"/>
        <v>0.12636977164609239</v>
      </c>
      <c r="K1909" s="5">
        <f t="shared" si="223"/>
        <v>1068.9582181265812</v>
      </c>
      <c r="L1909" s="5">
        <f t="shared" si="224"/>
        <v>0.12436977164609241</v>
      </c>
    </row>
    <row r="1910" spans="2:12">
      <c r="B1910">
        <v>18.578125</v>
      </c>
      <c r="C1910">
        <v>3.0997723806649402</v>
      </c>
      <c r="D1910">
        <v>47.183359375000002</v>
      </c>
      <c r="E1910" s="5">
        <f t="shared" si="219"/>
        <v>47183.359375</v>
      </c>
      <c r="F1910" s="5">
        <v>1.3258975232020001</v>
      </c>
      <c r="G1910">
        <f t="shared" si="220"/>
        <v>943.66718749999995</v>
      </c>
      <c r="H1910">
        <f t="shared" si="221"/>
        <v>0.13258975232020001</v>
      </c>
      <c r="I1910">
        <f t="shared" si="222"/>
        <v>0.1265068267316834</v>
      </c>
      <c r="K1910" s="5">
        <f t="shared" si="223"/>
        <v>1068.7877861633247</v>
      </c>
      <c r="L1910" s="5">
        <f t="shared" si="224"/>
        <v>0.1245068267316834</v>
      </c>
    </row>
    <row r="1911" spans="2:12">
      <c r="B1911">
        <v>18.587890625</v>
      </c>
      <c r="C1911">
        <v>3.1021251343190701</v>
      </c>
      <c r="D1911">
        <v>47.178812499999999</v>
      </c>
      <c r="E1911" s="5">
        <f t="shared" si="219"/>
        <v>47178.8125</v>
      </c>
      <c r="F1911" s="5">
        <v>1.32745737209916</v>
      </c>
      <c r="G1911">
        <f t="shared" si="220"/>
        <v>943.57624999999996</v>
      </c>
      <c r="H1911">
        <f t="shared" si="221"/>
        <v>0.132745737209916</v>
      </c>
      <c r="I1911">
        <f t="shared" si="222"/>
        <v>0.12664454133570879</v>
      </c>
      <c r="K1911" s="5">
        <f t="shared" si="223"/>
        <v>1068.831974920018</v>
      </c>
      <c r="L1911" s="5">
        <f t="shared" si="224"/>
        <v>0.12464454133570879</v>
      </c>
    </row>
    <row r="1912" spans="2:12">
      <c r="B1912">
        <v>18.59765625</v>
      </c>
      <c r="C1912">
        <v>3.1023635528981699</v>
      </c>
      <c r="D1912">
        <v>47.17222265625</v>
      </c>
      <c r="E1912" s="5">
        <f t="shared" si="219"/>
        <v>47172.22265625</v>
      </c>
      <c r="F1912" s="5">
        <v>1.3289032503962499</v>
      </c>
      <c r="G1912">
        <f t="shared" si="220"/>
        <v>943.444453125</v>
      </c>
      <c r="H1912">
        <f t="shared" si="221"/>
        <v>0.132890325039625</v>
      </c>
      <c r="I1912">
        <f t="shared" si="222"/>
        <v>0.12677217686580497</v>
      </c>
      <c r="K1912" s="5">
        <f t="shared" si="223"/>
        <v>1068.8190931576125</v>
      </c>
      <c r="L1912" s="5">
        <f t="shared" si="224"/>
        <v>0.12477217686580497</v>
      </c>
    </row>
    <row r="1913" spans="2:12">
      <c r="B1913">
        <v>18.607421875</v>
      </c>
      <c r="C1913">
        <v>3.10463621281087</v>
      </c>
      <c r="D1913">
        <v>47.171750000000003</v>
      </c>
      <c r="E1913" s="5">
        <f t="shared" si="219"/>
        <v>47171.75</v>
      </c>
      <c r="F1913" s="5">
        <v>1.3304905733093599</v>
      </c>
      <c r="G1913">
        <f t="shared" si="220"/>
        <v>943.43499999999995</v>
      </c>
      <c r="H1913">
        <f t="shared" si="221"/>
        <v>0.133049057330936</v>
      </c>
      <c r="I1913">
        <f t="shared" si="222"/>
        <v>0.1269122797236357</v>
      </c>
      <c r="K1913" s="5">
        <f t="shared" si="223"/>
        <v>1068.9581374030115</v>
      </c>
      <c r="L1913" s="5">
        <f t="shared" si="224"/>
        <v>0.12491227972363571</v>
      </c>
    </row>
    <row r="1914" spans="2:12">
      <c r="B1914">
        <v>18.6171875</v>
      </c>
      <c r="C1914">
        <v>3.10578499920666</v>
      </c>
      <c r="D1914">
        <v>47.159281249999999</v>
      </c>
      <c r="E1914" s="5">
        <f t="shared" si="219"/>
        <v>47159.28125</v>
      </c>
      <c r="F1914" s="5">
        <v>1.3321329606697001</v>
      </c>
      <c r="G1914">
        <f t="shared" si="220"/>
        <v>943.18562499999996</v>
      </c>
      <c r="H1914">
        <f t="shared" si="221"/>
        <v>0.13321329606697002</v>
      </c>
      <c r="I1914">
        <f t="shared" si="222"/>
        <v>0.12705722210956502</v>
      </c>
      <c r="K1914" s="5">
        <f t="shared" si="223"/>
        <v>1068.8304909092351</v>
      </c>
      <c r="L1914" s="5">
        <f t="shared" si="224"/>
        <v>0.12505722210956502</v>
      </c>
    </row>
    <row r="1915" spans="2:12">
      <c r="B1915">
        <v>18.626953125</v>
      </c>
      <c r="C1915">
        <v>3.1073496211320202</v>
      </c>
      <c r="D1915">
        <v>47.143792968749999</v>
      </c>
      <c r="E1915" s="5">
        <f t="shared" si="219"/>
        <v>47143.79296875</v>
      </c>
      <c r="F1915" s="5">
        <v>1.3336434494703999</v>
      </c>
      <c r="G1915">
        <f t="shared" si="220"/>
        <v>942.875859375</v>
      </c>
      <c r="H1915">
        <f t="shared" si="221"/>
        <v>0.13336434494704</v>
      </c>
      <c r="I1915">
        <f t="shared" si="222"/>
        <v>0.12719050576820559</v>
      </c>
      <c r="K1915" s="5">
        <f t="shared" si="223"/>
        <v>1068.6218807269245</v>
      </c>
      <c r="L1915" s="5">
        <f t="shared" si="224"/>
        <v>0.12519050576820559</v>
      </c>
    </row>
    <row r="1916" spans="2:12">
      <c r="B1916">
        <v>18.63671875</v>
      </c>
      <c r="C1916">
        <v>3.1088248360902102</v>
      </c>
      <c r="D1916">
        <v>47.113882812500002</v>
      </c>
      <c r="E1916" s="5">
        <f t="shared" si="219"/>
        <v>47113.8828125</v>
      </c>
      <c r="F1916" s="5">
        <v>1.33508141152561</v>
      </c>
      <c r="G1916">
        <f t="shared" si="220"/>
        <v>942.27765624999995</v>
      </c>
      <c r="H1916">
        <f t="shared" si="221"/>
        <v>0.13350814115256099</v>
      </c>
      <c r="I1916">
        <f t="shared" si="222"/>
        <v>0.12731737325333806</v>
      </c>
      <c r="K1916" s="5">
        <f t="shared" si="223"/>
        <v>1068.0793945855291</v>
      </c>
      <c r="L1916" s="5">
        <f t="shared" si="224"/>
        <v>0.12531737325333805</v>
      </c>
    </row>
    <row r="1917" spans="2:12">
      <c r="B1917">
        <v>18.646484375</v>
      </c>
      <c r="C1917">
        <v>3.1092062126845099</v>
      </c>
      <c r="D1917">
        <v>47.129023437500003</v>
      </c>
      <c r="E1917" s="5">
        <f t="shared" si="219"/>
        <v>47129.0234375</v>
      </c>
      <c r="F1917" s="5">
        <v>1.3365694321692001</v>
      </c>
      <c r="G1917">
        <f t="shared" si="220"/>
        <v>942.58046875000002</v>
      </c>
      <c r="H1917">
        <f t="shared" si="221"/>
        <v>0.13365694321692001</v>
      </c>
      <c r="I1917">
        <f t="shared" si="222"/>
        <v>0.12744864032832834</v>
      </c>
      <c r="K1917" s="5">
        <f t="shared" si="223"/>
        <v>1068.5628929390966</v>
      </c>
      <c r="L1917" s="5">
        <f t="shared" si="224"/>
        <v>0.12544864032832834</v>
      </c>
    </row>
    <row r="1918" spans="2:12">
      <c r="B1918">
        <v>18.65625</v>
      </c>
      <c r="C1918">
        <v>3.1121373176574698</v>
      </c>
      <c r="D1918">
        <v>47.11478125</v>
      </c>
      <c r="E1918" s="5">
        <f t="shared" si="219"/>
        <v>47114.78125</v>
      </c>
      <c r="F1918" s="5">
        <v>1.3380915625020899</v>
      </c>
      <c r="G1918">
        <f t="shared" si="220"/>
        <v>942.29562499999997</v>
      </c>
      <c r="H1918">
        <f t="shared" si="221"/>
        <v>0.133809156250209</v>
      </c>
      <c r="I1918">
        <f t="shared" si="222"/>
        <v>0.12758289859446387</v>
      </c>
      <c r="K1918" s="5">
        <f t="shared" si="223"/>
        <v>1068.3834075195134</v>
      </c>
      <c r="L1918" s="5">
        <f t="shared" si="224"/>
        <v>0.12558289859446387</v>
      </c>
    </row>
    <row r="1919" spans="2:12">
      <c r="B1919">
        <v>18.666015625</v>
      </c>
      <c r="C1919">
        <v>3.1139359343797</v>
      </c>
      <c r="D1919">
        <v>47.128316406250001</v>
      </c>
      <c r="E1919" s="5">
        <f t="shared" si="219"/>
        <v>47128.31640625</v>
      </c>
      <c r="F1919" s="5">
        <v>1.3397264992818201</v>
      </c>
      <c r="G1919">
        <f t="shared" si="220"/>
        <v>942.56632812500004</v>
      </c>
      <c r="H1919">
        <f t="shared" si="221"/>
        <v>0.133972649928182</v>
      </c>
      <c r="I1919">
        <f t="shared" si="222"/>
        <v>0.12772708678559469</v>
      </c>
      <c r="K1919" s="5">
        <f t="shared" si="223"/>
        <v>1068.8444368369826</v>
      </c>
      <c r="L1919" s="5">
        <f t="shared" si="224"/>
        <v>0.12572708678559469</v>
      </c>
    </row>
    <row r="1920" spans="2:12">
      <c r="B1920">
        <v>18.67578125</v>
      </c>
      <c r="C1920">
        <v>3.1150726135820199</v>
      </c>
      <c r="D1920">
        <v>47.128472656249997</v>
      </c>
      <c r="E1920" s="5">
        <f t="shared" si="219"/>
        <v>47128.47265625</v>
      </c>
      <c r="F1920" s="5">
        <v>1.3412123080342999</v>
      </c>
      <c r="G1920">
        <f t="shared" si="220"/>
        <v>942.569453125</v>
      </c>
      <c r="H1920">
        <f t="shared" si="221"/>
        <v>0.13412123080343</v>
      </c>
      <c r="I1920">
        <f t="shared" si="222"/>
        <v>0.12785810506197465</v>
      </c>
      <c r="K1920" s="5">
        <f t="shared" si="223"/>
        <v>1068.9880282958409</v>
      </c>
      <c r="L1920" s="5">
        <f t="shared" si="224"/>
        <v>0.12585810506197465</v>
      </c>
    </row>
    <row r="1921" spans="2:12">
      <c r="B1921">
        <v>18.685546875</v>
      </c>
      <c r="C1921">
        <v>3.1164051033556501</v>
      </c>
      <c r="D1921">
        <v>47.106160156249999</v>
      </c>
      <c r="E1921" s="5">
        <f t="shared" si="219"/>
        <v>47106.16015625</v>
      </c>
      <c r="F1921" s="5">
        <v>1.34278403129429</v>
      </c>
      <c r="G1921">
        <f t="shared" si="220"/>
        <v>942.12320312500003</v>
      </c>
      <c r="H1921">
        <f t="shared" si="221"/>
        <v>0.13427840312942901</v>
      </c>
      <c r="I1921">
        <f t="shared" si="222"/>
        <v>0.12799668057918015</v>
      </c>
      <c r="K1921" s="5">
        <f t="shared" si="223"/>
        <v>1068.6300023918077</v>
      </c>
      <c r="L1921" s="5">
        <f t="shared" si="224"/>
        <v>0.12599668057918015</v>
      </c>
    </row>
    <row r="1922" spans="2:12">
      <c r="B1922">
        <v>18.6953125</v>
      </c>
      <c r="C1922">
        <v>3.1182528473436801</v>
      </c>
      <c r="D1922">
        <v>47.093011718749999</v>
      </c>
      <c r="E1922" s="5">
        <f t="shared" si="219"/>
        <v>47093.01171875</v>
      </c>
      <c r="F1922" s="5">
        <v>1.34429172612727</v>
      </c>
      <c r="G1922">
        <f t="shared" si="220"/>
        <v>941.860234375</v>
      </c>
      <c r="H1922">
        <f t="shared" si="221"/>
        <v>0.13442917261272699</v>
      </c>
      <c r="I1922">
        <f t="shared" si="222"/>
        <v>0.12812959280209674</v>
      </c>
      <c r="K1922" s="5">
        <f t="shared" si="223"/>
        <v>1068.4737263988602</v>
      </c>
      <c r="L1922" s="5">
        <f t="shared" si="224"/>
        <v>0.12612959280209673</v>
      </c>
    </row>
    <row r="1923" spans="2:12">
      <c r="B1923">
        <v>18.705078125</v>
      </c>
      <c r="C1923">
        <v>3.1205608975142201</v>
      </c>
      <c r="D1923">
        <v>47.115957031249998</v>
      </c>
      <c r="E1923" s="5">
        <f t="shared" si="219"/>
        <v>47115.95703125</v>
      </c>
      <c r="F1923" s="5">
        <v>1.3458571629598699</v>
      </c>
      <c r="G1923">
        <f t="shared" si="220"/>
        <v>942.31914062500005</v>
      </c>
      <c r="H1923">
        <f t="shared" si="221"/>
        <v>0.13458571629598698</v>
      </c>
      <c r="I1923">
        <f t="shared" si="222"/>
        <v>0.12826757663311839</v>
      </c>
      <c r="K1923" s="5">
        <f t="shared" si="223"/>
        <v>1069.1418371454345</v>
      </c>
      <c r="L1923" s="5">
        <f t="shared" si="224"/>
        <v>0.12626757663311838</v>
      </c>
    </row>
    <row r="1924" spans="2:12">
      <c r="B1924">
        <v>18.71484375</v>
      </c>
      <c r="C1924">
        <v>3.1230659224093</v>
      </c>
      <c r="D1924">
        <v>47.108558593749997</v>
      </c>
      <c r="E1924" s="5">
        <f t="shared" si="219"/>
        <v>47108.55859375</v>
      </c>
      <c r="F1924" s="5">
        <v>1.3474434381350899</v>
      </c>
      <c r="G1924">
        <f t="shared" si="220"/>
        <v>942.17117187500003</v>
      </c>
      <c r="H1924">
        <f t="shared" si="221"/>
        <v>0.134744343813509</v>
      </c>
      <c r="I1924">
        <f t="shared" si="222"/>
        <v>0.12840737781988162</v>
      </c>
      <c r="K1924" s="5">
        <f t="shared" si="223"/>
        <v>1069.1234081893017</v>
      </c>
      <c r="L1924" s="5">
        <f t="shared" si="224"/>
        <v>0.12640737781988162</v>
      </c>
    </row>
    <row r="1925" spans="2:12">
      <c r="B1925">
        <v>18.724609375</v>
      </c>
      <c r="C1925">
        <v>3.1226084101945202</v>
      </c>
      <c r="D1925">
        <v>47.110097656249998</v>
      </c>
      <c r="E1925" s="5">
        <f t="shared" si="219"/>
        <v>47110.09765625</v>
      </c>
      <c r="F1925" s="5">
        <v>1.34908128529787</v>
      </c>
      <c r="G1925">
        <f t="shared" si="220"/>
        <v>942.20195312500005</v>
      </c>
      <c r="H1925">
        <f t="shared" si="221"/>
        <v>0.13490812852978701</v>
      </c>
      <c r="I1925">
        <f t="shared" si="222"/>
        <v>0.12855170363060217</v>
      </c>
      <c r="K1925" s="5">
        <f t="shared" si="223"/>
        <v>1069.312655318204</v>
      </c>
      <c r="L1925" s="5">
        <f t="shared" si="224"/>
        <v>0.12655170363060217</v>
      </c>
    </row>
    <row r="1926" spans="2:12">
      <c r="B1926">
        <v>18.734375</v>
      </c>
      <c r="C1926">
        <v>3.1260191462933999</v>
      </c>
      <c r="D1926">
        <v>47.117238281250003</v>
      </c>
      <c r="E1926" s="5">
        <f t="shared" si="219"/>
        <v>47117.23828125</v>
      </c>
      <c r="F1926" s="5">
        <v>1.3507035328075301</v>
      </c>
      <c r="G1926">
        <f t="shared" si="220"/>
        <v>942.34476562500004</v>
      </c>
      <c r="H1926">
        <f t="shared" si="221"/>
        <v>0.13507035328075301</v>
      </c>
      <c r="I1926">
        <f t="shared" si="222"/>
        <v>0.12869463428174438</v>
      </c>
      <c r="K1926" s="5">
        <f t="shared" si="223"/>
        <v>1069.6276060302371</v>
      </c>
      <c r="L1926" s="5">
        <f t="shared" si="224"/>
        <v>0.12669463428174438</v>
      </c>
    </row>
    <row r="1927" spans="2:12">
      <c r="B1927">
        <v>18.744140625</v>
      </c>
      <c r="C1927">
        <v>3.1277702655643198</v>
      </c>
      <c r="D1927">
        <v>47.115437499999999</v>
      </c>
      <c r="E1927" s="5">
        <f t="shared" si="219"/>
        <v>47115.4375</v>
      </c>
      <c r="F1927" s="5">
        <v>1.3523055240511901</v>
      </c>
      <c r="G1927">
        <f t="shared" si="220"/>
        <v>942.30875000000003</v>
      </c>
      <c r="H1927">
        <f t="shared" si="221"/>
        <v>0.135230552405119</v>
      </c>
      <c r="I1927">
        <f t="shared" si="222"/>
        <v>0.12883576017763837</v>
      </c>
      <c r="K1927" s="5">
        <f t="shared" si="223"/>
        <v>1069.7376827986773</v>
      </c>
      <c r="L1927" s="5">
        <f t="shared" si="224"/>
        <v>0.12683576017763837</v>
      </c>
    </row>
    <row r="1928" spans="2:12">
      <c r="B1928">
        <v>18.75390625</v>
      </c>
      <c r="C1928">
        <v>3.12939891591668</v>
      </c>
      <c r="D1928">
        <v>47.106308593750001</v>
      </c>
      <c r="E1928" s="5">
        <f t="shared" si="219"/>
        <v>47106.30859375</v>
      </c>
      <c r="F1928" s="5">
        <v>1.3538755010813499</v>
      </c>
      <c r="G1928">
        <f t="shared" si="220"/>
        <v>942.12617187499995</v>
      </c>
      <c r="H1928">
        <f t="shared" si="221"/>
        <v>0.135387550108135</v>
      </c>
      <c r="I1928">
        <f t="shared" si="222"/>
        <v>0.12897404649103686</v>
      </c>
      <c r="K1928" s="5">
        <f t="shared" si="223"/>
        <v>1069.6783261779119</v>
      </c>
      <c r="L1928" s="5">
        <f t="shared" si="224"/>
        <v>0.12697404649103686</v>
      </c>
    </row>
    <row r="1929" spans="2:12">
      <c r="B1929">
        <v>18.763671875</v>
      </c>
      <c r="C1929">
        <v>3.1302645802497899</v>
      </c>
      <c r="D1929">
        <v>47.085335937499998</v>
      </c>
      <c r="E1929" s="5">
        <f t="shared" ref="E1929:E1992" si="225" xml:space="preserve"> D1929*R$3</f>
        <v>47085.3359375</v>
      </c>
      <c r="F1929" s="5">
        <v>1.35551975108683</v>
      </c>
      <c r="G1929">
        <f t="shared" ref="G1929:G1992" si="226" xml:space="preserve"> E1929/C$3</f>
        <v>941.70671875000005</v>
      </c>
      <c r="H1929">
        <f t="shared" ref="H1929:H1992" si="227" xml:space="preserve"> F1929/C$4</f>
        <v>0.135551975108683</v>
      </c>
      <c r="I1929">
        <f t="shared" ref="I1929:I1992" si="228">L1929+0.002</f>
        <v>0.1291188543989619</v>
      </c>
      <c r="K1929" s="5">
        <f t="shared" ref="K1929:K1992" si="229" xml:space="preserve"> G1929 * (1 + H1929)</f>
        <v>1069.3569244496798</v>
      </c>
      <c r="L1929" s="5">
        <f t="shared" ref="L1929:L1992" si="230">LN(1 + H1929)</f>
        <v>0.12711885439896189</v>
      </c>
    </row>
    <row r="1930" spans="2:12">
      <c r="B1930">
        <v>18.7734375</v>
      </c>
      <c r="C1930">
        <v>3.13251768238842</v>
      </c>
      <c r="D1930">
        <v>47.090988281249999</v>
      </c>
      <c r="E1930" s="5">
        <f t="shared" si="225"/>
        <v>47090.98828125</v>
      </c>
      <c r="F1930" s="5">
        <v>1.35728344321251</v>
      </c>
      <c r="G1930">
        <f t="shared" si="226"/>
        <v>941.81976562499995</v>
      </c>
      <c r="H1930">
        <f t="shared" si="227"/>
        <v>0.135728344321251</v>
      </c>
      <c r="I1930">
        <f t="shared" si="228"/>
        <v>0.12927415818195473</v>
      </c>
      <c r="K1930" s="5">
        <f t="shared" si="229"/>
        <v>1069.6514030623098</v>
      </c>
      <c r="L1930" s="5">
        <f t="shared" si="230"/>
        <v>0.12727415818195473</v>
      </c>
    </row>
    <row r="1931" spans="2:12">
      <c r="B1931">
        <v>18.783203125</v>
      </c>
      <c r="C1931">
        <v>3.1347037293016902</v>
      </c>
      <c r="D1931">
        <v>47.0846796875</v>
      </c>
      <c r="E1931" s="5">
        <f t="shared" si="225"/>
        <v>47084.6796875</v>
      </c>
      <c r="F1931" s="5">
        <v>1.35884643532336</v>
      </c>
      <c r="G1931">
        <f t="shared" si="226"/>
        <v>941.69359374999999</v>
      </c>
      <c r="H1931">
        <f t="shared" si="227"/>
        <v>0.13588464353233601</v>
      </c>
      <c r="I1931">
        <f t="shared" si="228"/>
        <v>0.12941176895647261</v>
      </c>
      <c r="K1931" s="5">
        <f t="shared" si="229"/>
        <v>1069.6552920534032</v>
      </c>
      <c r="L1931" s="5">
        <f t="shared" si="230"/>
        <v>0.1274117689564726</v>
      </c>
    </row>
    <row r="1932" spans="2:12">
      <c r="B1932">
        <v>18.79296875</v>
      </c>
      <c r="C1932">
        <v>3.13641736283898</v>
      </c>
      <c r="D1932">
        <v>47.077980468749999</v>
      </c>
      <c r="E1932" s="5">
        <f t="shared" si="225"/>
        <v>47077.98046875</v>
      </c>
      <c r="F1932" s="5">
        <v>1.3603870756924199</v>
      </c>
      <c r="G1932">
        <f t="shared" si="226"/>
        <v>941.55960937500004</v>
      </c>
      <c r="H1932">
        <f t="shared" si="227"/>
        <v>0.136038707569242</v>
      </c>
      <c r="I1932">
        <f t="shared" si="228"/>
        <v>0.12954739328294246</v>
      </c>
      <c r="K1932" s="5">
        <f t="shared" si="229"/>
        <v>1069.6481617337754</v>
      </c>
      <c r="L1932" s="5">
        <f t="shared" si="230"/>
        <v>0.12754739328294246</v>
      </c>
    </row>
    <row r="1933" spans="2:12">
      <c r="B1933">
        <v>18.802734375</v>
      </c>
      <c r="C1933">
        <v>3.1365454196929901</v>
      </c>
      <c r="D1933">
        <v>47.063394531249997</v>
      </c>
      <c r="E1933" s="5">
        <f t="shared" si="225"/>
        <v>47063.39453125</v>
      </c>
      <c r="F1933" s="5">
        <v>1.36200187262148</v>
      </c>
      <c r="G1933">
        <f t="shared" si="226"/>
        <v>941.26789062499995</v>
      </c>
      <c r="H1933">
        <f t="shared" si="227"/>
        <v>0.136200187262148</v>
      </c>
      <c r="I1933">
        <f t="shared" si="228"/>
        <v>0.12968952595529951</v>
      </c>
      <c r="K1933" s="5">
        <f t="shared" si="229"/>
        <v>1069.468753591972</v>
      </c>
      <c r="L1933" s="5">
        <f t="shared" si="230"/>
        <v>0.1276895259552995</v>
      </c>
    </row>
    <row r="1934" spans="2:12">
      <c r="B1934">
        <v>18.8125</v>
      </c>
      <c r="C1934">
        <v>3.13888513483107</v>
      </c>
      <c r="D1934">
        <v>47.053046875</v>
      </c>
      <c r="E1934" s="5">
        <f t="shared" si="225"/>
        <v>47053.046875</v>
      </c>
      <c r="F1934" s="5">
        <v>1.3636810472235099</v>
      </c>
      <c r="G1934">
        <f t="shared" si="226"/>
        <v>941.06093750000002</v>
      </c>
      <c r="H1934">
        <f t="shared" si="227"/>
        <v>0.136368104722351</v>
      </c>
      <c r="I1934">
        <f t="shared" si="228"/>
        <v>0.12983730365782292</v>
      </c>
      <c r="K1934" s="5">
        <f t="shared" si="229"/>
        <v>1069.3916339751138</v>
      </c>
      <c r="L1934" s="5">
        <f t="shared" si="230"/>
        <v>0.12783730365782292</v>
      </c>
    </row>
    <row r="1935" spans="2:12">
      <c r="B1935">
        <v>18.822265625</v>
      </c>
      <c r="C1935">
        <v>3.1407503411173798</v>
      </c>
      <c r="D1935">
        <v>47.044378906250003</v>
      </c>
      <c r="E1935" s="5">
        <f t="shared" si="225"/>
        <v>47044.37890625</v>
      </c>
      <c r="F1935" s="5">
        <v>1.36535754427314</v>
      </c>
      <c r="G1935">
        <f t="shared" si="226"/>
        <v>940.887578125</v>
      </c>
      <c r="H1935">
        <f t="shared" si="227"/>
        <v>0.136535754427314</v>
      </c>
      <c r="I1935">
        <f t="shared" si="228"/>
        <v>0.12998482393642347</v>
      </c>
      <c r="K1935" s="5">
        <f t="shared" si="229"/>
        <v>1069.3523734355852</v>
      </c>
      <c r="L1935" s="5">
        <f t="shared" si="230"/>
        <v>0.12798482393642346</v>
      </c>
    </row>
    <row r="1936" spans="2:12">
      <c r="B1936">
        <v>18.83203125</v>
      </c>
      <c r="C1936">
        <v>3.14229587092996</v>
      </c>
      <c r="D1936">
        <v>47.044441406250002</v>
      </c>
      <c r="E1936" s="5">
        <f t="shared" si="225"/>
        <v>47044.44140625</v>
      </c>
      <c r="F1936" s="5">
        <v>1.3669048203155401</v>
      </c>
      <c r="G1936">
        <f t="shared" si="226"/>
        <v>940.88882812500003</v>
      </c>
      <c r="H1936">
        <f t="shared" si="227"/>
        <v>0.13669048203155401</v>
      </c>
      <c r="I1936">
        <f t="shared" si="228"/>
        <v>0.1301209543417455</v>
      </c>
      <c r="K1936" s="5">
        <f t="shared" si="229"/>
        <v>1069.4993755795103</v>
      </c>
      <c r="L1936" s="5">
        <f t="shared" si="230"/>
        <v>0.1281209543417455</v>
      </c>
    </row>
    <row r="1937" spans="2:12">
      <c r="B1937">
        <v>18.841796875</v>
      </c>
      <c r="C1937">
        <v>3.1433925032615702</v>
      </c>
      <c r="D1937">
        <v>47.026617187500001</v>
      </c>
      <c r="E1937" s="5">
        <f t="shared" si="225"/>
        <v>47026.6171875</v>
      </c>
      <c r="F1937" s="5">
        <v>1.36853242293</v>
      </c>
      <c r="G1937">
        <f t="shared" si="226"/>
        <v>940.53234375</v>
      </c>
      <c r="H1937">
        <f t="shared" si="227"/>
        <v>0.136853242293</v>
      </c>
      <c r="I1937">
        <f t="shared" si="228"/>
        <v>0.13026413193712902</v>
      </c>
      <c r="K1937" s="5">
        <f t="shared" si="229"/>
        <v>1069.247244473622</v>
      </c>
      <c r="L1937" s="5">
        <f t="shared" si="230"/>
        <v>0.12826413193712902</v>
      </c>
    </row>
    <row r="1938" spans="2:12">
      <c r="B1938">
        <v>18.8515625</v>
      </c>
      <c r="C1938">
        <v>3.14512243494391</v>
      </c>
      <c r="D1938">
        <v>47.009816406250003</v>
      </c>
      <c r="E1938" s="5">
        <f t="shared" si="225"/>
        <v>47009.81640625</v>
      </c>
      <c r="F1938" s="5">
        <v>1.37006223667413</v>
      </c>
      <c r="G1938">
        <f t="shared" si="226"/>
        <v>940.19632812500004</v>
      </c>
      <c r="H1938">
        <f t="shared" si="227"/>
        <v>0.137006223667413</v>
      </c>
      <c r="I1938">
        <f t="shared" si="228"/>
        <v>0.13039868851543471</v>
      </c>
      <c r="K1938" s="5">
        <f t="shared" si="229"/>
        <v>1069.0090765473742</v>
      </c>
      <c r="L1938" s="5">
        <f t="shared" si="230"/>
        <v>0.12839868851543471</v>
      </c>
    </row>
    <row r="1939" spans="2:12">
      <c r="B1939">
        <v>18.861328125</v>
      </c>
      <c r="C1939">
        <v>3.1466933432966502</v>
      </c>
      <c r="D1939">
        <v>46.995109374999998</v>
      </c>
      <c r="E1939" s="5">
        <f t="shared" si="225"/>
        <v>46995.109375</v>
      </c>
      <c r="F1939" s="5">
        <v>1.3715883251279599</v>
      </c>
      <c r="G1939">
        <f t="shared" si="226"/>
        <v>939.90218749999997</v>
      </c>
      <c r="H1939">
        <f t="shared" si="227"/>
        <v>0.13715883251279598</v>
      </c>
      <c r="I1939">
        <f t="shared" si="228"/>
        <v>0.13053289939445362</v>
      </c>
      <c r="K1939" s="5">
        <f t="shared" si="229"/>
        <v>1068.8180742137229</v>
      </c>
      <c r="L1939" s="5">
        <f t="shared" si="230"/>
        <v>0.12853289939445361</v>
      </c>
    </row>
    <row r="1940" spans="2:12">
      <c r="B1940">
        <v>18.87109375</v>
      </c>
      <c r="C1940">
        <v>3.14838741905987</v>
      </c>
      <c r="D1940">
        <v>46.986789062500002</v>
      </c>
      <c r="E1940" s="5">
        <f t="shared" si="225"/>
        <v>46986.7890625</v>
      </c>
      <c r="F1940" s="5">
        <v>1.37317785993218</v>
      </c>
      <c r="G1940">
        <f t="shared" si="226"/>
        <v>939.73578124999995</v>
      </c>
      <c r="H1940">
        <f t="shared" si="227"/>
        <v>0.13731778599321801</v>
      </c>
      <c r="I1940">
        <f t="shared" si="228"/>
        <v>0.13067267087364801</v>
      </c>
      <c r="K1940" s="5">
        <f t="shared" si="229"/>
        <v>1068.7782181498569</v>
      </c>
      <c r="L1940" s="5">
        <f t="shared" si="230"/>
        <v>0.128672670873648</v>
      </c>
    </row>
    <row r="1941" spans="2:12">
      <c r="B1941">
        <v>18.880859375</v>
      </c>
      <c r="C1941">
        <v>3.1502232886850798</v>
      </c>
      <c r="D1941">
        <v>47.000429687500002</v>
      </c>
      <c r="E1941" s="5">
        <f t="shared" si="225"/>
        <v>47000.4296875</v>
      </c>
      <c r="F1941" s="5">
        <v>1.37478928081691</v>
      </c>
      <c r="G1941">
        <f t="shared" si="226"/>
        <v>940.00859375000005</v>
      </c>
      <c r="H1941">
        <f t="shared" si="227"/>
        <v>0.13747892808169099</v>
      </c>
      <c r="I1941">
        <f t="shared" si="228"/>
        <v>0.13081434690803434</v>
      </c>
      <c r="K1941" s="5">
        <f t="shared" si="229"/>
        <v>1069.2399676063278</v>
      </c>
      <c r="L1941" s="5">
        <f t="shared" si="230"/>
        <v>0.12881434690803434</v>
      </c>
    </row>
    <row r="1942" spans="2:12">
      <c r="B1942">
        <v>18.890625</v>
      </c>
      <c r="C1942">
        <v>3.1519636977464001</v>
      </c>
      <c r="D1942">
        <v>46.995855468750001</v>
      </c>
      <c r="E1942" s="5">
        <f t="shared" si="225"/>
        <v>46995.85546875</v>
      </c>
      <c r="F1942" s="5">
        <v>1.3764553004875799</v>
      </c>
      <c r="G1942">
        <f t="shared" si="226"/>
        <v>939.917109375</v>
      </c>
      <c r="H1942">
        <f t="shared" si="227"/>
        <v>0.13764553004875799</v>
      </c>
      <c r="I1942">
        <f t="shared" si="228"/>
        <v>0.1309608021639386</v>
      </c>
      <c r="K1942" s="5">
        <f t="shared" si="229"/>
        <v>1069.2924980968182</v>
      </c>
      <c r="L1942" s="5">
        <f t="shared" si="230"/>
        <v>0.1289608021639386</v>
      </c>
    </row>
    <row r="1943" spans="2:12">
      <c r="B1943">
        <v>18.900390625</v>
      </c>
      <c r="C1943">
        <v>3.15249874256551</v>
      </c>
      <c r="D1943">
        <v>46.991863281249998</v>
      </c>
      <c r="E1943" s="5">
        <f t="shared" si="225"/>
        <v>46991.86328125</v>
      </c>
      <c r="F1943" s="5">
        <v>1.37812737375498</v>
      </c>
      <c r="G1943">
        <f t="shared" si="226"/>
        <v>939.83726562499999</v>
      </c>
      <c r="H1943">
        <f t="shared" si="227"/>
        <v>0.13781273737549798</v>
      </c>
      <c r="I1943">
        <f t="shared" si="228"/>
        <v>0.13110776801203589</v>
      </c>
      <c r="K1943" s="5">
        <f t="shared" si="229"/>
        <v>1069.3588118882842</v>
      </c>
      <c r="L1943" s="5">
        <f t="shared" si="230"/>
        <v>0.12910776801203588</v>
      </c>
    </row>
    <row r="1944" spans="2:12">
      <c r="B1944">
        <v>18.91015625</v>
      </c>
      <c r="C1944">
        <v>3.1555918976664499</v>
      </c>
      <c r="D1944">
        <v>46.999710937499998</v>
      </c>
      <c r="E1944" s="5">
        <f t="shared" si="225"/>
        <v>46999.7109375</v>
      </c>
      <c r="F1944" s="5">
        <v>1.3796797720715399</v>
      </c>
      <c r="G1944">
        <f t="shared" si="226"/>
        <v>939.99421874999996</v>
      </c>
      <c r="H1944">
        <f t="shared" si="227"/>
        <v>0.13796797720715398</v>
      </c>
      <c r="I1944">
        <f t="shared" si="228"/>
        <v>0.1312441957714435</v>
      </c>
      <c r="K1944" s="5">
        <f t="shared" si="229"/>
        <v>1069.6833196973564</v>
      </c>
      <c r="L1944" s="5">
        <f t="shared" si="230"/>
        <v>0.1292441957714435</v>
      </c>
    </row>
    <row r="1945" spans="2:12">
      <c r="B1945">
        <v>18.919921875</v>
      </c>
      <c r="C1945">
        <v>3.1587437260895999</v>
      </c>
      <c r="D1945">
        <v>46.997933593749998</v>
      </c>
      <c r="E1945" s="5">
        <f t="shared" si="225"/>
        <v>46997.93359375</v>
      </c>
      <c r="F1945" s="5">
        <v>1.3812774559482901</v>
      </c>
      <c r="G1945">
        <f t="shared" si="226"/>
        <v>939.95867187500005</v>
      </c>
      <c r="H1945">
        <f t="shared" si="227"/>
        <v>0.13812774559482902</v>
      </c>
      <c r="I1945">
        <f t="shared" si="228"/>
        <v>0.13138458388107957</v>
      </c>
      <c r="K1945" s="5">
        <f t="shared" si="229"/>
        <v>1069.7930441734036</v>
      </c>
      <c r="L1945" s="5">
        <f t="shared" si="230"/>
        <v>0.12938458388107957</v>
      </c>
    </row>
    <row r="1946" spans="2:12">
      <c r="B1946">
        <v>18.9296875</v>
      </c>
      <c r="C1946">
        <v>3.1583337113261201</v>
      </c>
      <c r="D1946">
        <v>46.965453125000003</v>
      </c>
      <c r="E1946" s="5">
        <f t="shared" si="225"/>
        <v>46965.453125</v>
      </c>
      <c r="F1946" s="5">
        <v>1.38291856274009</v>
      </c>
      <c r="G1946">
        <f t="shared" si="226"/>
        <v>939.30906249999998</v>
      </c>
      <c r="H1946">
        <f t="shared" si="227"/>
        <v>0.138291856274009</v>
      </c>
      <c r="I1946">
        <f t="shared" si="228"/>
        <v>0.13152876703547645</v>
      </c>
      <c r="K1946" s="5">
        <f t="shared" si="229"/>
        <v>1069.2078563681241</v>
      </c>
      <c r="L1946" s="5">
        <f t="shared" si="230"/>
        <v>0.12952876703547644</v>
      </c>
    </row>
    <row r="1947" spans="2:12">
      <c r="B1947">
        <v>18.939453125</v>
      </c>
      <c r="C1947">
        <v>3.1600936781615001</v>
      </c>
      <c r="D1947">
        <v>46.947984374999997</v>
      </c>
      <c r="E1947" s="5">
        <f t="shared" si="225"/>
        <v>46947.984375</v>
      </c>
      <c r="F1947" s="5">
        <v>1.3845583889633399</v>
      </c>
      <c r="G1947">
        <f t="shared" si="226"/>
        <v>938.95968749999997</v>
      </c>
      <c r="H1947">
        <f t="shared" si="227"/>
        <v>0.138455838896334</v>
      </c>
      <c r="I1947">
        <f t="shared" si="228"/>
        <v>0.1316728169211589</v>
      </c>
      <c r="K1947" s="5">
        <f t="shared" si="229"/>
        <v>1068.964138722652</v>
      </c>
      <c r="L1947" s="5">
        <f t="shared" si="230"/>
        <v>0.1296728169211589</v>
      </c>
    </row>
    <row r="1948" spans="2:12">
      <c r="B1948">
        <v>18.94921875</v>
      </c>
      <c r="C1948">
        <v>3.1608210410922801</v>
      </c>
      <c r="D1948">
        <v>46.933128906249998</v>
      </c>
      <c r="E1948" s="5">
        <f t="shared" si="225"/>
        <v>46933.12890625</v>
      </c>
      <c r="F1948" s="5">
        <v>1.38609006535262</v>
      </c>
      <c r="G1948">
        <f t="shared" si="226"/>
        <v>938.66257812499998</v>
      </c>
      <c r="H1948">
        <f t="shared" si="227"/>
        <v>0.13860900653526201</v>
      </c>
      <c r="I1948">
        <f t="shared" si="228"/>
        <v>0.13180734768734806</v>
      </c>
      <c r="K1948" s="5">
        <f t="shared" si="229"/>
        <v>1068.7696655507341</v>
      </c>
      <c r="L1948" s="5">
        <f t="shared" si="230"/>
        <v>0.12980734768734806</v>
      </c>
    </row>
    <row r="1949" spans="2:12">
      <c r="B1949">
        <v>18.958984375</v>
      </c>
      <c r="C1949">
        <v>3.16200265660882</v>
      </c>
      <c r="D1949">
        <v>46.937070312499998</v>
      </c>
      <c r="E1949" s="5">
        <f t="shared" si="225"/>
        <v>46937.0703125</v>
      </c>
      <c r="F1949" s="5">
        <v>1.38766982126981</v>
      </c>
      <c r="G1949">
        <f t="shared" si="226"/>
        <v>938.74140624999995</v>
      </c>
      <c r="H1949">
        <f t="shared" si="227"/>
        <v>0.13876698212698099</v>
      </c>
      <c r="I1949">
        <f t="shared" si="228"/>
        <v>0.13194608243537279</v>
      </c>
      <c r="K1949" s="5">
        <f t="shared" si="229"/>
        <v>1069.0077181929507</v>
      </c>
      <c r="L1949" s="5">
        <f t="shared" si="230"/>
        <v>0.12994608243537278</v>
      </c>
    </row>
    <row r="1950" spans="2:12">
      <c r="B1950">
        <v>18.96875</v>
      </c>
      <c r="C1950">
        <v>3.1632913742214401</v>
      </c>
      <c r="D1950">
        <v>46.947316406250003</v>
      </c>
      <c r="E1950" s="5">
        <f t="shared" si="225"/>
        <v>46947.31640625</v>
      </c>
      <c r="F1950" s="5">
        <v>1.3893543509766499</v>
      </c>
      <c r="G1950">
        <f t="shared" si="226"/>
        <v>938.94632812500004</v>
      </c>
      <c r="H1950">
        <f t="shared" si="227"/>
        <v>0.13893543509766498</v>
      </c>
      <c r="I1950">
        <f t="shared" si="228"/>
        <v>0.13209399725490081</v>
      </c>
      <c r="K1950" s="5">
        <f t="shared" si="229"/>
        <v>1069.3992447564019</v>
      </c>
      <c r="L1950" s="5">
        <f t="shared" si="230"/>
        <v>0.13009399725490081</v>
      </c>
    </row>
    <row r="1951" spans="2:12">
      <c r="B1951">
        <v>18.978515625</v>
      </c>
      <c r="C1951">
        <v>3.1683908309787499</v>
      </c>
      <c r="D1951">
        <v>46.937582031250003</v>
      </c>
      <c r="E1951" s="5">
        <f t="shared" si="225"/>
        <v>46937.58203125</v>
      </c>
      <c r="F1951" s="5">
        <v>1.3910251436755099</v>
      </c>
      <c r="G1951">
        <f t="shared" si="226"/>
        <v>938.75164062500005</v>
      </c>
      <c r="H1951">
        <f t="shared" si="227"/>
        <v>0.139102514367551</v>
      </c>
      <c r="I1951">
        <f t="shared" si="228"/>
        <v>0.13224068424949176</v>
      </c>
      <c r="K1951" s="5">
        <f t="shared" si="229"/>
        <v>1069.3343542026012</v>
      </c>
      <c r="L1951" s="5">
        <f t="shared" si="230"/>
        <v>0.13024068424949176</v>
      </c>
    </row>
    <row r="1952" spans="2:12">
      <c r="B1952">
        <v>18.98828125</v>
      </c>
      <c r="C1952">
        <v>3.16558941267431</v>
      </c>
      <c r="D1952">
        <v>46.912539062500002</v>
      </c>
      <c r="E1952" s="5">
        <f t="shared" si="225"/>
        <v>46912.5390625</v>
      </c>
      <c r="F1952" s="5">
        <v>1.3925172388553599</v>
      </c>
      <c r="G1952">
        <f t="shared" si="226"/>
        <v>938.25078125000005</v>
      </c>
      <c r="H1952">
        <f t="shared" si="227"/>
        <v>0.139251723885536</v>
      </c>
      <c r="I1952">
        <f t="shared" si="228"/>
        <v>0.13237166433651515</v>
      </c>
      <c r="K1952" s="5">
        <f t="shared" si="229"/>
        <v>1068.9038199760134</v>
      </c>
      <c r="L1952" s="5">
        <f t="shared" si="230"/>
        <v>0.13037166433651515</v>
      </c>
    </row>
    <row r="1953" spans="2:12">
      <c r="B1953">
        <v>18.998046875</v>
      </c>
      <c r="C1953">
        <v>3.1680390238761902</v>
      </c>
      <c r="D1953">
        <v>46.916027343750002</v>
      </c>
      <c r="E1953" s="5">
        <f t="shared" si="225"/>
        <v>46916.02734375</v>
      </c>
      <c r="F1953" s="5">
        <v>1.39416928868741</v>
      </c>
      <c r="G1953">
        <f t="shared" si="226"/>
        <v>938.32054687499999</v>
      </c>
      <c r="H1953">
        <f t="shared" si="227"/>
        <v>0.13941692886874099</v>
      </c>
      <c r="I1953">
        <f t="shared" si="228"/>
        <v>0.13251666565848866</v>
      </c>
      <c r="K1953" s="5">
        <f t="shared" si="229"/>
        <v>1069.1383158147501</v>
      </c>
      <c r="L1953" s="5">
        <f t="shared" si="230"/>
        <v>0.13051666565848866</v>
      </c>
    </row>
    <row r="1954" spans="2:12">
      <c r="B1954">
        <v>19.0078125</v>
      </c>
      <c r="C1954">
        <v>3.1722486019134499</v>
      </c>
      <c r="D1954">
        <v>46.91026171875</v>
      </c>
      <c r="E1954" s="5">
        <f t="shared" si="225"/>
        <v>46910.26171875</v>
      </c>
      <c r="F1954" s="5">
        <v>1.39581714756787</v>
      </c>
      <c r="G1954">
        <f t="shared" si="226"/>
        <v>938.20523437500003</v>
      </c>
      <c r="H1954">
        <f t="shared" si="227"/>
        <v>0.13958171475678699</v>
      </c>
      <c r="I1954">
        <f t="shared" si="228"/>
        <v>0.13266127819592402</v>
      </c>
      <c r="K1954" s="5">
        <f t="shared" si="229"/>
        <v>1069.1615297828557</v>
      </c>
      <c r="L1954" s="5">
        <f t="shared" si="230"/>
        <v>0.13066127819592402</v>
      </c>
    </row>
    <row r="1955" spans="2:12">
      <c r="B1955">
        <v>19.017578125</v>
      </c>
      <c r="C1955">
        <v>3.1724260188639199</v>
      </c>
      <c r="D1955">
        <v>46.895964843750001</v>
      </c>
      <c r="E1955" s="5">
        <f t="shared" si="225"/>
        <v>46895.96484375</v>
      </c>
      <c r="F1955" s="5">
        <v>1.39746710192412</v>
      </c>
      <c r="G1955">
        <f t="shared" si="226"/>
        <v>937.91929687499999</v>
      </c>
      <c r="H1955">
        <f t="shared" si="227"/>
        <v>0.139746710192412</v>
      </c>
      <c r="I1955">
        <f t="shared" si="228"/>
        <v>0.13280605367812925</v>
      </c>
      <c r="K1955" s="5">
        <f t="shared" si="229"/>
        <v>1068.9904330392615</v>
      </c>
      <c r="L1955" s="5">
        <f t="shared" si="230"/>
        <v>0.13080605367812925</v>
      </c>
    </row>
    <row r="1956" spans="2:12">
      <c r="B1956">
        <v>19.02734375</v>
      </c>
      <c r="C1956">
        <v>3.1754642259329602</v>
      </c>
      <c r="D1956">
        <v>46.896804687500001</v>
      </c>
      <c r="E1956" s="5">
        <f t="shared" si="225"/>
        <v>46896.8046875</v>
      </c>
      <c r="F1956" s="5">
        <v>1.39907270204276</v>
      </c>
      <c r="G1956">
        <f t="shared" si="226"/>
        <v>937.93609375000005</v>
      </c>
      <c r="H1956">
        <f t="shared" si="227"/>
        <v>0.13990727020427601</v>
      </c>
      <c r="I1956">
        <f t="shared" si="228"/>
        <v>0.13294691717189658</v>
      </c>
      <c r="K1956" s="5">
        <f t="shared" si="229"/>
        <v>1069.1601722526245</v>
      </c>
      <c r="L1956" s="5">
        <f t="shared" si="230"/>
        <v>0.13094691717189658</v>
      </c>
    </row>
    <row r="1957" spans="2:12">
      <c r="B1957">
        <v>19.037109375</v>
      </c>
      <c r="C1957">
        <v>3.1761347781866802</v>
      </c>
      <c r="D1957">
        <v>46.888832031249997</v>
      </c>
      <c r="E1957" s="5">
        <f t="shared" si="225"/>
        <v>46888.83203125</v>
      </c>
      <c r="F1957" s="5">
        <v>1.4006480341777201</v>
      </c>
      <c r="G1957">
        <f t="shared" si="226"/>
        <v>937.77664062500003</v>
      </c>
      <c r="H1957">
        <f t="shared" si="227"/>
        <v>0.140064803417772</v>
      </c>
      <c r="I1957">
        <f t="shared" si="228"/>
        <v>0.13308510589409125</v>
      </c>
      <c r="K1957" s="5">
        <f t="shared" si="229"/>
        <v>1069.1261414439193</v>
      </c>
      <c r="L1957" s="5">
        <f t="shared" si="230"/>
        <v>0.13108510589409125</v>
      </c>
    </row>
    <row r="1958" spans="2:12">
      <c r="B1958">
        <v>19.046875</v>
      </c>
      <c r="C1958">
        <v>3.17682162858546</v>
      </c>
      <c r="D1958">
        <v>46.893644531249997</v>
      </c>
      <c r="E1958" s="5">
        <f t="shared" si="225"/>
        <v>46893.64453125</v>
      </c>
      <c r="F1958" s="5">
        <v>1.4023380354046799</v>
      </c>
      <c r="G1958">
        <f t="shared" si="226"/>
        <v>937.87289062499997</v>
      </c>
      <c r="H1958">
        <f t="shared" si="227"/>
        <v>0.14023380354046799</v>
      </c>
      <c r="I1958">
        <f t="shared" si="228"/>
        <v>0.13323333220312786</v>
      </c>
      <c r="K1958" s="5">
        <f t="shared" si="229"/>
        <v>1069.3943733148371</v>
      </c>
      <c r="L1958" s="5">
        <f t="shared" si="230"/>
        <v>0.13123333220312786</v>
      </c>
    </row>
    <row r="1959" spans="2:12">
      <c r="B1959">
        <v>19.056640625</v>
      </c>
      <c r="C1959">
        <v>3.1793685629963901</v>
      </c>
      <c r="D1959">
        <v>46.890324218750003</v>
      </c>
      <c r="E1959" s="5">
        <f t="shared" si="225"/>
        <v>46890.32421875</v>
      </c>
      <c r="F1959" s="5">
        <v>1.4040141832083499</v>
      </c>
      <c r="G1959">
        <f t="shared" si="226"/>
        <v>937.80648437499997</v>
      </c>
      <c r="H1959">
        <f t="shared" si="227"/>
        <v>0.140401418320835</v>
      </c>
      <c r="I1959">
        <f t="shared" si="228"/>
        <v>0.13338032176030226</v>
      </c>
      <c r="K1959" s="5">
        <f t="shared" si="229"/>
        <v>1069.475844891726</v>
      </c>
      <c r="L1959" s="5">
        <f t="shared" si="230"/>
        <v>0.13138032176030226</v>
      </c>
    </row>
    <row r="1960" spans="2:12">
      <c r="B1960">
        <v>19.06640625</v>
      </c>
      <c r="C1960">
        <v>3.1815052498131999</v>
      </c>
      <c r="D1960">
        <v>46.879085937500001</v>
      </c>
      <c r="E1960" s="5">
        <f t="shared" si="225"/>
        <v>46879.0859375</v>
      </c>
      <c r="F1960" s="5">
        <v>1.4056350337341399</v>
      </c>
      <c r="G1960">
        <f t="shared" si="226"/>
        <v>937.58171875000005</v>
      </c>
      <c r="H1960">
        <f t="shared" si="227"/>
        <v>0.140563503373414</v>
      </c>
      <c r="I1960">
        <f t="shared" si="228"/>
        <v>0.13352244148455597</v>
      </c>
      <c r="K1960" s="5">
        <f t="shared" si="229"/>
        <v>1069.3714898363671</v>
      </c>
      <c r="L1960" s="5">
        <f t="shared" si="230"/>
        <v>0.13152244148455597</v>
      </c>
    </row>
    <row r="1961" spans="2:12">
      <c r="B1961">
        <v>19.076171875</v>
      </c>
      <c r="C1961">
        <v>3.1828240025788501</v>
      </c>
      <c r="D1961">
        <v>46.847824218749999</v>
      </c>
      <c r="E1961" s="5">
        <f t="shared" si="225"/>
        <v>46847.82421875</v>
      </c>
      <c r="F1961" s="5">
        <v>1.4072407502680999</v>
      </c>
      <c r="G1961">
        <f t="shared" si="226"/>
        <v>936.95648437499995</v>
      </c>
      <c r="H1961">
        <f t="shared" si="227"/>
        <v>0.14072407502681</v>
      </c>
      <c r="I1961">
        <f t="shared" si="228"/>
        <v>0.13366321431405928</v>
      </c>
      <c r="K1961" s="5">
        <f t="shared" si="229"/>
        <v>1068.8088189790435</v>
      </c>
      <c r="L1961" s="5">
        <f t="shared" si="230"/>
        <v>0.13166321431405928</v>
      </c>
    </row>
    <row r="1962" spans="2:12">
      <c r="B1962">
        <v>19.0859375</v>
      </c>
      <c r="C1962">
        <v>3.18403844721615</v>
      </c>
      <c r="D1962">
        <v>46.830800781249998</v>
      </c>
      <c r="E1962" s="5">
        <f t="shared" si="225"/>
        <v>46830.80078125</v>
      </c>
      <c r="F1962" s="5">
        <v>1.4088685857132099</v>
      </c>
      <c r="G1962">
        <f t="shared" si="226"/>
        <v>936.61601562500005</v>
      </c>
      <c r="H1962">
        <f t="shared" si="227"/>
        <v>0.14088685857132099</v>
      </c>
      <c r="I1962">
        <f t="shared" si="228"/>
        <v>0.13380590607836507</v>
      </c>
      <c r="K1962" s="5">
        <f t="shared" si="229"/>
        <v>1068.5729037539936</v>
      </c>
      <c r="L1962" s="5">
        <f t="shared" si="230"/>
        <v>0.13180590607836506</v>
      </c>
    </row>
    <row r="1963" spans="2:12">
      <c r="B1963">
        <v>19.095703125</v>
      </c>
      <c r="C1963">
        <v>3.1847967766225298</v>
      </c>
      <c r="D1963">
        <v>46.8469921875</v>
      </c>
      <c r="E1963" s="5">
        <f t="shared" si="225"/>
        <v>46846.9921875</v>
      </c>
      <c r="F1963" s="5">
        <v>1.4104847796261299</v>
      </c>
      <c r="G1963">
        <f t="shared" si="226"/>
        <v>936.93984375000002</v>
      </c>
      <c r="H1963">
        <f t="shared" si="227"/>
        <v>0.14104847796261299</v>
      </c>
      <c r="I1963">
        <f t="shared" si="228"/>
        <v>0.13394755723646304</v>
      </c>
      <c r="K1963" s="5">
        <f t="shared" si="229"/>
        <v>1069.0937826534662</v>
      </c>
      <c r="L1963" s="5">
        <f t="shared" si="230"/>
        <v>0.13194755723646304</v>
      </c>
    </row>
    <row r="1964" spans="2:12">
      <c r="B1964">
        <v>19.10546875</v>
      </c>
      <c r="C1964">
        <v>3.1879378948360699</v>
      </c>
      <c r="D1964">
        <v>46.842824218750003</v>
      </c>
      <c r="E1964" s="5">
        <f t="shared" si="225"/>
        <v>46842.82421875</v>
      </c>
      <c r="F1964" s="5">
        <v>1.4121045824140299</v>
      </c>
      <c r="G1964">
        <f t="shared" si="226"/>
        <v>936.85648437500004</v>
      </c>
      <c r="H1964">
        <f t="shared" si="227"/>
        <v>0.14121045824140299</v>
      </c>
      <c r="I1964">
        <f t="shared" si="228"/>
        <v>0.13408950456460572</v>
      </c>
      <c r="K1964" s="5">
        <f t="shared" si="229"/>
        <v>1069.1504178400237</v>
      </c>
      <c r="L1964" s="5">
        <f t="shared" si="230"/>
        <v>0.13208950456460572</v>
      </c>
    </row>
    <row r="1965" spans="2:12">
      <c r="B1965">
        <v>19.115234375</v>
      </c>
      <c r="C1965">
        <v>3.1875311397016</v>
      </c>
      <c r="D1965">
        <v>46.8251953125</v>
      </c>
      <c r="E1965" s="5">
        <f t="shared" si="225"/>
        <v>46825.1953125</v>
      </c>
      <c r="F1965" s="5">
        <v>1.4137028483673899</v>
      </c>
      <c r="G1965">
        <f t="shared" si="226"/>
        <v>936.50390625</v>
      </c>
      <c r="H1965">
        <f t="shared" si="227"/>
        <v>0.141370284836739</v>
      </c>
      <c r="I1965">
        <f t="shared" si="228"/>
        <v>0.13422954482042743</v>
      </c>
      <c r="K1965" s="5">
        <f t="shared" si="229"/>
        <v>1068.8977302272813</v>
      </c>
      <c r="L1965" s="5">
        <f t="shared" si="230"/>
        <v>0.13222954482042742</v>
      </c>
    </row>
    <row r="1966" spans="2:12">
      <c r="B1966">
        <v>19.125</v>
      </c>
      <c r="C1966">
        <v>3.1917856540530898</v>
      </c>
      <c r="D1966">
        <v>46.81291796875</v>
      </c>
      <c r="E1966" s="5">
        <f t="shared" si="225"/>
        <v>46812.91796875</v>
      </c>
      <c r="F1966" s="5">
        <v>1.4153422089293599</v>
      </c>
      <c r="G1966">
        <f t="shared" si="226"/>
        <v>936.25835937500005</v>
      </c>
      <c r="H1966">
        <f t="shared" si="227"/>
        <v>0.14153422089293599</v>
      </c>
      <c r="I1966">
        <f t="shared" si="228"/>
        <v>0.13437316541959596</v>
      </c>
      <c r="K1966" s="5">
        <f t="shared" si="229"/>
        <v>1068.7709568236392</v>
      </c>
      <c r="L1966" s="5">
        <f t="shared" si="230"/>
        <v>0.13237316541959596</v>
      </c>
    </row>
    <row r="1967" spans="2:12">
      <c r="B1967">
        <v>19.134765625</v>
      </c>
      <c r="C1967">
        <v>3.1892524566501401</v>
      </c>
      <c r="D1967">
        <v>46.807640624999998</v>
      </c>
      <c r="E1967" s="5">
        <f t="shared" si="225"/>
        <v>46807.640625</v>
      </c>
      <c r="F1967" s="5">
        <v>1.4169778442010299</v>
      </c>
      <c r="G1967">
        <f t="shared" si="226"/>
        <v>936.15281249999998</v>
      </c>
      <c r="H1967">
        <f t="shared" si="227"/>
        <v>0.141697784420103</v>
      </c>
      <c r="I1967">
        <f t="shared" si="228"/>
        <v>0.13451643910099692</v>
      </c>
      <c r="K1967" s="5">
        <f t="shared" si="229"/>
        <v>1068.8035919098982</v>
      </c>
      <c r="L1967" s="5">
        <f t="shared" si="230"/>
        <v>0.13251643910099692</v>
      </c>
    </row>
    <row r="1968" spans="2:12">
      <c r="B1968">
        <v>19.14453125</v>
      </c>
      <c r="C1968">
        <v>3.1929954420775202</v>
      </c>
      <c r="D1968">
        <v>46.819234375000001</v>
      </c>
      <c r="E1968" s="5">
        <f t="shared" si="225"/>
        <v>46819.234375</v>
      </c>
      <c r="F1968" s="5">
        <v>1.4186317566782201</v>
      </c>
      <c r="G1968">
        <f t="shared" si="226"/>
        <v>936.38468750000004</v>
      </c>
      <c r="H1968">
        <f t="shared" si="227"/>
        <v>0.141863175667822</v>
      </c>
      <c r="I1968">
        <f t="shared" si="228"/>
        <v>0.13466129290687184</v>
      </c>
      <c r="K1968" s="5">
        <f t="shared" si="229"/>
        <v>1069.2231929154711</v>
      </c>
      <c r="L1968" s="5">
        <f t="shared" si="230"/>
        <v>0.13266129290687184</v>
      </c>
    </row>
    <row r="1969" spans="2:12">
      <c r="B1969">
        <v>19.154296875</v>
      </c>
      <c r="C1969">
        <v>3.1954618170857398</v>
      </c>
      <c r="D1969">
        <v>46.80890625</v>
      </c>
      <c r="E1969" s="5">
        <f t="shared" si="225"/>
        <v>46808.90625</v>
      </c>
      <c r="F1969" s="5">
        <v>1.4203087193891399</v>
      </c>
      <c r="G1969">
        <f t="shared" si="226"/>
        <v>936.17812500000002</v>
      </c>
      <c r="H1969">
        <f t="shared" si="227"/>
        <v>0.14203087193891401</v>
      </c>
      <c r="I1969">
        <f t="shared" si="228"/>
        <v>0.13480814408989344</v>
      </c>
      <c r="K1969" s="5">
        <f t="shared" si="229"/>
        <v>1069.1443203838878</v>
      </c>
      <c r="L1969" s="5">
        <f t="shared" si="230"/>
        <v>0.13280814408989344</v>
      </c>
    </row>
    <row r="1970" spans="2:12">
      <c r="B1970">
        <v>19.1640625</v>
      </c>
      <c r="C1970">
        <v>3.19754472002387</v>
      </c>
      <c r="D1970">
        <v>46.814984375000002</v>
      </c>
      <c r="E1970" s="5">
        <f t="shared" si="225"/>
        <v>46814.984375</v>
      </c>
      <c r="F1970" s="5">
        <v>1.4219443546608099</v>
      </c>
      <c r="G1970">
        <f t="shared" si="226"/>
        <v>936.2996875</v>
      </c>
      <c r="H1970">
        <f t="shared" si="227"/>
        <v>0.14219443546608099</v>
      </c>
      <c r="I1970">
        <f t="shared" si="228"/>
        <v>0.13495135546831233</v>
      </c>
      <c r="K1970" s="5">
        <f t="shared" si="229"/>
        <v>1069.4362929911306</v>
      </c>
      <c r="L1970" s="5">
        <f t="shared" si="230"/>
        <v>0.13295135546831233</v>
      </c>
    </row>
    <row r="1971" spans="2:12">
      <c r="B1971">
        <v>19.173828125</v>
      </c>
      <c r="C1971">
        <v>3.19916615262628</v>
      </c>
      <c r="D1971">
        <v>46.791535156249999</v>
      </c>
      <c r="E1971" s="5">
        <f t="shared" si="225"/>
        <v>46791.53515625</v>
      </c>
      <c r="F1971" s="5">
        <v>1.4235703274607701</v>
      </c>
      <c r="G1971">
        <f t="shared" si="226"/>
        <v>935.83070312500001</v>
      </c>
      <c r="H1971">
        <f t="shared" si="227"/>
        <v>0.142357032746077</v>
      </c>
      <c r="I1971">
        <f t="shared" si="228"/>
        <v>0.13509370050411745</v>
      </c>
      <c r="K1971" s="5">
        <f t="shared" si="229"/>
        <v>1069.0527851745499</v>
      </c>
      <c r="L1971" s="5">
        <f t="shared" si="230"/>
        <v>0.13309370050411745</v>
      </c>
    </row>
    <row r="1972" spans="2:12">
      <c r="B1972">
        <v>19.18359375</v>
      </c>
      <c r="C1972">
        <v>3.2010301947593698</v>
      </c>
      <c r="D1972">
        <v>46.773656250000002</v>
      </c>
      <c r="E1972" s="5">
        <f t="shared" si="225"/>
        <v>46773.65625</v>
      </c>
      <c r="F1972" s="5">
        <v>1.42522540409118</v>
      </c>
      <c r="G1972">
        <f t="shared" si="226"/>
        <v>935.47312499999998</v>
      </c>
      <c r="H1972">
        <f t="shared" si="227"/>
        <v>0.14252254040911799</v>
      </c>
      <c r="I1972">
        <f t="shared" si="228"/>
        <v>0.13523857261490607</v>
      </c>
      <c r="K1972" s="5">
        <f t="shared" si="229"/>
        <v>1068.7991312594563</v>
      </c>
      <c r="L1972" s="5">
        <f t="shared" si="230"/>
        <v>0.13323857261490607</v>
      </c>
    </row>
    <row r="1973" spans="2:12">
      <c r="B1973">
        <v>19.193359375</v>
      </c>
      <c r="C1973">
        <v>3.2015442848205602</v>
      </c>
      <c r="D1973">
        <v>46.758199218750001</v>
      </c>
      <c r="E1973" s="5">
        <f t="shared" si="225"/>
        <v>46758.19921875</v>
      </c>
      <c r="F1973" s="5">
        <v>1.4267838560044801</v>
      </c>
      <c r="G1973">
        <f t="shared" si="226"/>
        <v>935.16398437500004</v>
      </c>
      <c r="H1973">
        <f t="shared" si="227"/>
        <v>0.14267838560044802</v>
      </c>
      <c r="I1973">
        <f t="shared" si="228"/>
        <v>0.13537496779118838</v>
      </c>
      <c r="K1973" s="5">
        <f t="shared" si="229"/>
        <v>1068.5916719373076</v>
      </c>
      <c r="L1973" s="5">
        <f t="shared" si="230"/>
        <v>0.13337496779118838</v>
      </c>
    </row>
    <row r="1974" spans="2:12">
      <c r="B1974">
        <v>19.203125</v>
      </c>
      <c r="C1974">
        <v>3.2034933101385801</v>
      </c>
      <c r="D1974">
        <v>46.766652343750003</v>
      </c>
      <c r="E1974" s="5">
        <f t="shared" si="225"/>
        <v>46766.65234375</v>
      </c>
      <c r="F1974" s="5">
        <v>1.4284515054896501</v>
      </c>
      <c r="G1974">
        <f t="shared" si="226"/>
        <v>935.33304687500004</v>
      </c>
      <c r="H1974">
        <f t="shared" si="227"/>
        <v>0.14284515054896502</v>
      </c>
      <c r="I1974">
        <f t="shared" si="228"/>
        <v>0.13552089929981223</v>
      </c>
      <c r="K1974" s="5">
        <f t="shared" si="229"/>
        <v>1068.9408367692815</v>
      </c>
      <c r="L1974" s="5">
        <f t="shared" si="230"/>
        <v>0.13352089929981223</v>
      </c>
    </row>
    <row r="1975" spans="2:12">
      <c r="B1975">
        <v>19.212890625</v>
      </c>
      <c r="C1975">
        <v>3.20504768751562</v>
      </c>
      <c r="D1975">
        <v>46.756519531249999</v>
      </c>
      <c r="E1975" s="5">
        <f t="shared" si="225"/>
        <v>46756.51953125</v>
      </c>
      <c r="F1975" s="5">
        <v>1.43015431240201</v>
      </c>
      <c r="G1975">
        <f t="shared" si="226"/>
        <v>935.13039062500002</v>
      </c>
      <c r="H1975">
        <f t="shared" si="227"/>
        <v>0.143015431240201</v>
      </c>
      <c r="I1975">
        <f t="shared" si="228"/>
        <v>0.1356698853691356</v>
      </c>
      <c r="K1975" s="5">
        <f t="shared" si="229"/>
        <v>1068.868466706052</v>
      </c>
      <c r="L1975" s="5">
        <f t="shared" si="230"/>
        <v>0.1336698853691356</v>
      </c>
    </row>
    <row r="1976" spans="2:12">
      <c r="B1976">
        <v>19.22265625</v>
      </c>
      <c r="C1976">
        <v>3.2067089341580899</v>
      </c>
      <c r="D1976">
        <v>46.762597656250001</v>
      </c>
      <c r="E1976" s="5">
        <f t="shared" si="225"/>
        <v>46762.59765625</v>
      </c>
      <c r="F1976" s="5">
        <v>1.43179204314947</v>
      </c>
      <c r="G1976">
        <f t="shared" si="226"/>
        <v>935.251953125</v>
      </c>
      <c r="H1976">
        <f t="shared" si="227"/>
        <v>0.14317920431494699</v>
      </c>
      <c r="I1976">
        <f t="shared" si="228"/>
        <v>0.13581315670087529</v>
      </c>
      <c r="K1976" s="5">
        <f t="shared" si="229"/>
        <v>1069.1605836074375</v>
      </c>
      <c r="L1976" s="5">
        <f t="shared" si="230"/>
        <v>0.13381315670087529</v>
      </c>
    </row>
    <row r="1977" spans="2:12">
      <c r="B1977">
        <v>19.232421875</v>
      </c>
      <c r="C1977">
        <v>3.2078265212476298</v>
      </c>
      <c r="D1977">
        <v>46.744453125</v>
      </c>
      <c r="E1977" s="5">
        <f t="shared" si="225"/>
        <v>46744.453125</v>
      </c>
      <c r="F1977" s="5">
        <v>1.43344141542912</v>
      </c>
      <c r="G1977">
        <f t="shared" si="226"/>
        <v>934.88906250000002</v>
      </c>
      <c r="H1977">
        <f t="shared" si="227"/>
        <v>0.143344141542912</v>
      </c>
      <c r="I1977">
        <f t="shared" si="228"/>
        <v>0.13595742570958663</v>
      </c>
      <c r="K1977" s="5">
        <f t="shared" si="229"/>
        <v>1068.8999326019202</v>
      </c>
      <c r="L1977" s="5">
        <f t="shared" si="230"/>
        <v>0.13395742570958663</v>
      </c>
    </row>
    <row r="1978" spans="2:12">
      <c r="B1978">
        <v>19.2421875</v>
      </c>
      <c r="C1978">
        <v>3.2102675177156899</v>
      </c>
      <c r="D1978">
        <v>46.742757812500003</v>
      </c>
      <c r="E1978" s="5">
        <f t="shared" si="225"/>
        <v>46742.7578125</v>
      </c>
      <c r="F1978" s="5">
        <v>1.4350387500599</v>
      </c>
      <c r="G1978">
        <f t="shared" si="226"/>
        <v>934.85515625000005</v>
      </c>
      <c r="H1978">
        <f t="shared" si="227"/>
        <v>0.14350387500598999</v>
      </c>
      <c r="I1978">
        <f t="shared" si="228"/>
        <v>0.13609712319904105</v>
      </c>
      <c r="K1978" s="5">
        <f t="shared" si="229"/>
        <v>1069.0104937412054</v>
      </c>
      <c r="L1978" s="5">
        <f t="shared" si="230"/>
        <v>0.13409712319904105</v>
      </c>
    </row>
    <row r="1979" spans="2:12">
      <c r="B1979">
        <v>19.251953125</v>
      </c>
      <c r="C1979">
        <v>3.2114058267325198</v>
      </c>
      <c r="D1979">
        <v>46.748539062500001</v>
      </c>
      <c r="E1979" s="5">
        <f t="shared" si="225"/>
        <v>46748.5390625</v>
      </c>
      <c r="F1979" s="5">
        <v>1.4368341071531201</v>
      </c>
      <c r="G1979">
        <f t="shared" si="226"/>
        <v>934.97078124999996</v>
      </c>
      <c r="H1979">
        <f t="shared" si="227"/>
        <v>0.14368341071531202</v>
      </c>
      <c r="I1979">
        <f t="shared" si="228"/>
        <v>0.13625411577311797</v>
      </c>
      <c r="K1979" s="5">
        <f t="shared" si="229"/>
        <v>1069.3105720191597</v>
      </c>
      <c r="L1979" s="5">
        <f t="shared" si="230"/>
        <v>0.13425411577311797</v>
      </c>
    </row>
    <row r="1980" spans="2:12">
      <c r="B1980">
        <v>19.26171875</v>
      </c>
      <c r="C1980">
        <v>3.2144605647772599</v>
      </c>
      <c r="D1980">
        <v>46.729433593750002</v>
      </c>
      <c r="E1980" s="5">
        <f t="shared" si="225"/>
        <v>46729.43359375</v>
      </c>
      <c r="F1980" s="5">
        <v>1.43854436464608</v>
      </c>
      <c r="G1980">
        <f t="shared" si="226"/>
        <v>934.58867187500005</v>
      </c>
      <c r="H1980">
        <f t="shared" si="227"/>
        <v>0.14385443646460799</v>
      </c>
      <c r="I1980">
        <f t="shared" si="228"/>
        <v>0.13640364400918667</v>
      </c>
      <c r="K1980" s="5">
        <f t="shared" si="229"/>
        <v>1069.0333985937846</v>
      </c>
      <c r="L1980" s="5">
        <f t="shared" si="230"/>
        <v>0.13440364400918667</v>
      </c>
    </row>
    <row r="1981" spans="2:12">
      <c r="B1981">
        <v>19.271484375</v>
      </c>
      <c r="C1981">
        <v>3.2149329781532301</v>
      </c>
      <c r="D1981">
        <v>46.726339843749997</v>
      </c>
      <c r="E1981" s="5">
        <f t="shared" si="225"/>
        <v>46726.33984375</v>
      </c>
      <c r="F1981" s="5">
        <v>1.4401448424905501</v>
      </c>
      <c r="G1981">
        <f t="shared" si="226"/>
        <v>934.52679687499995</v>
      </c>
      <c r="H1981">
        <f t="shared" si="227"/>
        <v>0.144014484249055</v>
      </c>
      <c r="I1981">
        <f t="shared" si="228"/>
        <v>0.13654355393432185</v>
      </c>
      <c r="K1981" s="5">
        <f t="shared" si="229"/>
        <v>1069.1121915438744</v>
      </c>
      <c r="L1981" s="5">
        <f t="shared" si="230"/>
        <v>0.13454355393432185</v>
      </c>
    </row>
    <row r="1982" spans="2:12">
      <c r="B1982">
        <v>19.28125</v>
      </c>
      <c r="C1982">
        <v>3.2174841035157402</v>
      </c>
      <c r="D1982">
        <v>46.721929687500001</v>
      </c>
      <c r="E1982" s="5">
        <f t="shared" si="225"/>
        <v>46721.9296875</v>
      </c>
      <c r="F1982" s="5">
        <v>1.44178292248398</v>
      </c>
      <c r="G1982">
        <f t="shared" si="226"/>
        <v>934.43859375</v>
      </c>
      <c r="H1982">
        <f t="shared" si="227"/>
        <v>0.14417829224839801</v>
      </c>
      <c r="I1982">
        <f t="shared" si="228"/>
        <v>0.13668673068175807</v>
      </c>
      <c r="K1982" s="5">
        <f t="shared" si="229"/>
        <v>1069.1643544078695</v>
      </c>
      <c r="L1982" s="5">
        <f t="shared" si="230"/>
        <v>0.13468673068175807</v>
      </c>
    </row>
    <row r="1983" spans="2:12">
      <c r="B1983">
        <v>19.291015625</v>
      </c>
      <c r="C1983">
        <v>3.21833044290543</v>
      </c>
      <c r="D1983">
        <v>46.725699218750002</v>
      </c>
      <c r="E1983" s="5">
        <f t="shared" si="225"/>
        <v>46725.69921875</v>
      </c>
      <c r="F1983" s="5">
        <v>1.44355907104909</v>
      </c>
      <c r="G1983">
        <f t="shared" si="226"/>
        <v>934.51398437499995</v>
      </c>
      <c r="H1983">
        <f t="shared" si="227"/>
        <v>0.144355907104909</v>
      </c>
      <c r="I1983">
        <f t="shared" si="228"/>
        <v>0.13684195218285489</v>
      </c>
      <c r="K1983" s="5">
        <f t="shared" si="229"/>
        <v>1069.4165982916759</v>
      </c>
      <c r="L1983" s="5">
        <f t="shared" si="230"/>
        <v>0.13484195218285489</v>
      </c>
    </row>
    <row r="1984" spans="2:12">
      <c r="B1984">
        <v>19.30078125</v>
      </c>
      <c r="C1984">
        <v>3.2200841233134301</v>
      </c>
      <c r="D1984">
        <v>46.711898437499997</v>
      </c>
      <c r="E1984" s="5">
        <f t="shared" si="225"/>
        <v>46711.8984375</v>
      </c>
      <c r="F1984" s="5">
        <v>1.4452991308644401</v>
      </c>
      <c r="G1984">
        <f t="shared" si="226"/>
        <v>934.23796875000005</v>
      </c>
      <c r="H1984">
        <f t="shared" si="227"/>
        <v>0.144529913086444</v>
      </c>
      <c r="I1984">
        <f t="shared" si="228"/>
        <v>0.13699399644852789</v>
      </c>
      <c r="K1984" s="5">
        <f t="shared" si="229"/>
        <v>1069.2633011754936</v>
      </c>
      <c r="L1984" s="5">
        <f t="shared" si="230"/>
        <v>0.13499399644852789</v>
      </c>
    </row>
    <row r="1985" spans="2:12">
      <c r="B1985">
        <v>19.310546875</v>
      </c>
      <c r="C1985">
        <v>3.2217667903751099</v>
      </c>
      <c r="D1985">
        <v>46.688234375</v>
      </c>
      <c r="E1985" s="5">
        <f t="shared" si="225"/>
        <v>46688.234375</v>
      </c>
      <c r="F1985" s="5">
        <v>1.4469464076682901</v>
      </c>
      <c r="G1985">
        <f t="shared" si="226"/>
        <v>933.76468750000004</v>
      </c>
      <c r="H1985">
        <f t="shared" si="227"/>
        <v>0.144694640766829</v>
      </c>
      <c r="I1985">
        <f t="shared" si="228"/>
        <v>0.13713791215167911</v>
      </c>
      <c r="K1985" s="5">
        <f t="shared" si="229"/>
        <v>1068.8754335185629</v>
      </c>
      <c r="L1985" s="5">
        <f t="shared" si="230"/>
        <v>0.13513791215167911</v>
      </c>
    </row>
    <row r="1986" spans="2:12">
      <c r="B1986">
        <v>19.3203125</v>
      </c>
      <c r="C1986">
        <v>3.2226801849901698</v>
      </c>
      <c r="D1986">
        <v>46.6610625</v>
      </c>
      <c r="E1986" s="5">
        <f t="shared" si="225"/>
        <v>46661.0625</v>
      </c>
      <c r="F1986" s="5">
        <v>1.4485117280855799</v>
      </c>
      <c r="G1986">
        <f t="shared" si="226"/>
        <v>933.22125000000005</v>
      </c>
      <c r="H1986">
        <f t="shared" si="227"/>
        <v>0.144851172808558</v>
      </c>
      <c r="I1986">
        <f t="shared" si="228"/>
        <v>0.13727464847819829</v>
      </c>
      <c r="K1986" s="5">
        <f t="shared" si="229"/>
        <v>1068.3994425523686</v>
      </c>
      <c r="L1986" s="5">
        <f t="shared" si="230"/>
        <v>0.13527464847819828</v>
      </c>
    </row>
    <row r="1987" spans="2:12">
      <c r="B1987">
        <v>19.330078125</v>
      </c>
      <c r="C1987">
        <v>3.2242804300040002</v>
      </c>
      <c r="D1987">
        <v>46.659218750000001</v>
      </c>
      <c r="E1987" s="5">
        <f t="shared" si="225"/>
        <v>46659.21875</v>
      </c>
      <c r="F1987" s="5">
        <v>1.45016016904265</v>
      </c>
      <c r="G1987">
        <f t="shared" si="226"/>
        <v>933.18437500000005</v>
      </c>
      <c r="H1987">
        <f t="shared" si="227"/>
        <v>0.14501601690426499</v>
      </c>
      <c r="I1987">
        <f t="shared" si="228"/>
        <v>0.13741862547104072</v>
      </c>
      <c r="K1987" s="5">
        <f t="shared" si="229"/>
        <v>1068.511056099796</v>
      </c>
      <c r="L1987" s="5">
        <f t="shared" si="230"/>
        <v>0.13541862547104072</v>
      </c>
    </row>
    <row r="1988" spans="2:12">
      <c r="B1988">
        <v>19.33984375</v>
      </c>
      <c r="C1988">
        <v>3.2272934913635298</v>
      </c>
      <c r="D1988">
        <v>46.664375</v>
      </c>
      <c r="E1988" s="5">
        <f t="shared" si="225"/>
        <v>46664.375</v>
      </c>
      <c r="F1988" s="5">
        <v>1.4519296819344201</v>
      </c>
      <c r="G1988">
        <f t="shared" si="226"/>
        <v>933.28750000000002</v>
      </c>
      <c r="H1988">
        <f t="shared" si="227"/>
        <v>0.14519296819344202</v>
      </c>
      <c r="I1988">
        <f t="shared" si="228"/>
        <v>0.13757315397973202</v>
      </c>
      <c r="K1988" s="5">
        <f t="shared" si="229"/>
        <v>1068.794282302837</v>
      </c>
      <c r="L1988" s="5">
        <f t="shared" si="230"/>
        <v>0.13557315397973202</v>
      </c>
    </row>
    <row r="1989" spans="2:12">
      <c r="B1989">
        <v>19.349609375</v>
      </c>
      <c r="C1989">
        <v>3.22779710404575</v>
      </c>
      <c r="D1989">
        <v>46.672597656249998</v>
      </c>
      <c r="E1989" s="5">
        <f t="shared" si="225"/>
        <v>46672.59765625</v>
      </c>
      <c r="F1989" s="5">
        <v>1.4536060625687199</v>
      </c>
      <c r="G1989">
        <f t="shared" si="226"/>
        <v>933.45195312500005</v>
      </c>
      <c r="H1989">
        <f t="shared" si="227"/>
        <v>0.145360606256872</v>
      </c>
      <c r="I1989">
        <f t="shared" si="228"/>
        <v>0.13771952738535684</v>
      </c>
      <c r="K1989" s="5">
        <f t="shared" si="229"/>
        <v>1069.1390949429112</v>
      </c>
      <c r="L1989" s="5">
        <f t="shared" si="230"/>
        <v>0.13571952738535684</v>
      </c>
    </row>
    <row r="1990" spans="2:12">
      <c r="B1990">
        <v>19.359375</v>
      </c>
      <c r="C1990">
        <v>3.2306625507772</v>
      </c>
      <c r="D1990">
        <v>46.666031250000003</v>
      </c>
      <c r="E1990" s="5">
        <f t="shared" si="225"/>
        <v>46666.03125</v>
      </c>
      <c r="F1990" s="5">
        <v>1.45529035944492</v>
      </c>
      <c r="G1990">
        <f t="shared" si="226"/>
        <v>933.32062499999995</v>
      </c>
      <c r="H1990">
        <f t="shared" si="227"/>
        <v>0.14552903594449201</v>
      </c>
      <c r="I1990">
        <f t="shared" si="228"/>
        <v>0.13786657042472536</v>
      </c>
      <c r="K1990" s="5">
        <f t="shared" si="229"/>
        <v>1069.1458757833607</v>
      </c>
      <c r="L1990" s="5">
        <f t="shared" si="230"/>
        <v>0.13586657042472536</v>
      </c>
    </row>
    <row r="1991" spans="2:12">
      <c r="B1991">
        <v>19.369140625</v>
      </c>
      <c r="C1991">
        <v>3.2305673230439398</v>
      </c>
      <c r="D1991">
        <v>46.649417968750001</v>
      </c>
      <c r="E1991" s="5">
        <f t="shared" si="225"/>
        <v>46649.41796875</v>
      </c>
      <c r="F1991" s="5">
        <v>1.4569545164704301</v>
      </c>
      <c r="G1991">
        <f t="shared" si="226"/>
        <v>932.98835937499996</v>
      </c>
      <c r="H1991">
        <f t="shared" si="227"/>
        <v>0.14569545164704301</v>
      </c>
      <c r="I1991">
        <f t="shared" si="228"/>
        <v>0.1380118339759355</v>
      </c>
      <c r="K1991" s="5">
        <f t="shared" si="229"/>
        <v>1068.9205197755743</v>
      </c>
      <c r="L1991" s="5">
        <f t="shared" si="230"/>
        <v>0.1360118339759355</v>
      </c>
    </row>
    <row r="1992" spans="2:12">
      <c r="B1992">
        <v>19.37890625</v>
      </c>
      <c r="C1992">
        <v>3.2350048422813402</v>
      </c>
      <c r="D1992">
        <v>46.640746093750003</v>
      </c>
      <c r="E1992" s="5">
        <f t="shared" si="225"/>
        <v>46640.74609375</v>
      </c>
      <c r="F1992" s="5">
        <v>1.4585941098630399</v>
      </c>
      <c r="G1992">
        <f t="shared" si="226"/>
        <v>932.81492187499998</v>
      </c>
      <c r="H1992">
        <f t="shared" si="227"/>
        <v>0.14585941098630401</v>
      </c>
      <c r="I1992">
        <f t="shared" si="228"/>
        <v>0.13815493274456145</v>
      </c>
      <c r="K1992" s="5">
        <f t="shared" si="229"/>
        <v>1068.8747569389227</v>
      </c>
      <c r="L1992" s="5">
        <f t="shared" si="230"/>
        <v>0.13615493274456145</v>
      </c>
    </row>
    <row r="1993" spans="2:12">
      <c r="B1993">
        <v>19.388671875</v>
      </c>
      <c r="C1993">
        <v>3.2326220534741901</v>
      </c>
      <c r="D1993">
        <v>46.620496093749999</v>
      </c>
      <c r="E1993" s="5">
        <f t="shared" ref="E1993:E2056" si="231" xml:space="preserve"> D1993*R$3</f>
        <v>46620.49609375</v>
      </c>
      <c r="F1993" s="5">
        <v>1.46023614797741</v>
      </c>
      <c r="G1993">
        <f t="shared" ref="G1993:G2056" si="232" xml:space="preserve"> E1993/C$3</f>
        <v>932.40992187500001</v>
      </c>
      <c r="H1993">
        <f t="shared" ref="H1993:H2056" si="233" xml:space="preserve"> F1993/C$4</f>
        <v>0.14602361479774101</v>
      </c>
      <c r="I1993">
        <f t="shared" ref="I1993:I2056" si="234">L1993+0.002</f>
        <v>0.13829822436099259</v>
      </c>
      <c r="K1993" s="5">
        <f t="shared" ref="K1993:K2056" si="235" xml:space="preserve"> G1993 * (1 + H1993)</f>
        <v>1068.5637891404667</v>
      </c>
      <c r="L1993" s="5">
        <f t="shared" ref="L1993:L2056" si="236">LN(1 + H1993)</f>
        <v>0.13629822436099259</v>
      </c>
    </row>
    <row r="1994" spans="2:12">
      <c r="B1994">
        <v>19.3984375</v>
      </c>
      <c r="C1994">
        <v>3.2378407195210501</v>
      </c>
      <c r="D1994">
        <v>46.617589843749997</v>
      </c>
      <c r="E1994" s="5">
        <f t="shared" si="231"/>
        <v>46617.58984375</v>
      </c>
      <c r="F1994" s="5">
        <v>1.4618969289585899</v>
      </c>
      <c r="G1994">
        <f t="shared" si="232"/>
        <v>932.35179687499999</v>
      </c>
      <c r="H1994">
        <f t="shared" si="233"/>
        <v>0.14618969289585898</v>
      </c>
      <c r="I1994">
        <f t="shared" si="234"/>
        <v>0.13844313068175365</v>
      </c>
      <c r="K1994" s="5">
        <f t="shared" si="235"/>
        <v>1068.6520197310585</v>
      </c>
      <c r="L1994" s="5">
        <f t="shared" si="236"/>
        <v>0.13644313068175365</v>
      </c>
    </row>
    <row r="1995" spans="2:12">
      <c r="B1995">
        <v>19.408203125</v>
      </c>
      <c r="C1995">
        <v>3.2389715779572699</v>
      </c>
      <c r="D1995">
        <v>46.630445312500001</v>
      </c>
      <c r="E1995" s="5">
        <f t="shared" si="231"/>
        <v>46630.4453125</v>
      </c>
      <c r="F1995" s="5">
        <v>1.46364164538682</v>
      </c>
      <c r="G1995">
        <f t="shared" si="232"/>
        <v>932.60890625000002</v>
      </c>
      <c r="H1995">
        <f t="shared" si="233"/>
        <v>0.14636416453868201</v>
      </c>
      <c r="I1995">
        <f t="shared" si="234"/>
        <v>0.13859533791788375</v>
      </c>
      <c r="K1995" s="5">
        <f t="shared" si="235"/>
        <v>1069.1094296546153</v>
      </c>
      <c r="L1995" s="5">
        <f t="shared" si="236"/>
        <v>0.13659533791788375</v>
      </c>
    </row>
    <row r="1996" spans="2:12">
      <c r="B1996">
        <v>19.41796875</v>
      </c>
      <c r="C1996">
        <v>3.2411189749836899</v>
      </c>
      <c r="D1996">
        <v>46.613167968749998</v>
      </c>
      <c r="E1996" s="5">
        <f t="shared" si="231"/>
        <v>46613.16796875</v>
      </c>
      <c r="F1996" s="5">
        <v>1.4653729740530299</v>
      </c>
      <c r="G1996">
        <f t="shared" si="232"/>
        <v>932.26335937500005</v>
      </c>
      <c r="H1996">
        <f t="shared" si="233"/>
        <v>0.146537297405303</v>
      </c>
      <c r="I1996">
        <f t="shared" si="234"/>
        <v>0.13874635432205426</v>
      </c>
      <c r="K1996" s="5">
        <f t="shared" si="235"/>
        <v>1068.8747125278012</v>
      </c>
      <c r="L1996" s="5">
        <f t="shared" si="236"/>
        <v>0.13674635432205426</v>
      </c>
    </row>
    <row r="1997" spans="2:12">
      <c r="B1997">
        <v>19.427734375</v>
      </c>
      <c r="C1997">
        <v>3.2413676381111101</v>
      </c>
      <c r="D1997">
        <v>46.601480468749997</v>
      </c>
      <c r="E1997" s="5">
        <f t="shared" si="231"/>
        <v>46601.48046875</v>
      </c>
      <c r="F1997" s="5">
        <v>1.4669836964458201</v>
      </c>
      <c r="G1997">
        <f t="shared" si="232"/>
        <v>932.02960937499995</v>
      </c>
      <c r="H1997">
        <f t="shared" si="233"/>
        <v>0.14669836964458199</v>
      </c>
      <c r="I1997">
        <f t="shared" si="234"/>
        <v>0.13888683028085633</v>
      </c>
      <c r="K1997" s="5">
        <f t="shared" si="235"/>
        <v>1068.7568335307892</v>
      </c>
      <c r="L1997" s="5">
        <f t="shared" si="236"/>
        <v>0.13688683028085633</v>
      </c>
    </row>
    <row r="1998" spans="2:12">
      <c r="B1998">
        <v>19.4375</v>
      </c>
      <c r="C1998">
        <v>3.2433986198157099</v>
      </c>
      <c r="D1998">
        <v>46.601613281250003</v>
      </c>
      <c r="E1998" s="5">
        <f t="shared" si="231"/>
        <v>46601.61328125</v>
      </c>
      <c r="F1998" s="5">
        <v>1.46866193972528</v>
      </c>
      <c r="G1998">
        <f t="shared" si="232"/>
        <v>932.03226562500004</v>
      </c>
      <c r="H1998">
        <f t="shared" si="233"/>
        <v>0.14686619397252801</v>
      </c>
      <c r="I1998">
        <f t="shared" si="234"/>
        <v>0.13903317395123529</v>
      </c>
      <c r="K1998" s="5">
        <f t="shared" si="235"/>
        <v>1068.916297136936</v>
      </c>
      <c r="L1998" s="5">
        <f t="shared" si="236"/>
        <v>0.13703317395123529</v>
      </c>
    </row>
    <row r="1999" spans="2:12">
      <c r="B1999">
        <v>19.447265625</v>
      </c>
      <c r="C1999">
        <v>3.24446405284107</v>
      </c>
      <c r="D1999">
        <v>46.576621093749999</v>
      </c>
      <c r="E1999" s="5">
        <f t="shared" si="231"/>
        <v>46576.62109375</v>
      </c>
      <c r="F1999" s="5">
        <v>1.4703941997140599</v>
      </c>
      <c r="G1999">
        <f t="shared" si="232"/>
        <v>931.53242187499995</v>
      </c>
      <c r="H1999">
        <f t="shared" si="233"/>
        <v>0.14703941997140599</v>
      </c>
      <c r="I1999">
        <f t="shared" si="234"/>
        <v>0.13918420544804522</v>
      </c>
      <c r="K1999" s="5">
        <f t="shared" si="235"/>
        <v>1068.504408872059</v>
      </c>
      <c r="L1999" s="5">
        <f t="shared" si="236"/>
        <v>0.13718420544804522</v>
      </c>
    </row>
    <row r="2000" spans="2:12">
      <c r="B2000">
        <v>19.45703125</v>
      </c>
      <c r="C2000">
        <v>3.2457648776471602</v>
      </c>
      <c r="D2000">
        <v>46.578027343750001</v>
      </c>
      <c r="E2000" s="5">
        <f t="shared" si="231"/>
        <v>46578.02734375</v>
      </c>
      <c r="F2000" s="5">
        <v>1.4721439220011201</v>
      </c>
      <c r="G2000">
        <f t="shared" si="232"/>
        <v>931.560546875</v>
      </c>
      <c r="H2000">
        <f t="shared" si="233"/>
        <v>0.14721439220011201</v>
      </c>
      <c r="I2000">
        <f t="shared" si="234"/>
        <v>0.13933673628671431</v>
      </c>
      <c r="K2000" s="5">
        <f t="shared" si="235"/>
        <v>1068.6996665808069</v>
      </c>
      <c r="L2000" s="5">
        <f t="shared" si="236"/>
        <v>0.13733673628671431</v>
      </c>
    </row>
    <row r="2001" spans="2:12">
      <c r="B2001">
        <v>19.466796875</v>
      </c>
      <c r="C2001">
        <v>3.24831018224359</v>
      </c>
      <c r="D2001">
        <v>46.574257812500001</v>
      </c>
      <c r="E2001" s="5">
        <f t="shared" si="231"/>
        <v>46574.2578125</v>
      </c>
      <c r="F2001" s="5">
        <v>1.4738648897036899</v>
      </c>
      <c r="G2001">
        <f t="shared" si="232"/>
        <v>931.48515625000005</v>
      </c>
      <c r="H2001">
        <f t="shared" si="233"/>
        <v>0.14738648897036899</v>
      </c>
      <c r="I2001">
        <f t="shared" si="234"/>
        <v>0.13948673777236884</v>
      </c>
      <c r="K2001" s="5">
        <f t="shared" si="235"/>
        <v>1068.7734829577032</v>
      </c>
      <c r="L2001" s="5">
        <f t="shared" si="236"/>
        <v>0.13748673777236883</v>
      </c>
    </row>
    <row r="2002" spans="2:12">
      <c r="B2002">
        <v>19.4765625</v>
      </c>
      <c r="C2002">
        <v>3.2486333511769798</v>
      </c>
      <c r="D2002">
        <v>46.581906250000003</v>
      </c>
      <c r="E2002" s="5">
        <f t="shared" si="231"/>
        <v>46581.90625</v>
      </c>
      <c r="F2002" s="5">
        <v>1.47550657857209</v>
      </c>
      <c r="G2002">
        <f t="shared" si="232"/>
        <v>931.63812499999995</v>
      </c>
      <c r="H2002">
        <f t="shared" si="233"/>
        <v>0.147550657857209</v>
      </c>
      <c r="I2002">
        <f t="shared" si="234"/>
        <v>0.13962980825893695</v>
      </c>
      <c r="K2002" s="5">
        <f t="shared" si="235"/>
        <v>1069.1019432286066</v>
      </c>
      <c r="L2002" s="5">
        <f t="shared" si="236"/>
        <v>0.13762980825893695</v>
      </c>
    </row>
    <row r="2003" spans="2:12">
      <c r="B2003">
        <v>19.486328125</v>
      </c>
      <c r="C2003">
        <v>3.2512932084500799</v>
      </c>
      <c r="D2003">
        <v>46.577839843749999</v>
      </c>
      <c r="E2003" s="5">
        <f t="shared" si="231"/>
        <v>46577.83984375</v>
      </c>
      <c r="F2003" s="5">
        <v>1.47727970033884</v>
      </c>
      <c r="G2003">
        <f t="shared" si="232"/>
        <v>931.55679687500003</v>
      </c>
      <c r="H2003">
        <f t="shared" si="233"/>
        <v>0.14772797003388399</v>
      </c>
      <c r="I2003">
        <f t="shared" si="234"/>
        <v>0.13978430991714363</v>
      </c>
      <c r="K2003" s="5">
        <f t="shared" si="235"/>
        <v>1069.1737914486112</v>
      </c>
      <c r="L2003" s="5">
        <f t="shared" si="236"/>
        <v>0.13778430991714363</v>
      </c>
    </row>
    <row r="2004" spans="2:12">
      <c r="B2004">
        <v>19.49609375</v>
      </c>
      <c r="C2004">
        <v>3.2534149941056998</v>
      </c>
      <c r="D2004">
        <v>46.55590625</v>
      </c>
      <c r="E2004" s="5">
        <f t="shared" si="231"/>
        <v>46555.90625</v>
      </c>
      <c r="F2004" s="5">
        <v>1.47906271740794</v>
      </c>
      <c r="G2004">
        <f t="shared" si="232"/>
        <v>931.11812499999996</v>
      </c>
      <c r="H2004">
        <f t="shared" si="233"/>
        <v>0.14790627174079402</v>
      </c>
      <c r="I2004">
        <f t="shared" si="234"/>
        <v>0.13993964973916215</v>
      </c>
      <c r="K2004" s="5">
        <f t="shared" si="235"/>
        <v>1068.8363354190285</v>
      </c>
      <c r="L2004" s="5">
        <f t="shared" si="236"/>
        <v>0.13793964973916215</v>
      </c>
    </row>
    <row r="2005" spans="2:12">
      <c r="B2005">
        <v>19.505859375</v>
      </c>
      <c r="C2005">
        <v>3.2537220977246801</v>
      </c>
      <c r="D2005">
        <v>46.538824218750001</v>
      </c>
      <c r="E2005" s="5">
        <f t="shared" si="231"/>
        <v>46538.82421875</v>
      </c>
      <c r="F2005" s="5">
        <v>1.48077448830009</v>
      </c>
      <c r="G2005">
        <f t="shared" si="232"/>
        <v>930.776484375</v>
      </c>
      <c r="H2005">
        <f t="shared" si="233"/>
        <v>0.14807744883000901</v>
      </c>
      <c r="I2005">
        <f t="shared" si="234"/>
        <v>0.14008875975941054</v>
      </c>
      <c r="K2005" s="5">
        <f t="shared" si="235"/>
        <v>1068.6034916122146</v>
      </c>
      <c r="L2005" s="5">
        <f t="shared" si="236"/>
        <v>0.13808875975941054</v>
      </c>
    </row>
    <row r="2006" spans="2:12">
      <c r="B2006">
        <v>19.515625</v>
      </c>
      <c r="C2006">
        <v>3.2570243347436199</v>
      </c>
      <c r="D2006">
        <v>46.5296796875</v>
      </c>
      <c r="E2006" s="5">
        <f t="shared" si="231"/>
        <v>46529.6796875</v>
      </c>
      <c r="F2006" s="5">
        <v>1.4824385289102799</v>
      </c>
      <c r="G2006">
        <f t="shared" si="232"/>
        <v>930.59359374999997</v>
      </c>
      <c r="H2006">
        <f t="shared" si="233"/>
        <v>0.14824385289102798</v>
      </c>
      <c r="I2006">
        <f t="shared" si="234"/>
        <v>0.14023369075071873</v>
      </c>
      <c r="K2006" s="5">
        <f t="shared" si="235"/>
        <v>1068.5483735632079</v>
      </c>
      <c r="L2006" s="5">
        <f t="shared" si="236"/>
        <v>0.13823369075071873</v>
      </c>
    </row>
    <row r="2007" spans="2:12">
      <c r="B2007">
        <v>19.525390625</v>
      </c>
      <c r="C2007">
        <v>3.25772608630359</v>
      </c>
      <c r="D2007">
        <v>46.490363281249998</v>
      </c>
      <c r="E2007" s="5">
        <f t="shared" si="231"/>
        <v>46490.36328125</v>
      </c>
      <c r="F2007" s="5">
        <v>1.48411106783897</v>
      </c>
      <c r="G2007">
        <f t="shared" si="232"/>
        <v>929.80726562500001</v>
      </c>
      <c r="H2007">
        <f t="shared" si="233"/>
        <v>0.14841110678389699</v>
      </c>
      <c r="I2007">
        <f t="shared" si="234"/>
        <v>0.14037934074699707</v>
      </c>
      <c r="K2007" s="5">
        <f t="shared" si="235"/>
        <v>1067.800991012115</v>
      </c>
      <c r="L2007" s="5">
        <f t="shared" si="236"/>
        <v>0.13837934074699706</v>
      </c>
    </row>
    <row r="2008" spans="2:12">
      <c r="B2008">
        <v>19.53515625</v>
      </c>
      <c r="C2008">
        <v>3.25859198346734</v>
      </c>
      <c r="D2008">
        <v>46.511519531250002</v>
      </c>
      <c r="E2008" s="5">
        <f t="shared" si="231"/>
        <v>46511.51953125</v>
      </c>
      <c r="F2008" s="5">
        <v>1.48585147690028</v>
      </c>
      <c r="G2008">
        <f t="shared" si="232"/>
        <v>930.23039062500004</v>
      </c>
      <c r="H2008">
        <f t="shared" si="233"/>
        <v>0.14858514769002801</v>
      </c>
      <c r="I2008">
        <f t="shared" si="234"/>
        <v>0.14053087857046989</v>
      </c>
      <c r="K2008" s="5">
        <f t="shared" si="235"/>
        <v>1068.4488106017682</v>
      </c>
      <c r="L2008" s="5">
        <f t="shared" si="236"/>
        <v>0.13853087857046989</v>
      </c>
    </row>
    <row r="2009" spans="2:12">
      <c r="B2009">
        <v>19.544921875</v>
      </c>
      <c r="C2009">
        <v>3.2580925617366998</v>
      </c>
      <c r="D2009">
        <v>46.526480468750002</v>
      </c>
      <c r="E2009" s="5">
        <f t="shared" si="231"/>
        <v>46526.48046875</v>
      </c>
      <c r="F2009" s="5">
        <v>1.4875762863084701</v>
      </c>
      <c r="G2009">
        <f t="shared" si="232"/>
        <v>930.52960937499995</v>
      </c>
      <c r="H2009">
        <f t="shared" si="233"/>
        <v>0.14875762863084702</v>
      </c>
      <c r="I2009">
        <f t="shared" si="234"/>
        <v>0.14068103547602259</v>
      </c>
      <c r="K2009" s="5">
        <f t="shared" si="235"/>
        <v>1068.9529874364132</v>
      </c>
      <c r="L2009" s="5">
        <f t="shared" si="236"/>
        <v>0.13868103547602259</v>
      </c>
    </row>
    <row r="2010" spans="2:12">
      <c r="B2010">
        <v>19.5546875</v>
      </c>
      <c r="C2010">
        <v>3.2607123721390998</v>
      </c>
      <c r="D2010">
        <v>46.513511718750003</v>
      </c>
      <c r="E2010" s="5">
        <f t="shared" si="231"/>
        <v>46513.51171875</v>
      </c>
      <c r="F2010" s="5">
        <v>1.4893425395712301</v>
      </c>
      <c r="G2010">
        <f t="shared" si="232"/>
        <v>930.27023437499997</v>
      </c>
      <c r="H2010">
        <f t="shared" si="233"/>
        <v>0.14893425395712301</v>
      </c>
      <c r="I2010">
        <f t="shared" si="234"/>
        <v>0.14083477700069125</v>
      </c>
      <c r="K2010" s="5">
        <f t="shared" si="235"/>
        <v>1068.8193377101586</v>
      </c>
      <c r="L2010" s="5">
        <f t="shared" si="236"/>
        <v>0.13883477700069125</v>
      </c>
    </row>
    <row r="2011" spans="2:12">
      <c r="B2011">
        <v>19.564453125</v>
      </c>
      <c r="C2011">
        <v>3.2634332310408398</v>
      </c>
      <c r="D2011">
        <v>46.502183593749997</v>
      </c>
      <c r="E2011" s="5">
        <f t="shared" si="231"/>
        <v>46502.18359375</v>
      </c>
      <c r="F2011" s="5">
        <v>1.4910708414390701</v>
      </c>
      <c r="G2011">
        <f t="shared" si="232"/>
        <v>930.04367187499997</v>
      </c>
      <c r="H2011">
        <f t="shared" si="233"/>
        <v>0.149107084143907</v>
      </c>
      <c r="I2011">
        <f t="shared" si="234"/>
        <v>0.14098519221232772</v>
      </c>
      <c r="K2011" s="5">
        <f t="shared" si="235"/>
        <v>1068.7197719147739</v>
      </c>
      <c r="L2011" s="5">
        <f t="shared" si="236"/>
        <v>0.13898519221232772</v>
      </c>
    </row>
    <row r="2012" spans="2:12">
      <c r="B2012">
        <v>19.57421875</v>
      </c>
      <c r="C2012">
        <v>3.2652243971824602</v>
      </c>
      <c r="D2012">
        <v>46.47209765625</v>
      </c>
      <c r="E2012" s="5">
        <f t="shared" si="231"/>
        <v>46472.09765625</v>
      </c>
      <c r="F2012" s="5">
        <v>1.49281520862132</v>
      </c>
      <c r="G2012">
        <f t="shared" si="232"/>
        <v>929.44195312500005</v>
      </c>
      <c r="H2012">
        <f t="shared" si="233"/>
        <v>0.14928152086213201</v>
      </c>
      <c r="I2012">
        <f t="shared" si="234"/>
        <v>0.14113698266080107</v>
      </c>
      <c r="K2012" s="5">
        <f t="shared" si="235"/>
        <v>1068.1904614405705</v>
      </c>
      <c r="L2012" s="5">
        <f t="shared" si="236"/>
        <v>0.13913698266080107</v>
      </c>
    </row>
    <row r="2013" spans="2:12">
      <c r="B2013">
        <v>19.583984375</v>
      </c>
      <c r="C2013">
        <v>3.2671361695975101</v>
      </c>
      <c r="D2013">
        <v>46.465433593749999</v>
      </c>
      <c r="E2013" s="5">
        <f t="shared" si="231"/>
        <v>46465.43359375</v>
      </c>
      <c r="F2013" s="5">
        <v>1.4944364083930901</v>
      </c>
      <c r="G2013">
        <f t="shared" si="232"/>
        <v>929.30867187499996</v>
      </c>
      <c r="H2013">
        <f t="shared" si="233"/>
        <v>0.149443640839309</v>
      </c>
      <c r="I2013">
        <f t="shared" si="234"/>
        <v>0.14127803473622677</v>
      </c>
      <c r="K2013" s="5">
        <f t="shared" si="235"/>
        <v>1068.1879432635426</v>
      </c>
      <c r="L2013" s="5">
        <f t="shared" si="236"/>
        <v>0.13927803473622677</v>
      </c>
    </row>
    <row r="2014" spans="2:12">
      <c r="B2014">
        <v>19.59375</v>
      </c>
      <c r="C2014">
        <v>3.2670095097273602</v>
      </c>
      <c r="D2014">
        <v>46.457511718749998</v>
      </c>
      <c r="E2014" s="5">
        <f t="shared" si="231"/>
        <v>46457.51171875</v>
      </c>
      <c r="F2014" s="5">
        <v>1.4960803091526</v>
      </c>
      <c r="G2014">
        <f t="shared" si="232"/>
        <v>929.15023437499997</v>
      </c>
      <c r="H2014">
        <f t="shared" si="233"/>
        <v>0.14960803091526001</v>
      </c>
      <c r="I2014">
        <f t="shared" si="234"/>
        <v>0.14142104159270674</v>
      </c>
      <c r="K2014" s="5">
        <f t="shared" si="235"/>
        <v>1068.1585713642962</v>
      </c>
      <c r="L2014" s="5">
        <f t="shared" si="236"/>
        <v>0.13942104159270674</v>
      </c>
    </row>
    <row r="2015" spans="2:12">
      <c r="B2015">
        <v>19.603515625</v>
      </c>
      <c r="C2015">
        <v>3.26919998042285</v>
      </c>
      <c r="D2015">
        <v>46.440437500000002</v>
      </c>
      <c r="E2015" s="5">
        <f t="shared" si="231"/>
        <v>46440.4375</v>
      </c>
      <c r="F2015" s="5">
        <v>1.4977514510974299</v>
      </c>
      <c r="G2015">
        <f t="shared" si="232"/>
        <v>928.80875000000003</v>
      </c>
      <c r="H2015">
        <f t="shared" si="233"/>
        <v>0.14977514510974299</v>
      </c>
      <c r="I2015">
        <f t="shared" si="234"/>
        <v>0.14156639726593204</v>
      </c>
      <c r="K2015" s="5">
        <f t="shared" si="235"/>
        <v>1067.921215310449</v>
      </c>
      <c r="L2015" s="5">
        <f t="shared" si="236"/>
        <v>0.13956639726593204</v>
      </c>
    </row>
    <row r="2016" spans="2:12">
      <c r="B2016">
        <v>19.61328125</v>
      </c>
      <c r="C2016">
        <v>3.2721592579037</v>
      </c>
      <c r="D2016">
        <v>46.443468750000001</v>
      </c>
      <c r="E2016" s="5">
        <f t="shared" si="231"/>
        <v>46443.46875</v>
      </c>
      <c r="F2016" s="5">
        <v>1.49950617924333</v>
      </c>
      <c r="G2016">
        <f t="shared" si="232"/>
        <v>928.86937499999999</v>
      </c>
      <c r="H2016">
        <f t="shared" si="233"/>
        <v>0.14995061792433301</v>
      </c>
      <c r="I2016">
        <f t="shared" si="234"/>
        <v>0.14171900051780778</v>
      </c>
      <c r="K2016" s="5">
        <f t="shared" si="235"/>
        <v>1068.1539117522391</v>
      </c>
      <c r="L2016" s="5">
        <f t="shared" si="236"/>
        <v>0.13971900051780778</v>
      </c>
    </row>
    <row r="2017" spans="2:12">
      <c r="B2017">
        <v>19.623046875</v>
      </c>
      <c r="C2017">
        <v>3.2726898789405801</v>
      </c>
      <c r="D2017">
        <v>46.435109375000003</v>
      </c>
      <c r="E2017" s="5">
        <f t="shared" si="231"/>
        <v>46435.109375</v>
      </c>
      <c r="F2017" s="5">
        <v>1.5011983923614001</v>
      </c>
      <c r="G2017">
        <f t="shared" si="232"/>
        <v>928.70218750000004</v>
      </c>
      <c r="H2017">
        <f t="shared" si="233"/>
        <v>0.15011983923614</v>
      </c>
      <c r="I2017">
        <f t="shared" si="234"/>
        <v>0.1418661449773051</v>
      </c>
      <c r="K2017" s="5">
        <f t="shared" si="235"/>
        <v>1068.1188105857516</v>
      </c>
      <c r="L2017" s="5">
        <f t="shared" si="236"/>
        <v>0.1398661449773051</v>
      </c>
    </row>
    <row r="2018" spans="2:12">
      <c r="B2018">
        <v>19.6328125</v>
      </c>
      <c r="C2018">
        <v>3.27505334280431</v>
      </c>
      <c r="D2018">
        <v>46.415011718750002</v>
      </c>
      <c r="E2018" s="5">
        <f t="shared" si="231"/>
        <v>46415.01171875</v>
      </c>
      <c r="F2018" s="5">
        <v>1.5028861816972501</v>
      </c>
      <c r="G2018">
        <f t="shared" si="232"/>
        <v>928.30023437499995</v>
      </c>
      <c r="H2018">
        <f t="shared" si="233"/>
        <v>0.150288618169725</v>
      </c>
      <c r="I2018">
        <f t="shared" si="234"/>
        <v>0.14201288320837391</v>
      </c>
      <c r="K2018" s="5">
        <f t="shared" si="235"/>
        <v>1067.8131938458505</v>
      </c>
      <c r="L2018" s="5">
        <f t="shared" si="236"/>
        <v>0.14001288320837391</v>
      </c>
    </row>
    <row r="2019" spans="2:12">
      <c r="B2019">
        <v>19.642578125</v>
      </c>
      <c r="C2019">
        <v>3.2763227354735101</v>
      </c>
      <c r="D2019">
        <v>46.419351562499997</v>
      </c>
      <c r="E2019" s="5">
        <f t="shared" si="231"/>
        <v>46419.3515625</v>
      </c>
      <c r="F2019" s="5">
        <v>1.5045691980049001</v>
      </c>
      <c r="G2019">
        <f t="shared" si="232"/>
        <v>928.38703124999995</v>
      </c>
      <c r="H2019">
        <f t="shared" si="233"/>
        <v>0.15045691980049</v>
      </c>
      <c r="I2019">
        <f t="shared" si="234"/>
        <v>0.14215918502949026</v>
      </c>
      <c r="K2019" s="5">
        <f t="shared" si="235"/>
        <v>1068.0692843545962</v>
      </c>
      <c r="L2019" s="5">
        <f t="shared" si="236"/>
        <v>0.14015918502949026</v>
      </c>
    </row>
    <row r="2020" spans="2:12">
      <c r="B2020">
        <v>19.65234375</v>
      </c>
      <c r="C2020">
        <v>3.2774806022643999</v>
      </c>
      <c r="D2020">
        <v>46.414468749999997</v>
      </c>
      <c r="E2020" s="5">
        <f t="shared" si="231"/>
        <v>46414.46875</v>
      </c>
      <c r="F2020" s="5">
        <v>1.50626618415117</v>
      </c>
      <c r="G2020">
        <f t="shared" si="232"/>
        <v>928.28937499999995</v>
      </c>
      <c r="H2020">
        <f t="shared" si="233"/>
        <v>0.15062661841511699</v>
      </c>
      <c r="I2020">
        <f t="shared" si="234"/>
        <v>0.14230667955727813</v>
      </c>
      <c r="K2020" s="5">
        <f t="shared" si="235"/>
        <v>1068.1144644669325</v>
      </c>
      <c r="L2020" s="5">
        <f t="shared" si="236"/>
        <v>0.14030667955727813</v>
      </c>
    </row>
    <row r="2021" spans="2:12">
      <c r="B2021">
        <v>19.662109375</v>
      </c>
      <c r="C2021">
        <v>3.2804296351969202</v>
      </c>
      <c r="D2021">
        <v>46.41814453125</v>
      </c>
      <c r="E2021" s="5">
        <f t="shared" si="231"/>
        <v>46418.14453125</v>
      </c>
      <c r="F2021" s="5">
        <v>1.50801928248256</v>
      </c>
      <c r="G2021">
        <f t="shared" si="232"/>
        <v>928.36289062499998</v>
      </c>
      <c r="H2021">
        <f t="shared" si="233"/>
        <v>0.150801928248256</v>
      </c>
      <c r="I2021">
        <f t="shared" si="234"/>
        <v>0.14245902826585063</v>
      </c>
      <c r="K2021" s="5">
        <f t="shared" si="235"/>
        <v>1068.3618046453748</v>
      </c>
      <c r="L2021" s="5">
        <f t="shared" si="236"/>
        <v>0.14045902826585063</v>
      </c>
    </row>
    <row r="2022" spans="2:12">
      <c r="B2022">
        <v>19.671875</v>
      </c>
      <c r="C2022">
        <v>3.2810359261930002</v>
      </c>
      <c r="D2022">
        <v>46.421957031250003</v>
      </c>
      <c r="E2022" s="5">
        <f t="shared" si="231"/>
        <v>46421.95703125</v>
      </c>
      <c r="F2022" s="5">
        <v>1.50977598968893</v>
      </c>
      <c r="G2022">
        <f t="shared" si="232"/>
        <v>928.43914062500005</v>
      </c>
      <c r="H2022">
        <f t="shared" si="233"/>
        <v>0.15097759896889301</v>
      </c>
      <c r="I2022">
        <f t="shared" si="234"/>
        <v>0.14261166731655114</v>
      </c>
      <c r="K2022" s="5">
        <f t="shared" si="235"/>
        <v>1068.6126528653051</v>
      </c>
      <c r="L2022" s="5">
        <f t="shared" si="236"/>
        <v>0.14061166731655114</v>
      </c>
    </row>
    <row r="2023" spans="2:12">
      <c r="B2023">
        <v>19.681640625</v>
      </c>
      <c r="C2023">
        <v>3.28288367018104</v>
      </c>
      <c r="D2023">
        <v>46.38992578125</v>
      </c>
      <c r="E2023" s="5">
        <f t="shared" si="231"/>
        <v>46389.92578125</v>
      </c>
      <c r="F2023" s="5">
        <v>1.5115387504920399</v>
      </c>
      <c r="G2023">
        <f t="shared" si="232"/>
        <v>927.79851562500005</v>
      </c>
      <c r="H2023">
        <f t="shared" si="233"/>
        <v>0.151153875049204</v>
      </c>
      <c r="I2023">
        <f t="shared" si="234"/>
        <v>0.14276480894433824</v>
      </c>
      <c r="K2023" s="5">
        <f t="shared" si="235"/>
        <v>1068.0388565266182</v>
      </c>
      <c r="L2023" s="5">
        <f t="shared" si="236"/>
        <v>0.14076480894433824</v>
      </c>
    </row>
    <row r="2024" spans="2:12">
      <c r="B2024">
        <v>19.69140625</v>
      </c>
      <c r="C2024">
        <v>3.2845570240169799</v>
      </c>
      <c r="D2024">
        <v>46.364125000000001</v>
      </c>
      <c r="E2024" s="5">
        <f t="shared" si="231"/>
        <v>46364.125</v>
      </c>
      <c r="F2024" s="5">
        <v>1.5130887040868399</v>
      </c>
      <c r="G2024">
        <f t="shared" si="232"/>
        <v>927.28250000000003</v>
      </c>
      <c r="H2024">
        <f t="shared" si="233"/>
        <v>0.15130887040868399</v>
      </c>
      <c r="I2024">
        <f t="shared" si="234"/>
        <v>0.14289944335700774</v>
      </c>
      <c r="K2024" s="5">
        <f t="shared" si="235"/>
        <v>1067.5885676247406</v>
      </c>
      <c r="L2024" s="5">
        <f t="shared" si="236"/>
        <v>0.14089944335700774</v>
      </c>
    </row>
    <row r="2025" spans="2:12">
      <c r="B2025">
        <v>19.701171875</v>
      </c>
      <c r="C2025">
        <v>3.28534399159253</v>
      </c>
      <c r="D2025">
        <v>46.369464843750002</v>
      </c>
      <c r="E2025" s="5">
        <f t="shared" si="231"/>
        <v>46369.46484375</v>
      </c>
      <c r="F2025" s="5">
        <v>1.5148388920351901</v>
      </c>
      <c r="G2025">
        <f t="shared" si="232"/>
        <v>927.38929687500001</v>
      </c>
      <c r="H2025">
        <f t="shared" si="233"/>
        <v>0.15148388920351902</v>
      </c>
      <c r="I2025">
        <f t="shared" si="234"/>
        <v>0.14305144904179332</v>
      </c>
      <c r="K2025" s="5">
        <f t="shared" si="235"/>
        <v>1067.8738343713419</v>
      </c>
      <c r="L2025" s="5">
        <f t="shared" si="236"/>
        <v>0.14105144904179331</v>
      </c>
    </row>
    <row r="2026" spans="2:12">
      <c r="B2026">
        <v>19.7109375</v>
      </c>
      <c r="C2026">
        <v>3.2878562342375499</v>
      </c>
      <c r="D2026">
        <v>46.376957031250001</v>
      </c>
      <c r="E2026" s="5">
        <f t="shared" si="231"/>
        <v>46376.95703125</v>
      </c>
      <c r="F2026" s="5">
        <v>1.51665916200727</v>
      </c>
      <c r="G2026">
        <f t="shared" si="232"/>
        <v>927.53914062499996</v>
      </c>
      <c r="H2026">
        <f t="shared" si="233"/>
        <v>0.151665916200727</v>
      </c>
      <c r="I2026">
        <f t="shared" si="234"/>
        <v>0.14320951691663134</v>
      </c>
      <c r="K2026" s="5">
        <f t="shared" si="235"/>
        <v>1068.2152141999256</v>
      </c>
      <c r="L2026" s="5">
        <f t="shared" si="236"/>
        <v>0.14120951691663133</v>
      </c>
    </row>
    <row r="2027" spans="2:12">
      <c r="B2027">
        <v>19.720703125</v>
      </c>
      <c r="C2027">
        <v>3.2889544963836701</v>
      </c>
      <c r="D2027">
        <v>46.380644531249999</v>
      </c>
      <c r="E2027" s="5">
        <f t="shared" si="231"/>
        <v>46380.64453125</v>
      </c>
      <c r="F2027" s="5">
        <v>1.5183887444436599</v>
      </c>
      <c r="G2027">
        <f t="shared" si="232"/>
        <v>927.61289062499998</v>
      </c>
      <c r="H2027">
        <f t="shared" si="233"/>
        <v>0.151838874444366</v>
      </c>
      <c r="I2027">
        <f t="shared" si="234"/>
        <v>0.14335968655783754</v>
      </c>
      <c r="K2027" s="5">
        <f t="shared" si="235"/>
        <v>1068.4605878575846</v>
      </c>
      <c r="L2027" s="5">
        <f t="shared" si="236"/>
        <v>0.14135968655783754</v>
      </c>
    </row>
    <row r="2028" spans="2:12">
      <c r="B2028">
        <v>19.73046875</v>
      </c>
      <c r="C2028">
        <v>3.2918497454375002</v>
      </c>
      <c r="D2028">
        <v>46.377488281250002</v>
      </c>
      <c r="E2028" s="5">
        <f t="shared" si="231"/>
        <v>46377.48828125</v>
      </c>
      <c r="F2028" s="5">
        <v>1.52018829248846</v>
      </c>
      <c r="G2028">
        <f t="shared" si="232"/>
        <v>927.54976562499996</v>
      </c>
      <c r="H2028">
        <f t="shared" si="233"/>
        <v>0.15201882924884599</v>
      </c>
      <c r="I2028">
        <f t="shared" si="234"/>
        <v>0.14351590697419189</v>
      </c>
      <c r="K2028" s="5">
        <f t="shared" si="235"/>
        <v>1068.554795065354</v>
      </c>
      <c r="L2028" s="5">
        <f t="shared" si="236"/>
        <v>0.14151590697419189</v>
      </c>
    </row>
    <row r="2029" spans="2:12">
      <c r="B2029">
        <v>19.740234375</v>
      </c>
      <c r="C2029">
        <v>3.29300761222839</v>
      </c>
      <c r="D2029">
        <v>46.367503906250001</v>
      </c>
      <c r="E2029" s="5">
        <f t="shared" si="231"/>
        <v>46367.50390625</v>
      </c>
      <c r="F2029" s="5">
        <v>1.52192718815058</v>
      </c>
      <c r="G2029">
        <f t="shared" si="232"/>
        <v>927.35007812499998</v>
      </c>
      <c r="H2029">
        <f t="shared" si="233"/>
        <v>0.152192718815058</v>
      </c>
      <c r="I2029">
        <f t="shared" si="234"/>
        <v>0.14366683892025231</v>
      </c>
      <c r="K2029" s="5">
        <f t="shared" si="235"/>
        <v>1068.4860078082002</v>
      </c>
      <c r="L2029" s="5">
        <f t="shared" si="236"/>
        <v>0.14166683892025231</v>
      </c>
    </row>
    <row r="2030" spans="2:12">
      <c r="B2030">
        <v>19.75</v>
      </c>
      <c r="C2030">
        <v>3.2951699104160102</v>
      </c>
      <c r="D2030">
        <v>46.349273437500003</v>
      </c>
      <c r="E2030" s="5">
        <f t="shared" si="231"/>
        <v>46349.2734375</v>
      </c>
      <c r="F2030" s="5">
        <v>1.52373476885259</v>
      </c>
      <c r="G2030">
        <f t="shared" si="232"/>
        <v>926.98546875</v>
      </c>
      <c r="H2030">
        <f t="shared" si="233"/>
        <v>0.15237347688525898</v>
      </c>
      <c r="I2030">
        <f t="shared" si="234"/>
        <v>0.14382370841778189</v>
      </c>
      <c r="K2030" s="5">
        <f t="shared" si="235"/>
        <v>1068.2334676455491</v>
      </c>
      <c r="L2030" s="5">
        <f t="shared" si="236"/>
        <v>0.14182370841778189</v>
      </c>
    </row>
    <row r="2031" spans="2:12">
      <c r="B2031">
        <v>19.759765625</v>
      </c>
      <c r="C2031">
        <v>3.29674943350255</v>
      </c>
      <c r="D2031">
        <v>46.334292968749999</v>
      </c>
      <c r="E2031" s="5">
        <f t="shared" si="231"/>
        <v>46334.29296875</v>
      </c>
      <c r="F2031" s="5">
        <v>1.52549357153475</v>
      </c>
      <c r="G2031">
        <f t="shared" si="232"/>
        <v>926.68585937499995</v>
      </c>
      <c r="H2031">
        <f t="shared" si="233"/>
        <v>0.15254935715347501</v>
      </c>
      <c r="I2031">
        <f t="shared" si="234"/>
        <v>0.14397632113518841</v>
      </c>
      <c r="K2031" s="5">
        <f t="shared" si="235"/>
        <v>1068.0511915058719</v>
      </c>
      <c r="L2031" s="5">
        <f t="shared" si="236"/>
        <v>0.1419763211351884</v>
      </c>
    </row>
    <row r="2032" spans="2:12">
      <c r="B2032">
        <v>19.76953125</v>
      </c>
      <c r="C2032">
        <v>3.2974437344819298</v>
      </c>
      <c r="D2032">
        <v>46.33604296875</v>
      </c>
      <c r="E2032" s="5">
        <f t="shared" si="231"/>
        <v>46336.04296875</v>
      </c>
      <c r="F2032" s="5">
        <v>1.52720732148737</v>
      </c>
      <c r="G2032">
        <f t="shared" si="232"/>
        <v>926.72085937500003</v>
      </c>
      <c r="H2032">
        <f t="shared" si="233"/>
        <v>0.15272073214873699</v>
      </c>
      <c r="I2032">
        <f t="shared" si="234"/>
        <v>0.14412500219115046</v>
      </c>
      <c r="K2032" s="5">
        <f t="shared" si="235"/>
        <v>1068.2503475162566</v>
      </c>
      <c r="L2032" s="5">
        <f t="shared" si="236"/>
        <v>0.14212500219115046</v>
      </c>
    </row>
    <row r="2033" spans="2:12">
      <c r="B2033">
        <v>19.779296875</v>
      </c>
      <c r="C2033">
        <v>3.3001436386257401</v>
      </c>
      <c r="D2033">
        <v>46.327539062500001</v>
      </c>
      <c r="E2033" s="5">
        <f t="shared" si="231"/>
        <v>46327.5390625</v>
      </c>
      <c r="F2033" s="5">
        <v>1.52895087376237</v>
      </c>
      <c r="G2033">
        <f t="shared" si="232"/>
        <v>926.55078125</v>
      </c>
      <c r="H2033">
        <f t="shared" si="233"/>
        <v>0.152895087376237</v>
      </c>
      <c r="I2033">
        <f t="shared" si="234"/>
        <v>0.14427624614632792</v>
      </c>
      <c r="K2033" s="5">
        <f t="shared" si="235"/>
        <v>1068.2158439077393</v>
      </c>
      <c r="L2033" s="5">
        <f t="shared" si="236"/>
        <v>0.14227624614632792</v>
      </c>
    </row>
    <row r="2034" spans="2:12">
      <c r="B2034">
        <v>19.7890625</v>
      </c>
      <c r="C2034">
        <v>3.30214947462082</v>
      </c>
      <c r="D2034">
        <v>46.314566406250002</v>
      </c>
      <c r="E2034" s="5">
        <f t="shared" si="231"/>
        <v>46314.56640625</v>
      </c>
      <c r="F2034" s="5">
        <v>1.5308024594560301</v>
      </c>
      <c r="G2034">
        <f t="shared" si="232"/>
        <v>926.29132812499995</v>
      </c>
      <c r="H2034">
        <f t="shared" si="233"/>
        <v>0.15308024594560302</v>
      </c>
      <c r="I2034">
        <f t="shared" si="234"/>
        <v>0.14443683638950053</v>
      </c>
      <c r="K2034" s="5">
        <f t="shared" si="235"/>
        <v>1068.0882324516542</v>
      </c>
      <c r="L2034" s="5">
        <f t="shared" si="236"/>
        <v>0.14243683638950053</v>
      </c>
    </row>
    <row r="2035" spans="2:12">
      <c r="B2035">
        <v>19.798828125</v>
      </c>
      <c r="C2035">
        <v>3.3033059444278501</v>
      </c>
      <c r="D2035">
        <v>46.317687499999998</v>
      </c>
      <c r="E2035" s="5">
        <f t="shared" si="231"/>
        <v>46317.6875</v>
      </c>
      <c r="F2035" s="5">
        <v>1.5325043350458101</v>
      </c>
      <c r="G2035">
        <f t="shared" si="232"/>
        <v>926.35374999999999</v>
      </c>
      <c r="H2035">
        <f t="shared" si="233"/>
        <v>0.15325043350458101</v>
      </c>
      <c r="I2035">
        <f t="shared" si="234"/>
        <v>0.14458441935390648</v>
      </c>
      <c r="K2035" s="5">
        <f t="shared" si="235"/>
        <v>1068.3178637660942</v>
      </c>
      <c r="L2035" s="5">
        <f t="shared" si="236"/>
        <v>0.14258441935390648</v>
      </c>
    </row>
    <row r="2036" spans="2:12">
      <c r="B2036">
        <v>19.80859375</v>
      </c>
      <c r="C2036">
        <v>3.3030167687684302</v>
      </c>
      <c r="D2036">
        <v>46.306546875000002</v>
      </c>
      <c r="E2036" s="5">
        <f t="shared" si="231"/>
        <v>46306.546875</v>
      </c>
      <c r="F2036" s="5">
        <v>1.5342717524617899</v>
      </c>
      <c r="G2036">
        <f t="shared" si="232"/>
        <v>926.13093749999996</v>
      </c>
      <c r="H2036">
        <f t="shared" si="233"/>
        <v>0.15342717524617899</v>
      </c>
      <c r="I2036">
        <f t="shared" si="234"/>
        <v>0.14473766291189089</v>
      </c>
      <c r="K2036" s="5">
        <f t="shared" si="235"/>
        <v>1068.2245911487205</v>
      </c>
      <c r="L2036" s="5">
        <f t="shared" si="236"/>
        <v>0.14273766291189088</v>
      </c>
    </row>
    <row r="2037" spans="2:12">
      <c r="B2037">
        <v>19.818359375</v>
      </c>
      <c r="C2037">
        <v>3.3051446080207798</v>
      </c>
      <c r="D2037">
        <v>46.294304687500002</v>
      </c>
      <c r="E2037" s="5">
        <f t="shared" si="231"/>
        <v>46294.3046875</v>
      </c>
      <c r="F2037" s="5">
        <v>1.5360398683697001</v>
      </c>
      <c r="G2037">
        <f t="shared" si="232"/>
        <v>925.88609374999999</v>
      </c>
      <c r="H2037">
        <f t="shared" si="233"/>
        <v>0.15360398683697002</v>
      </c>
      <c r="I2037">
        <f t="shared" si="234"/>
        <v>0.14489094353856219</v>
      </c>
      <c r="K2037" s="5">
        <f t="shared" si="235"/>
        <v>1068.1058891069085</v>
      </c>
      <c r="L2037" s="5">
        <f t="shared" si="236"/>
        <v>0.14289094353856219</v>
      </c>
    </row>
    <row r="2038" spans="2:12">
      <c r="B2038">
        <v>19.828125</v>
      </c>
      <c r="C2038">
        <v>3.30954790115356</v>
      </c>
      <c r="D2038">
        <v>46.292789062499999</v>
      </c>
      <c r="E2038" s="5">
        <f t="shared" si="231"/>
        <v>46292.7890625</v>
      </c>
      <c r="F2038" s="5">
        <v>1.53783732093871</v>
      </c>
      <c r="G2038">
        <f t="shared" si="232"/>
        <v>925.85578124999995</v>
      </c>
      <c r="H2038">
        <f t="shared" si="233"/>
        <v>0.153783732093871</v>
      </c>
      <c r="I2038">
        <f t="shared" si="234"/>
        <v>0.14504674332529927</v>
      </c>
      <c r="K2038" s="5">
        <f t="shared" si="235"/>
        <v>1068.2373386713116</v>
      </c>
      <c r="L2038" s="5">
        <f t="shared" si="236"/>
        <v>0.14304674332529926</v>
      </c>
    </row>
    <row r="2039" spans="2:12">
      <c r="B2039">
        <v>19.837890625</v>
      </c>
      <c r="C2039">
        <v>3.31070576794446</v>
      </c>
      <c r="D2039">
        <v>46.277652343749999</v>
      </c>
      <c r="E2039" s="5">
        <f t="shared" si="231"/>
        <v>46277.65234375</v>
      </c>
      <c r="F2039" s="5">
        <v>1.5396312810480599</v>
      </c>
      <c r="G2039">
        <f t="shared" si="232"/>
        <v>925.55304687499995</v>
      </c>
      <c r="H2039">
        <f t="shared" si="233"/>
        <v>0.153963128104806</v>
      </c>
      <c r="I2039">
        <f t="shared" si="234"/>
        <v>0.14520221619313434</v>
      </c>
      <c r="K2039" s="5">
        <f t="shared" si="235"/>
        <v>1068.0540891988089</v>
      </c>
      <c r="L2039" s="5">
        <f t="shared" si="236"/>
        <v>0.14320221619313434</v>
      </c>
    </row>
    <row r="2040" spans="2:12">
      <c r="B2040">
        <v>19.84765625</v>
      </c>
      <c r="C2040">
        <v>3.3113106619566701</v>
      </c>
      <c r="D2040">
        <v>46.273152343749999</v>
      </c>
      <c r="E2040" s="5">
        <f t="shared" si="231"/>
        <v>46273.15234375</v>
      </c>
      <c r="F2040" s="5">
        <v>1.54133618343621</v>
      </c>
      <c r="G2040">
        <f t="shared" si="232"/>
        <v>925.46304687500003</v>
      </c>
      <c r="H2040">
        <f t="shared" si="233"/>
        <v>0.15413361834362099</v>
      </c>
      <c r="I2040">
        <f t="shared" si="234"/>
        <v>0.14534994850928401</v>
      </c>
      <c r="K2040" s="5">
        <f t="shared" si="235"/>
        <v>1068.108014933156</v>
      </c>
      <c r="L2040" s="5">
        <f t="shared" si="236"/>
        <v>0.14334994850928401</v>
      </c>
    </row>
    <row r="2041" spans="2:12">
      <c r="B2041">
        <v>19.857421875</v>
      </c>
      <c r="C2041">
        <v>3.3116354607045699</v>
      </c>
      <c r="D2041">
        <v>46.258933593750001</v>
      </c>
      <c r="E2041" s="5">
        <f t="shared" si="231"/>
        <v>46258.93359375</v>
      </c>
      <c r="F2041" s="5">
        <v>1.5431041829287999</v>
      </c>
      <c r="G2041">
        <f t="shared" si="232"/>
        <v>925.17867187499996</v>
      </c>
      <c r="H2041">
        <f t="shared" si="233"/>
        <v>0.15431041829288</v>
      </c>
      <c r="I2041">
        <f t="shared" si="234"/>
        <v>0.14550312523507747</v>
      </c>
      <c r="K2041" s="5">
        <f t="shared" si="235"/>
        <v>1067.9433797276824</v>
      </c>
      <c r="L2041" s="5">
        <f t="shared" si="236"/>
        <v>0.14350312523507747</v>
      </c>
    </row>
    <row r="2042" spans="2:12">
      <c r="B2042">
        <v>19.8671875</v>
      </c>
      <c r="C2042">
        <v>3.3137770369648898</v>
      </c>
      <c r="D2042">
        <v>46.247566406250002</v>
      </c>
      <c r="E2042" s="5">
        <f t="shared" si="231"/>
        <v>46247.56640625</v>
      </c>
      <c r="F2042" s="5">
        <v>1.54488207772374</v>
      </c>
      <c r="G2042">
        <f t="shared" si="232"/>
        <v>924.95132812500003</v>
      </c>
      <c r="H2042">
        <f t="shared" si="233"/>
        <v>0.15448820777237399</v>
      </c>
      <c r="I2042">
        <f t="shared" si="234"/>
        <v>0.14565713561765317</v>
      </c>
      <c r="K2042" s="5">
        <f t="shared" si="235"/>
        <v>1067.8454010837083</v>
      </c>
      <c r="L2042" s="5">
        <f t="shared" si="236"/>
        <v>0.14365713561765317</v>
      </c>
    </row>
    <row r="2043" spans="2:12">
      <c r="B2043">
        <v>19.876953125</v>
      </c>
      <c r="C2043">
        <v>3.3150359522551298</v>
      </c>
      <c r="D2043">
        <v>46.229792968749997</v>
      </c>
      <c r="E2043" s="5">
        <f t="shared" si="231"/>
        <v>46229.79296875</v>
      </c>
      <c r="F2043" s="5">
        <v>1.54665939044207</v>
      </c>
      <c r="G2043">
        <f t="shared" si="232"/>
        <v>924.59585937500003</v>
      </c>
      <c r="H2043">
        <f t="shared" si="233"/>
        <v>0.154665939044207</v>
      </c>
      <c r="I2043">
        <f t="shared" si="234"/>
        <v>0.14581107187386105</v>
      </c>
      <c r="K2043" s="5">
        <f t="shared" si="235"/>
        <v>1067.5993462016199</v>
      </c>
      <c r="L2043" s="5">
        <f t="shared" si="236"/>
        <v>0.14381107187386105</v>
      </c>
    </row>
    <row r="2044" spans="2:12">
      <c r="B2044">
        <v>19.88671875</v>
      </c>
      <c r="C2044">
        <v>3.3180520404130198</v>
      </c>
      <c r="D2044">
        <v>46.215406250000001</v>
      </c>
      <c r="E2044" s="5">
        <f t="shared" si="231"/>
        <v>46215.40625</v>
      </c>
      <c r="F2044" s="5">
        <v>1.5484389150515201</v>
      </c>
      <c r="G2044">
        <f t="shared" si="232"/>
        <v>924.30812500000002</v>
      </c>
      <c r="H2044">
        <f t="shared" si="233"/>
        <v>0.15484389150515201</v>
      </c>
      <c r="I2044">
        <f t="shared" si="234"/>
        <v>0.1459651759689754</v>
      </c>
      <c r="K2044" s="5">
        <f t="shared" si="235"/>
        <v>1067.4315920248305</v>
      </c>
      <c r="L2044" s="5">
        <f t="shared" si="236"/>
        <v>0.1439651759689754</v>
      </c>
    </row>
    <row r="2045" spans="2:12">
      <c r="B2045">
        <v>19.896484375</v>
      </c>
      <c r="C2045">
        <v>3.3197000157088001</v>
      </c>
      <c r="D2045">
        <v>46.207789062499998</v>
      </c>
      <c r="E2045" s="5">
        <f t="shared" si="231"/>
        <v>46207.7890625</v>
      </c>
      <c r="F2045" s="5">
        <v>1.55018002260476</v>
      </c>
      <c r="G2045">
        <f t="shared" si="232"/>
        <v>924.15578125000002</v>
      </c>
      <c r="H2045">
        <f t="shared" si="233"/>
        <v>0.15501800226047599</v>
      </c>
      <c r="I2045">
        <f t="shared" si="234"/>
        <v>0.14611593022499703</v>
      </c>
      <c r="K2045" s="5">
        <f t="shared" si="235"/>
        <v>1067.4165642368444</v>
      </c>
      <c r="L2045" s="5">
        <f t="shared" si="236"/>
        <v>0.14411593022499702</v>
      </c>
    </row>
    <row r="2046" spans="2:12">
      <c r="B2046">
        <v>19.90625</v>
      </c>
      <c r="C2046">
        <v>3.32114542834461</v>
      </c>
      <c r="D2046">
        <v>46.213156249999997</v>
      </c>
      <c r="E2046" s="5">
        <f t="shared" si="231"/>
        <v>46213.15625</v>
      </c>
      <c r="F2046" s="5">
        <v>1.55193253885955</v>
      </c>
      <c r="G2046">
        <f t="shared" si="232"/>
        <v>924.26312499999995</v>
      </c>
      <c r="H2046">
        <f t="shared" si="233"/>
        <v>0.15519325388595501</v>
      </c>
      <c r="I2046">
        <f t="shared" si="234"/>
        <v>0.14626764935920961</v>
      </c>
      <c r="K2046" s="5">
        <f t="shared" si="235"/>
        <v>1067.7025268155512</v>
      </c>
      <c r="L2046" s="5">
        <f t="shared" si="236"/>
        <v>0.1442676493592096</v>
      </c>
    </row>
    <row r="2047" spans="2:12">
      <c r="B2047">
        <v>19.916015625</v>
      </c>
      <c r="C2047">
        <v>3.32250888459384</v>
      </c>
      <c r="D2047">
        <v>46.185285156250004</v>
      </c>
      <c r="E2047" s="5">
        <f t="shared" si="231"/>
        <v>46185.28515625</v>
      </c>
      <c r="F2047" s="5">
        <v>1.5536907594650999</v>
      </c>
      <c r="G2047">
        <f t="shared" si="232"/>
        <v>923.70570312500001</v>
      </c>
      <c r="H2047">
        <f t="shared" si="233"/>
        <v>0.15536907594651</v>
      </c>
      <c r="I2047">
        <f t="shared" si="234"/>
        <v>0.14641983920375459</v>
      </c>
      <c r="K2047" s="5">
        <f t="shared" si="235"/>
        <v>1067.2210046660525</v>
      </c>
      <c r="L2047" s="5">
        <f t="shared" si="236"/>
        <v>0.14441983920375459</v>
      </c>
    </row>
    <row r="2048" spans="2:12">
      <c r="B2048">
        <v>19.92578125</v>
      </c>
      <c r="C2048">
        <v>3.3238797914236802</v>
      </c>
      <c r="D2048">
        <v>46.185355468749997</v>
      </c>
      <c r="E2048" s="5">
        <f t="shared" si="231"/>
        <v>46185.35546875</v>
      </c>
      <c r="F2048" s="5">
        <v>1.5553063713014099</v>
      </c>
      <c r="G2048">
        <f t="shared" si="232"/>
        <v>923.70710937499996</v>
      </c>
      <c r="H2048">
        <f t="shared" si="233"/>
        <v>0.15553063713014098</v>
      </c>
      <c r="I2048">
        <f t="shared" si="234"/>
        <v>0.14655966455660741</v>
      </c>
      <c r="K2048" s="5">
        <f t="shared" si="235"/>
        <v>1067.3718646177347</v>
      </c>
      <c r="L2048" s="5">
        <f t="shared" si="236"/>
        <v>0.1445596645566074</v>
      </c>
    </row>
    <row r="2049" spans="2:12">
      <c r="B2049">
        <v>19.935546875</v>
      </c>
      <c r="C2049">
        <v>3.3258721232414201</v>
      </c>
      <c r="D2049">
        <v>46.186640625000003</v>
      </c>
      <c r="E2049" s="5">
        <f t="shared" si="231"/>
        <v>46186.640625</v>
      </c>
      <c r="F2049" s="5">
        <v>1.55715842265636</v>
      </c>
      <c r="G2049">
        <f t="shared" si="232"/>
        <v>923.73281250000002</v>
      </c>
      <c r="H2049">
        <f t="shared" si="233"/>
        <v>0.15571584226563601</v>
      </c>
      <c r="I2049">
        <f t="shared" si="234"/>
        <v>0.14671992884476739</v>
      </c>
      <c r="K2049" s="5">
        <f t="shared" si="235"/>
        <v>1067.5726454268422</v>
      </c>
      <c r="L2049" s="5">
        <f t="shared" si="236"/>
        <v>0.14471992884476739</v>
      </c>
    </row>
    <row r="2050" spans="2:12">
      <c r="B2050">
        <v>19.9453125</v>
      </c>
      <c r="C2050">
        <v>3.3255429007113002</v>
      </c>
      <c r="D2050">
        <v>46.170996093749999</v>
      </c>
      <c r="E2050" s="5">
        <f t="shared" si="231"/>
        <v>46170.99609375</v>
      </c>
      <c r="F2050" s="5">
        <v>1.55897787772119</v>
      </c>
      <c r="G2050">
        <f t="shared" si="232"/>
        <v>923.419921875</v>
      </c>
      <c r="H2050">
        <f t="shared" si="233"/>
        <v>0.15589778777211899</v>
      </c>
      <c r="I2050">
        <f t="shared" si="234"/>
        <v>0.14687734745875597</v>
      </c>
      <c r="K2050" s="5">
        <f t="shared" si="235"/>
        <v>1067.3790448800155</v>
      </c>
      <c r="L2050" s="5">
        <f t="shared" si="236"/>
        <v>0.14487734745875597</v>
      </c>
    </row>
    <row r="2051" spans="2:12">
      <c r="B2051">
        <v>19.955078125</v>
      </c>
      <c r="C2051">
        <v>3.33033199422061</v>
      </c>
      <c r="D2051">
        <v>46.183687499999998</v>
      </c>
      <c r="E2051" s="5">
        <f t="shared" si="231"/>
        <v>46183.6875</v>
      </c>
      <c r="F2051" s="5">
        <v>1.56077719293535</v>
      </c>
      <c r="G2051">
        <f t="shared" si="232"/>
        <v>923.67375000000004</v>
      </c>
      <c r="H2051">
        <f t="shared" si="233"/>
        <v>0.15607771929353501</v>
      </c>
      <c r="I2051">
        <f t="shared" si="234"/>
        <v>0.14703299921304949</v>
      </c>
      <c r="K2051" s="5">
        <f t="shared" si="235"/>
        <v>1067.8386422713068</v>
      </c>
      <c r="L2051" s="5">
        <f t="shared" si="236"/>
        <v>0.14503299921304949</v>
      </c>
    </row>
    <row r="2052" spans="2:12">
      <c r="B2052">
        <v>19.96484375</v>
      </c>
      <c r="C2052">
        <v>3.3304407261311999</v>
      </c>
      <c r="D2052">
        <v>46.159023437499997</v>
      </c>
      <c r="E2052" s="5">
        <f t="shared" si="231"/>
        <v>46159.0234375</v>
      </c>
      <c r="F2052" s="5">
        <v>1.5624746447429101</v>
      </c>
      <c r="G2052">
        <f t="shared" si="232"/>
        <v>923.18046875000005</v>
      </c>
      <c r="H2052">
        <f t="shared" si="233"/>
        <v>0.156247464474291</v>
      </c>
      <c r="I2052">
        <f t="shared" si="234"/>
        <v>0.14717981695499388</v>
      </c>
      <c r="K2052" s="5">
        <f t="shared" si="235"/>
        <v>1067.4250762443751</v>
      </c>
      <c r="L2052" s="5">
        <f t="shared" si="236"/>
        <v>0.14517981695499388</v>
      </c>
    </row>
    <row r="2053" spans="2:12">
      <c r="B2053">
        <v>19.974609375</v>
      </c>
      <c r="C2053">
        <v>3.3329725265502899</v>
      </c>
      <c r="D2053">
        <v>46.164632812500003</v>
      </c>
      <c r="E2053" s="5">
        <f t="shared" si="231"/>
        <v>46164.6328125</v>
      </c>
      <c r="F2053" s="5">
        <v>1.56432378571481</v>
      </c>
      <c r="G2053">
        <f t="shared" si="232"/>
        <v>923.29265625000005</v>
      </c>
      <c r="H2053">
        <f t="shared" si="233"/>
        <v>0.15643237857148101</v>
      </c>
      <c r="I2053">
        <f t="shared" si="234"/>
        <v>0.14733973022456295</v>
      </c>
      <c r="K2053" s="5">
        <f t="shared" si="235"/>
        <v>1067.7255225847682</v>
      </c>
      <c r="L2053" s="5">
        <f t="shared" si="236"/>
        <v>0.14533973022456295</v>
      </c>
    </row>
    <row r="2054" spans="2:12">
      <c r="B2054">
        <v>19.984375</v>
      </c>
      <c r="C2054">
        <v>3.33449384197593</v>
      </c>
      <c r="D2054">
        <v>46.165511718749997</v>
      </c>
      <c r="E2054" s="5">
        <f t="shared" si="231"/>
        <v>46165.51171875</v>
      </c>
      <c r="F2054" s="5">
        <v>1.5661908546462699</v>
      </c>
      <c r="G2054">
        <f t="shared" si="232"/>
        <v>923.31023437500005</v>
      </c>
      <c r="H2054">
        <f t="shared" si="233"/>
        <v>0.15661908546462699</v>
      </c>
      <c r="I2054">
        <f t="shared" si="234"/>
        <v>0.14750116795861642</v>
      </c>
      <c r="K2054" s="5">
        <f t="shared" si="235"/>
        <v>1067.9182388829429</v>
      </c>
      <c r="L2054" s="5">
        <f t="shared" si="236"/>
        <v>0.14550116795861642</v>
      </c>
    </row>
    <row r="2055" spans="2:12">
      <c r="B2055">
        <v>19.994140625</v>
      </c>
      <c r="C2055">
        <v>3.3345564734190698</v>
      </c>
      <c r="D2055">
        <v>46.138312499999998</v>
      </c>
      <c r="E2055" s="5">
        <f t="shared" si="231"/>
        <v>46138.3125</v>
      </c>
      <c r="F2055" s="5">
        <v>1.56793498899788</v>
      </c>
      <c r="G2055">
        <f t="shared" si="232"/>
        <v>922.76625000000001</v>
      </c>
      <c r="H2055">
        <f t="shared" si="233"/>
        <v>0.156793498899788</v>
      </c>
      <c r="I2055">
        <f t="shared" si="234"/>
        <v>0.14765195250666494</v>
      </c>
      <c r="K2055" s="5">
        <f t="shared" si="235"/>
        <v>1067.4499990041365</v>
      </c>
      <c r="L2055" s="5">
        <f t="shared" si="236"/>
        <v>0.14565195250666493</v>
      </c>
    </row>
    <row r="2056" spans="2:12">
      <c r="B2056">
        <v>20.00390625</v>
      </c>
      <c r="C2056">
        <v>3.3378794323653</v>
      </c>
      <c r="D2056">
        <v>46.110312499999999</v>
      </c>
      <c r="E2056" s="5">
        <f t="shared" si="231"/>
        <v>46110.3125</v>
      </c>
      <c r="F2056" s="5">
        <v>1.5696188202127801</v>
      </c>
      <c r="G2056">
        <f t="shared" si="232"/>
        <v>922.20624999999995</v>
      </c>
      <c r="H2056">
        <f t="shared" si="233"/>
        <v>0.156961882021278</v>
      </c>
      <c r="I2056">
        <f t="shared" si="234"/>
        <v>0.14779750213838103</v>
      </c>
      <c r="K2056" s="5">
        <f t="shared" si="235"/>
        <v>1066.9574786117851</v>
      </c>
      <c r="L2056" s="5">
        <f t="shared" si="236"/>
        <v>0.14579750213838102</v>
      </c>
    </row>
    <row r="2057" spans="2:12">
      <c r="B2057">
        <v>20.013671875</v>
      </c>
      <c r="C2057">
        <v>3.33903287537396</v>
      </c>
      <c r="D2057">
        <v>46.102355468749998</v>
      </c>
      <c r="E2057" s="5">
        <f t="shared" ref="E2057:E2120" si="237" xml:space="preserve"> D2057*R$3</f>
        <v>46102.35546875</v>
      </c>
      <c r="F2057" s="5">
        <v>1.5713376924395599</v>
      </c>
      <c r="G2057">
        <f t="shared" ref="G2057:G2120" si="238" xml:space="preserve"> E2057/C$3</f>
        <v>922.04710937499999</v>
      </c>
      <c r="H2057">
        <f t="shared" ref="H2057:H2120" si="239" xml:space="preserve"> F2057/C$4</f>
        <v>0.157133769243956</v>
      </c>
      <c r="I2057">
        <f t="shared" ref="I2057:I2120" si="240">L2057+0.002</f>
        <v>0.14794605885244794</v>
      </c>
      <c r="K2057" s="5">
        <f t="shared" ref="K2057:K2120" si="241" xml:space="preserve"> G2057 * (1 + H2057)</f>
        <v>1066.931847091588</v>
      </c>
      <c r="L2057" s="5">
        <f t="shared" ref="L2057:L2120" si="242">LN(1 + H2057)</f>
        <v>0.14594605885244794</v>
      </c>
    </row>
    <row r="2058" spans="2:12">
      <c r="B2058">
        <v>20.0234375</v>
      </c>
      <c r="C2058">
        <v>3.3408687449991699</v>
      </c>
      <c r="D2058">
        <v>46.097042968750003</v>
      </c>
      <c r="E2058" s="5">
        <f t="shared" si="237"/>
        <v>46097.04296875</v>
      </c>
      <c r="F2058" s="5">
        <v>1.5732403844595</v>
      </c>
      <c r="G2058">
        <f t="shared" si="238"/>
        <v>921.94085937499995</v>
      </c>
      <c r="H2058">
        <f t="shared" si="239"/>
        <v>0.15732403844595</v>
      </c>
      <c r="I2058">
        <f t="shared" si="240"/>
        <v>0.14811047680104081</v>
      </c>
      <c r="K2058" s="5">
        <f t="shared" si="241"/>
        <v>1066.9843185802047</v>
      </c>
      <c r="L2058" s="5">
        <f t="shared" si="242"/>
        <v>0.14611047680104081</v>
      </c>
    </row>
    <row r="2059" spans="2:12">
      <c r="B2059">
        <v>20.033203125</v>
      </c>
      <c r="C2059">
        <v>3.34122171625495</v>
      </c>
      <c r="D2059">
        <v>46.101101562499998</v>
      </c>
      <c r="E2059" s="5">
        <f t="shared" si="237"/>
        <v>46101.1015625</v>
      </c>
      <c r="F2059" s="5">
        <v>1.57494551967829</v>
      </c>
      <c r="G2059">
        <f t="shared" si="238"/>
        <v>922.02203125000005</v>
      </c>
      <c r="H2059">
        <f t="shared" si="239"/>
        <v>0.15749455196782899</v>
      </c>
      <c r="I2059">
        <f t="shared" si="240"/>
        <v>0.14825780024391758</v>
      </c>
      <c r="K2059" s="5">
        <f t="shared" si="241"/>
        <v>1067.2354779661864</v>
      </c>
      <c r="L2059" s="5">
        <f t="shared" si="242"/>
        <v>0.14625780024391757</v>
      </c>
    </row>
    <row r="2060" spans="2:12">
      <c r="B2060">
        <v>20.04296875</v>
      </c>
      <c r="C2060">
        <v>3.34348832257092</v>
      </c>
      <c r="D2060">
        <v>46.090218749999998</v>
      </c>
      <c r="E2060" s="5">
        <f t="shared" si="237"/>
        <v>46090.21875</v>
      </c>
      <c r="F2060" s="5">
        <v>1.5767455333843801</v>
      </c>
      <c r="G2060">
        <f t="shared" si="238"/>
        <v>921.80437500000005</v>
      </c>
      <c r="H2060">
        <f t="shared" si="239"/>
        <v>0.15767455333843799</v>
      </c>
      <c r="I2060">
        <f t="shared" si="240"/>
        <v>0.14841329762901931</v>
      </c>
      <c r="K2060" s="5">
        <f t="shared" si="241"/>
        <v>1067.1494680935432</v>
      </c>
      <c r="L2060" s="5">
        <f t="shared" si="242"/>
        <v>0.14641329762901931</v>
      </c>
    </row>
    <row r="2061" spans="2:12">
      <c r="B2061">
        <v>20.052734375</v>
      </c>
      <c r="C2061">
        <v>3.34501871839166</v>
      </c>
      <c r="D2061">
        <v>46.080199218750003</v>
      </c>
      <c r="E2061" s="5">
        <f t="shared" si="237"/>
        <v>46080.19921875</v>
      </c>
      <c r="F2061" s="5">
        <v>1.5784872230142399</v>
      </c>
      <c r="G2061">
        <f t="shared" si="238"/>
        <v>921.60398437499998</v>
      </c>
      <c r="H2061">
        <f t="shared" si="239"/>
        <v>0.15784872230142399</v>
      </c>
      <c r="I2061">
        <f t="shared" si="240"/>
        <v>0.14856373357163905</v>
      </c>
      <c r="K2061" s="5">
        <f t="shared" si="241"/>
        <v>1067.0779957764953</v>
      </c>
      <c r="L2061" s="5">
        <f t="shared" si="242"/>
        <v>0.14656373357163904</v>
      </c>
    </row>
    <row r="2062" spans="2:12">
      <c r="B2062">
        <v>20.0625</v>
      </c>
      <c r="C2062">
        <v>3.3479020930826699</v>
      </c>
      <c r="D2062">
        <v>46.069878906249997</v>
      </c>
      <c r="E2062" s="5">
        <f t="shared" si="237"/>
        <v>46069.87890625</v>
      </c>
      <c r="F2062" s="5">
        <v>1.5803012065589399</v>
      </c>
      <c r="G2062">
        <f t="shared" si="238"/>
        <v>921.397578125</v>
      </c>
      <c r="H2062">
        <f t="shared" si="239"/>
        <v>0.158030120655894</v>
      </c>
      <c r="I2062">
        <f t="shared" si="240"/>
        <v>0.14872038974162191</v>
      </c>
      <c r="K2062" s="5">
        <f t="shared" si="241"/>
        <v>1067.0061485681424</v>
      </c>
      <c r="L2062" s="5">
        <f t="shared" si="242"/>
        <v>0.14672038974162191</v>
      </c>
    </row>
    <row r="2063" spans="2:12">
      <c r="B2063">
        <v>20.072265625</v>
      </c>
      <c r="C2063">
        <v>3.34866950288415</v>
      </c>
      <c r="D2063">
        <v>46.056808593749999</v>
      </c>
      <c r="E2063" s="5">
        <f t="shared" si="237"/>
        <v>46056.80859375</v>
      </c>
      <c r="F2063" s="5">
        <v>1.5821087872609501</v>
      </c>
      <c r="G2063">
        <f t="shared" si="238"/>
        <v>921.13617187499995</v>
      </c>
      <c r="H2063">
        <f t="shared" si="239"/>
        <v>0.15821087872609502</v>
      </c>
      <c r="I2063">
        <f t="shared" si="240"/>
        <v>0.14887646855260583</v>
      </c>
      <c r="K2063" s="5">
        <f t="shared" si="241"/>
        <v>1066.8699350537349</v>
      </c>
      <c r="L2063" s="5">
        <f t="shared" si="242"/>
        <v>0.14687646855260583</v>
      </c>
    </row>
    <row r="2064" spans="2:12">
      <c r="B2064">
        <v>20.08203125</v>
      </c>
      <c r="C2064">
        <v>3.3509954810142499</v>
      </c>
      <c r="D2064">
        <v>46.068667968749999</v>
      </c>
      <c r="E2064" s="5">
        <f t="shared" si="237"/>
        <v>46068.66796875</v>
      </c>
      <c r="F2064" s="5">
        <v>1.58392998855561</v>
      </c>
      <c r="G2064">
        <f t="shared" si="238"/>
        <v>921.37335937499995</v>
      </c>
      <c r="H2064">
        <f t="shared" si="239"/>
        <v>0.15839299885556099</v>
      </c>
      <c r="I2064">
        <f t="shared" si="240"/>
        <v>0.14903369882542342</v>
      </c>
      <c r="K2064" s="5">
        <f t="shared" si="241"/>
        <v>1067.3124488320286</v>
      </c>
      <c r="L2064" s="5">
        <f t="shared" si="242"/>
        <v>0.14703369882542341</v>
      </c>
    </row>
    <row r="2065" spans="2:12">
      <c r="B2065">
        <v>20.091796875</v>
      </c>
      <c r="C2065">
        <v>3.35222342982888</v>
      </c>
      <c r="D2065">
        <v>46.069863281250001</v>
      </c>
      <c r="E2065" s="5">
        <f t="shared" si="237"/>
        <v>46069.86328125</v>
      </c>
      <c r="F2065" s="5">
        <v>1.58570043276995</v>
      </c>
      <c r="G2065">
        <f t="shared" si="238"/>
        <v>921.39726562500005</v>
      </c>
      <c r="H2065">
        <f t="shared" si="239"/>
        <v>0.158570043276995</v>
      </c>
      <c r="I2065">
        <f t="shared" si="240"/>
        <v>0.14918652337942717</v>
      </c>
      <c r="K2065" s="5">
        <f t="shared" si="241"/>
        <v>1067.5032699104611</v>
      </c>
      <c r="L2065" s="5">
        <f t="shared" si="242"/>
        <v>0.14718652337942717</v>
      </c>
    </row>
    <row r="2066" spans="2:12">
      <c r="B2066">
        <v>20.1015625</v>
      </c>
      <c r="C2066">
        <v>3.3534003887325499</v>
      </c>
      <c r="D2066">
        <v>46.044316406249997</v>
      </c>
      <c r="E2066" s="5">
        <f t="shared" si="237"/>
        <v>46044.31640625</v>
      </c>
      <c r="F2066" s="5">
        <v>1.5874869422987099</v>
      </c>
      <c r="G2066">
        <f t="shared" si="238"/>
        <v>920.88632812499998</v>
      </c>
      <c r="H2066">
        <f t="shared" si="239"/>
        <v>0.15874869422987098</v>
      </c>
      <c r="I2066">
        <f t="shared" si="240"/>
        <v>0.14934071101908022</v>
      </c>
      <c r="K2066" s="5">
        <f t="shared" si="241"/>
        <v>1067.0758302489842</v>
      </c>
      <c r="L2066" s="5">
        <f t="shared" si="242"/>
        <v>0.14734071101908022</v>
      </c>
    </row>
    <row r="2067" spans="2:12">
      <c r="B2067">
        <v>20.111328125</v>
      </c>
      <c r="C2067">
        <v>3.35548212751746</v>
      </c>
      <c r="D2067">
        <v>46.0373515625</v>
      </c>
      <c r="E2067" s="5">
        <f t="shared" si="237"/>
        <v>46037.3515625</v>
      </c>
      <c r="F2067" s="5">
        <v>1.5893061645329001</v>
      </c>
      <c r="G2067">
        <f t="shared" si="238"/>
        <v>920.74703124999996</v>
      </c>
      <c r="H2067">
        <f t="shared" si="239"/>
        <v>0.15893061645329001</v>
      </c>
      <c r="I2067">
        <f t="shared" si="240"/>
        <v>0.14949769755552988</v>
      </c>
      <c r="K2067" s="5">
        <f t="shared" si="241"/>
        <v>1067.0819245240991</v>
      </c>
      <c r="L2067" s="5">
        <f t="shared" si="242"/>
        <v>0.14749769755552988</v>
      </c>
    </row>
    <row r="2068" spans="2:12">
      <c r="B2068">
        <v>20.12109375</v>
      </c>
      <c r="C2068">
        <v>3.3573582768440202</v>
      </c>
      <c r="D2068">
        <v>45.993558593750002</v>
      </c>
      <c r="E2068" s="5">
        <f t="shared" si="237"/>
        <v>45993.55859375</v>
      </c>
      <c r="F2068" s="5">
        <v>1.5910986112430701</v>
      </c>
      <c r="G2068">
        <f t="shared" si="238"/>
        <v>919.87117187499996</v>
      </c>
      <c r="H2068">
        <f t="shared" si="239"/>
        <v>0.159109861124307</v>
      </c>
      <c r="I2068">
        <f t="shared" si="240"/>
        <v>0.14965234944630401</v>
      </c>
      <c r="K2068" s="5">
        <f t="shared" si="241"/>
        <v>1066.2317462842846</v>
      </c>
      <c r="L2068" s="5">
        <f t="shared" si="242"/>
        <v>0.14765234944630401</v>
      </c>
    </row>
    <row r="2069" spans="2:12">
      <c r="B2069">
        <v>20.130859375</v>
      </c>
      <c r="C2069">
        <v>3.3586488571017998</v>
      </c>
      <c r="D2069">
        <v>45.996890624999999</v>
      </c>
      <c r="E2069" s="5">
        <f t="shared" si="237"/>
        <v>45996.890625</v>
      </c>
      <c r="F2069" s="5">
        <v>1.5928403008729199</v>
      </c>
      <c r="G2069">
        <f t="shared" si="238"/>
        <v>919.93781249999995</v>
      </c>
      <c r="H2069">
        <f t="shared" si="239"/>
        <v>0.159284030087292</v>
      </c>
      <c r="I2069">
        <f t="shared" si="240"/>
        <v>0.14980259912041929</v>
      </c>
      <c r="K2069" s="5">
        <f t="shared" si="241"/>
        <v>1066.4692147046876</v>
      </c>
      <c r="L2069" s="5">
        <f t="shared" si="242"/>
        <v>0.14780259912041929</v>
      </c>
    </row>
    <row r="2070" spans="2:12">
      <c r="B2070">
        <v>20.140625</v>
      </c>
      <c r="C2070">
        <v>3.36036225780845</v>
      </c>
      <c r="D2070">
        <v>45.974589843750003</v>
      </c>
      <c r="E2070" s="5">
        <f t="shared" si="237"/>
        <v>45974.58984375</v>
      </c>
      <c r="F2070" s="5">
        <v>1.5945105114951701</v>
      </c>
      <c r="G2070">
        <f t="shared" si="238"/>
        <v>919.49179687499998</v>
      </c>
      <c r="H2070">
        <f t="shared" si="239"/>
        <v>0.15945105114951702</v>
      </c>
      <c r="I2070">
        <f t="shared" si="240"/>
        <v>0.14994666134112361</v>
      </c>
      <c r="K2070" s="5">
        <f t="shared" si="241"/>
        <v>1066.1057304100771</v>
      </c>
      <c r="L2070" s="5">
        <f t="shared" si="242"/>
        <v>0.14794666134112361</v>
      </c>
    </row>
    <row r="2071" spans="2:12">
      <c r="B2071">
        <v>20.150390625</v>
      </c>
      <c r="C2071">
        <v>3.36232641711831</v>
      </c>
      <c r="D2071">
        <v>45.983867187500003</v>
      </c>
      <c r="E2071" s="5">
        <f t="shared" si="237"/>
        <v>45983.8671875</v>
      </c>
      <c r="F2071" s="5">
        <v>1.5962894540280099</v>
      </c>
      <c r="G2071">
        <f t="shared" si="238"/>
        <v>919.67734374999998</v>
      </c>
      <c r="H2071">
        <f t="shared" si="239"/>
        <v>0.15962894540280098</v>
      </c>
      <c r="I2071">
        <f t="shared" si="240"/>
        <v>0.15010007929470637</v>
      </c>
      <c r="K2071" s="5">
        <f t="shared" si="241"/>
        <v>1066.4844682436617</v>
      </c>
      <c r="L2071" s="5">
        <f t="shared" si="242"/>
        <v>0.14810007929470637</v>
      </c>
    </row>
    <row r="2072" spans="2:12">
      <c r="B2072">
        <v>20.16015625</v>
      </c>
      <c r="C2072">
        <v>3.3628344535827601</v>
      </c>
      <c r="D2072">
        <v>45.969808593750003</v>
      </c>
      <c r="E2072" s="5">
        <f t="shared" si="237"/>
        <v>45969.80859375</v>
      </c>
      <c r="F2072" s="5">
        <v>1.5980497701093599</v>
      </c>
      <c r="G2072">
        <f t="shared" si="238"/>
        <v>919.39617187500005</v>
      </c>
      <c r="H2072">
        <f t="shared" si="239"/>
        <v>0.15980497701093599</v>
      </c>
      <c r="I2072">
        <f t="shared" si="240"/>
        <v>0.15025186771753821</v>
      </c>
      <c r="K2072" s="5">
        <f t="shared" si="241"/>
        <v>1066.3202559854269</v>
      </c>
      <c r="L2072" s="5">
        <f t="shared" si="242"/>
        <v>0.1482518677175382</v>
      </c>
    </row>
    <row r="2073" spans="2:12">
      <c r="B2073">
        <v>20.169921875</v>
      </c>
      <c r="C2073">
        <v>3.3652544952929002</v>
      </c>
      <c r="D2073">
        <v>45.968328124999999</v>
      </c>
      <c r="E2073" s="5">
        <f t="shared" si="237"/>
        <v>45968.328125</v>
      </c>
      <c r="F2073" s="5">
        <v>1.59980938769877</v>
      </c>
      <c r="G2073">
        <f t="shared" si="238"/>
        <v>919.36656249999999</v>
      </c>
      <c r="H2073">
        <f t="shared" si="239"/>
        <v>0.15998093876987701</v>
      </c>
      <c r="I2073">
        <f t="shared" si="240"/>
        <v>0.15040357288833128</v>
      </c>
      <c r="K2073" s="5">
        <f t="shared" si="241"/>
        <v>1066.4476882423846</v>
      </c>
      <c r="L2073" s="5">
        <f t="shared" si="242"/>
        <v>0.14840357288833128</v>
      </c>
    </row>
    <row r="2074" spans="2:12">
      <c r="B2074">
        <v>20.1796875</v>
      </c>
      <c r="C2074">
        <v>3.36655229330063</v>
      </c>
      <c r="D2074">
        <v>45.948605468750003</v>
      </c>
      <c r="E2074" s="5">
        <f t="shared" si="237"/>
        <v>45948.60546875</v>
      </c>
      <c r="F2074" s="5">
        <v>1.6016100998967899</v>
      </c>
      <c r="G2074">
        <f t="shared" si="238"/>
        <v>918.97210937499995</v>
      </c>
      <c r="H2074">
        <f t="shared" si="239"/>
        <v>0.160161009989679</v>
      </c>
      <c r="I2074">
        <f t="shared" si="240"/>
        <v>0.15055879720144708</v>
      </c>
      <c r="K2074" s="5">
        <f t="shared" si="241"/>
        <v>1066.1556105648458</v>
      </c>
      <c r="L2074" s="5">
        <f t="shared" si="242"/>
        <v>0.14855879720144707</v>
      </c>
    </row>
    <row r="2075" spans="2:12">
      <c r="B2075">
        <v>20.189453125</v>
      </c>
      <c r="C2075">
        <v>3.3691413700580601</v>
      </c>
      <c r="D2075">
        <v>45.927574218750003</v>
      </c>
      <c r="E2075" s="5">
        <f t="shared" si="237"/>
        <v>45927.57421875</v>
      </c>
      <c r="F2075" s="5">
        <v>1.60323968157172</v>
      </c>
      <c r="G2075">
        <f t="shared" si="238"/>
        <v>918.55148437499997</v>
      </c>
      <c r="H2075">
        <f t="shared" si="239"/>
        <v>0.16032396815717201</v>
      </c>
      <c r="I2075">
        <f t="shared" si="240"/>
        <v>0.15069924902017931</v>
      </c>
      <c r="K2075" s="5">
        <f t="shared" si="241"/>
        <v>1065.8173033066605</v>
      </c>
      <c r="L2075" s="5">
        <f t="shared" si="242"/>
        <v>0.14869924902017931</v>
      </c>
    </row>
    <row r="2076" spans="2:12">
      <c r="B2076">
        <v>20.19921875</v>
      </c>
      <c r="C2076">
        <v>3.36918840184808</v>
      </c>
      <c r="D2076">
        <v>45.904773437499998</v>
      </c>
      <c r="E2076" s="5">
        <f t="shared" si="237"/>
        <v>45904.7734375</v>
      </c>
      <c r="F2076" s="5">
        <v>1.6049096593633301</v>
      </c>
      <c r="G2076">
        <f t="shared" si="238"/>
        <v>918.09546875000001</v>
      </c>
      <c r="H2076">
        <f t="shared" si="239"/>
        <v>0.160490965936333</v>
      </c>
      <c r="I2076">
        <f t="shared" si="240"/>
        <v>0.15084316207157858</v>
      </c>
      <c r="K2076" s="5">
        <f t="shared" si="241"/>
        <v>1065.4414973514579</v>
      </c>
      <c r="L2076" s="5">
        <f t="shared" si="242"/>
        <v>0.14884316207157858</v>
      </c>
    </row>
    <row r="2077" spans="2:12">
      <c r="B2077">
        <v>20.208984375</v>
      </c>
      <c r="C2077">
        <v>3.3685960806906201</v>
      </c>
      <c r="D2077">
        <v>45.914812499999996</v>
      </c>
      <c r="E2077" s="5">
        <f t="shared" si="237"/>
        <v>45914.8125</v>
      </c>
      <c r="F2077" s="5">
        <v>1.6067470423877199</v>
      </c>
      <c r="G2077">
        <f t="shared" si="238"/>
        <v>918.29624999999999</v>
      </c>
      <c r="H2077">
        <f t="shared" si="239"/>
        <v>0.160674704238772</v>
      </c>
      <c r="I2077">
        <f t="shared" si="240"/>
        <v>0.15100147761551724</v>
      </c>
      <c r="K2077" s="5">
        <f t="shared" si="241"/>
        <v>1065.8432283723234</v>
      </c>
      <c r="L2077" s="5">
        <f t="shared" si="242"/>
        <v>0.14900147761551724</v>
      </c>
    </row>
    <row r="2078" spans="2:12">
      <c r="B2078">
        <v>20.21875</v>
      </c>
      <c r="C2078">
        <v>3.3717320766299999</v>
      </c>
      <c r="D2078">
        <v>45.923195312499999</v>
      </c>
      <c r="E2078" s="5">
        <f t="shared" si="237"/>
        <v>45923.1953125</v>
      </c>
      <c r="F2078" s="5">
        <v>1.6084709204733401</v>
      </c>
      <c r="G2078">
        <f t="shared" si="238"/>
        <v>918.46390625000004</v>
      </c>
      <c r="H2078">
        <f t="shared" si="239"/>
        <v>0.16084709204733399</v>
      </c>
      <c r="I2078">
        <f t="shared" si="240"/>
        <v>0.15114999037913171</v>
      </c>
      <c r="K2078" s="5">
        <f t="shared" si="241"/>
        <v>1066.1961547207477</v>
      </c>
      <c r="L2078" s="5">
        <f t="shared" si="242"/>
        <v>0.14914999037913171</v>
      </c>
    </row>
    <row r="2079" spans="2:12">
      <c r="B2079">
        <v>20.228515625</v>
      </c>
      <c r="C2079">
        <v>3.3747381530702101</v>
      </c>
      <c r="D2079">
        <v>45.920738281250003</v>
      </c>
      <c r="E2079" s="5">
        <f t="shared" si="237"/>
        <v>45920.73828125</v>
      </c>
      <c r="F2079" s="5">
        <v>1.61021843086928</v>
      </c>
      <c r="G2079">
        <f t="shared" si="238"/>
        <v>918.41476562499997</v>
      </c>
      <c r="H2079">
        <f t="shared" si="239"/>
        <v>0.16102184308692799</v>
      </c>
      <c r="I2079">
        <f t="shared" si="240"/>
        <v>0.1513005165671345</v>
      </c>
      <c r="K2079" s="5">
        <f t="shared" si="241"/>
        <v>1066.2996039041864</v>
      </c>
      <c r="L2079" s="5">
        <f t="shared" si="242"/>
        <v>0.1493005165671345</v>
      </c>
    </row>
    <row r="2080" spans="2:12">
      <c r="B2080">
        <v>20.23828125</v>
      </c>
      <c r="C2080">
        <v>3.3759481739252801</v>
      </c>
      <c r="D2080">
        <v>45.909136718749998</v>
      </c>
      <c r="E2080" s="5">
        <f t="shared" si="237"/>
        <v>45909.13671875</v>
      </c>
      <c r="F2080" s="5">
        <v>1.6119929496198899</v>
      </c>
      <c r="G2080">
        <f t="shared" si="238"/>
        <v>918.182734375</v>
      </c>
      <c r="H2080">
        <f t="shared" si="239"/>
        <v>0.16119929496198898</v>
      </c>
      <c r="I2080">
        <f t="shared" si="240"/>
        <v>0.15145334600486454</v>
      </c>
      <c r="K2080" s="5">
        <f t="shared" si="241"/>
        <v>1066.193143802521</v>
      </c>
      <c r="L2080" s="5">
        <f t="shared" si="242"/>
        <v>0.14945334600486454</v>
      </c>
    </row>
    <row r="2081" spans="2:12">
      <c r="B2081">
        <v>20.248046875</v>
      </c>
      <c r="C2081">
        <v>3.3764771651476599</v>
      </c>
      <c r="D2081">
        <v>45.892546875000001</v>
      </c>
      <c r="E2081" s="5">
        <f t="shared" si="237"/>
        <v>45892.546875</v>
      </c>
      <c r="F2081" s="5">
        <v>1.61377200856805</v>
      </c>
      <c r="G2081">
        <f t="shared" si="238"/>
        <v>917.85093749999999</v>
      </c>
      <c r="H2081">
        <f t="shared" si="239"/>
        <v>0.16137720085680501</v>
      </c>
      <c r="I2081">
        <f t="shared" si="240"/>
        <v>0.15160654302161242</v>
      </c>
      <c r="K2081" s="5">
        <f t="shared" si="241"/>
        <v>1065.9711525975442</v>
      </c>
      <c r="L2081" s="5">
        <f t="shared" si="242"/>
        <v>0.14960654302161241</v>
      </c>
    </row>
    <row r="2082" spans="2:12">
      <c r="B2082">
        <v>20.2578125</v>
      </c>
      <c r="C2082">
        <v>3.3805987332016199</v>
      </c>
      <c r="D2082">
        <v>45.874984374999997</v>
      </c>
      <c r="E2082" s="5">
        <f t="shared" si="237"/>
        <v>45874.984375</v>
      </c>
      <c r="F2082" s="5">
        <v>1.61561334971339</v>
      </c>
      <c r="G2082">
        <f t="shared" si="238"/>
        <v>917.49968750000005</v>
      </c>
      <c r="H2082">
        <f t="shared" si="239"/>
        <v>0.16156133497133901</v>
      </c>
      <c r="I2082">
        <f t="shared" si="240"/>
        <v>0.15176507852488083</v>
      </c>
      <c r="K2082" s="5">
        <f t="shared" si="241"/>
        <v>1065.7321618482863</v>
      </c>
      <c r="L2082" s="5">
        <f t="shared" si="242"/>
        <v>0.14976507852488083</v>
      </c>
    </row>
    <row r="2083" spans="2:12">
      <c r="B2083">
        <v>20.267578125</v>
      </c>
      <c r="C2083">
        <v>3.3810772001743299</v>
      </c>
      <c r="D2083">
        <v>45.8743359375</v>
      </c>
      <c r="E2083" s="5">
        <f t="shared" si="237"/>
        <v>45874.3359375</v>
      </c>
      <c r="F2083" s="5">
        <v>1.6172683099284799</v>
      </c>
      <c r="G2083">
        <f t="shared" si="238"/>
        <v>917.48671875000002</v>
      </c>
      <c r="H2083">
        <f t="shared" si="239"/>
        <v>0.16172683099284799</v>
      </c>
      <c r="I2083">
        <f t="shared" si="240"/>
        <v>0.1519075455887719</v>
      </c>
      <c r="K2083" s="5">
        <f t="shared" si="241"/>
        <v>1065.8689382514638</v>
      </c>
      <c r="L2083" s="5">
        <f t="shared" si="242"/>
        <v>0.1499075455887719</v>
      </c>
    </row>
    <row r="2084" spans="2:12">
      <c r="B2084">
        <v>20.27734375</v>
      </c>
      <c r="C2084">
        <v>3.3822045661509001</v>
      </c>
      <c r="D2084">
        <v>45.861578125000001</v>
      </c>
      <c r="E2084" s="5">
        <f t="shared" si="237"/>
        <v>45861.578125</v>
      </c>
      <c r="F2084" s="5">
        <v>1.61896948702633</v>
      </c>
      <c r="G2084">
        <f t="shared" si="238"/>
        <v>917.2315625</v>
      </c>
      <c r="H2084">
        <f t="shared" si="239"/>
        <v>0.16189694870263299</v>
      </c>
      <c r="I2084">
        <f t="shared" si="240"/>
        <v>0.15205397007588164</v>
      </c>
      <c r="K2084" s="5">
        <f t="shared" si="241"/>
        <v>1065.7285537224984</v>
      </c>
      <c r="L2084" s="5">
        <f t="shared" si="242"/>
        <v>0.15005397007588164</v>
      </c>
    </row>
    <row r="2085" spans="2:12">
      <c r="B2085">
        <v>20.287109375</v>
      </c>
      <c r="C2085">
        <v>3.3842385746538599</v>
      </c>
      <c r="D2085">
        <v>45.847035156250001</v>
      </c>
      <c r="E2085" s="5">
        <f t="shared" si="237"/>
        <v>45847.03515625</v>
      </c>
      <c r="F2085" s="5">
        <v>1.6206399304792301</v>
      </c>
      <c r="G2085">
        <f t="shared" si="238"/>
        <v>916.94070312500003</v>
      </c>
      <c r="H2085">
        <f t="shared" si="239"/>
        <v>0.16206399304792302</v>
      </c>
      <c r="I2085">
        <f t="shared" si="240"/>
        <v>0.15219772838315507</v>
      </c>
      <c r="K2085" s="5">
        <f t="shared" si="241"/>
        <v>1065.5437748616077</v>
      </c>
      <c r="L2085" s="5">
        <f t="shared" si="242"/>
        <v>0.15019772838315507</v>
      </c>
    </row>
    <row r="2086" spans="2:12">
      <c r="B2086">
        <v>20.296875</v>
      </c>
      <c r="C2086">
        <v>3.3860749099403602</v>
      </c>
      <c r="D2086">
        <v>45.839628906249999</v>
      </c>
      <c r="E2086" s="5">
        <f t="shared" si="237"/>
        <v>45839.62890625</v>
      </c>
      <c r="F2086" s="5">
        <v>1.6223478596657499</v>
      </c>
      <c r="G2086">
        <f t="shared" si="238"/>
        <v>916.79257812499998</v>
      </c>
      <c r="H2086">
        <f t="shared" si="239"/>
        <v>0.16223478596657498</v>
      </c>
      <c r="I2086">
        <f t="shared" si="240"/>
        <v>0.15234469134721229</v>
      </c>
      <c r="K2086" s="5">
        <f t="shared" si="241"/>
        <v>1065.5282258128539</v>
      </c>
      <c r="L2086" s="5">
        <f t="shared" si="242"/>
        <v>0.15034469134721229</v>
      </c>
    </row>
    <row r="2087" spans="2:12">
      <c r="B2087">
        <v>20.306640625</v>
      </c>
      <c r="C2087">
        <v>3.3872767817229001</v>
      </c>
      <c r="D2087">
        <v>45.816449218750002</v>
      </c>
      <c r="E2087" s="5">
        <f t="shared" si="237"/>
        <v>45816.44921875</v>
      </c>
      <c r="F2087" s="5">
        <v>1.6241460107266901</v>
      </c>
      <c r="G2087">
        <f t="shared" si="238"/>
        <v>916.328984375</v>
      </c>
      <c r="H2087">
        <f t="shared" si="239"/>
        <v>0.162414601072669</v>
      </c>
      <c r="I2087">
        <f t="shared" si="240"/>
        <v>0.15249939433808501</v>
      </c>
      <c r="K2087" s="5">
        <f t="shared" si="241"/>
        <v>1065.1541908235897</v>
      </c>
      <c r="L2087" s="5">
        <f t="shared" si="242"/>
        <v>0.15049939433808501</v>
      </c>
    </row>
    <row r="2088" spans="2:12">
      <c r="B2088">
        <v>20.31640625</v>
      </c>
      <c r="C2088">
        <v>3.3884665463119701</v>
      </c>
      <c r="D2088">
        <v>45.811042968750002</v>
      </c>
      <c r="E2088" s="5">
        <f t="shared" si="237"/>
        <v>45811.04296875</v>
      </c>
      <c r="F2088" s="5">
        <v>1.62578944582492</v>
      </c>
      <c r="G2088">
        <f t="shared" si="238"/>
        <v>916.22085937500003</v>
      </c>
      <c r="H2088">
        <f t="shared" si="239"/>
        <v>0.162578944582492</v>
      </c>
      <c r="I2088">
        <f t="shared" si="240"/>
        <v>0.15264076549191374</v>
      </c>
      <c r="K2088" s="5">
        <f t="shared" si="241"/>
        <v>1065.1790796966516</v>
      </c>
      <c r="L2088" s="5">
        <f t="shared" si="242"/>
        <v>0.15064076549191374</v>
      </c>
    </row>
    <row r="2089" spans="2:12">
      <c r="B2089">
        <v>20.326171875</v>
      </c>
      <c r="C2089">
        <v>3.3913247752934699</v>
      </c>
      <c r="D2089">
        <v>45.801917968749997</v>
      </c>
      <c r="E2089" s="5">
        <f t="shared" si="237"/>
        <v>45801.91796875</v>
      </c>
      <c r="F2089" s="5">
        <v>1.6274357913062001</v>
      </c>
      <c r="G2089">
        <f t="shared" si="238"/>
        <v>916.03835937500003</v>
      </c>
      <c r="H2089">
        <f t="shared" si="239"/>
        <v>0.16274357913062001</v>
      </c>
      <c r="I2089">
        <f t="shared" si="240"/>
        <v>0.15278236696588052</v>
      </c>
      <c r="K2089" s="5">
        <f t="shared" si="241"/>
        <v>1065.1177206006287</v>
      </c>
      <c r="L2089" s="5">
        <f t="shared" si="242"/>
        <v>0.15078236696588052</v>
      </c>
    </row>
    <row r="2090" spans="2:12">
      <c r="B2090">
        <v>20.3359375</v>
      </c>
      <c r="C2090">
        <v>3.3924938179552599</v>
      </c>
      <c r="D2090">
        <v>45.817964843749998</v>
      </c>
      <c r="E2090" s="5">
        <f t="shared" si="237"/>
        <v>45817.96484375</v>
      </c>
      <c r="F2090" s="5">
        <v>1.62929121870548</v>
      </c>
      <c r="G2090">
        <f t="shared" si="238"/>
        <v>916.35929687500004</v>
      </c>
      <c r="H2090">
        <f t="shared" si="239"/>
        <v>0.162929121870548</v>
      </c>
      <c r="I2090">
        <f t="shared" si="240"/>
        <v>0.15294192745798396</v>
      </c>
      <c r="K2090" s="5">
        <f t="shared" si="241"/>
        <v>1065.6609124327565</v>
      </c>
      <c r="L2090" s="5">
        <f t="shared" si="242"/>
        <v>0.15094192745798396</v>
      </c>
    </row>
    <row r="2091" spans="2:12">
      <c r="B2091">
        <v>20.345703125</v>
      </c>
      <c r="C2091">
        <v>3.3938214182853699</v>
      </c>
      <c r="D2091">
        <v>45.803582031250002</v>
      </c>
      <c r="E2091" s="5">
        <f t="shared" si="237"/>
        <v>45803.58203125</v>
      </c>
      <c r="F2091" s="5">
        <v>1.6309964703396</v>
      </c>
      <c r="G2091">
        <f t="shared" si="238"/>
        <v>916.07164062499999</v>
      </c>
      <c r="H2091">
        <f t="shared" si="239"/>
        <v>0.16309964703396002</v>
      </c>
      <c r="I2091">
        <f t="shared" si="240"/>
        <v>0.15308855089273873</v>
      </c>
      <c r="K2091" s="5">
        <f t="shared" si="241"/>
        <v>1065.4826018687581</v>
      </c>
      <c r="L2091" s="5">
        <f t="shared" si="242"/>
        <v>0.15108855089273873</v>
      </c>
    </row>
    <row r="2092" spans="2:12">
      <c r="B2092">
        <v>20.35546875</v>
      </c>
      <c r="C2092">
        <v>3.3963844180107099</v>
      </c>
      <c r="D2092">
        <v>45.778675781250001</v>
      </c>
      <c r="E2092" s="5">
        <f t="shared" si="237"/>
        <v>45778.67578125</v>
      </c>
      <c r="F2092" s="5">
        <v>1.63272931240499</v>
      </c>
      <c r="G2092">
        <f t="shared" si="238"/>
        <v>915.57351562500003</v>
      </c>
      <c r="H2092">
        <f t="shared" si="239"/>
        <v>0.16327293124049899</v>
      </c>
      <c r="I2092">
        <f t="shared" si="240"/>
        <v>0.15323752462848311</v>
      </c>
      <c r="K2092" s="5">
        <f t="shared" si="241"/>
        <v>1065.0618872872626</v>
      </c>
      <c r="L2092" s="5">
        <f t="shared" si="242"/>
        <v>0.15123752462848311</v>
      </c>
    </row>
    <row r="2093" spans="2:12">
      <c r="B2093">
        <v>20.365234375</v>
      </c>
      <c r="C2093">
        <v>3.3979236613959101</v>
      </c>
      <c r="D2093">
        <v>45.770804687499997</v>
      </c>
      <c r="E2093" s="5">
        <f t="shared" si="237"/>
        <v>45770.8046875</v>
      </c>
      <c r="F2093" s="5">
        <v>1.6344236209988601</v>
      </c>
      <c r="G2093">
        <f t="shared" si="238"/>
        <v>915.41609374999996</v>
      </c>
      <c r="H2093">
        <f t="shared" si="239"/>
        <v>0.163442362099886</v>
      </c>
      <c r="I2093">
        <f t="shared" si="240"/>
        <v>0.15338316415745459</v>
      </c>
      <c r="K2093" s="5">
        <f t="shared" si="241"/>
        <v>1065.0338624167505</v>
      </c>
      <c r="L2093" s="5">
        <f t="shared" si="242"/>
        <v>0.15138316415745459</v>
      </c>
    </row>
    <row r="2094" spans="2:12">
      <c r="B2094">
        <v>20.375</v>
      </c>
      <c r="C2094">
        <v>3.3991946838796099</v>
      </c>
      <c r="D2094">
        <v>45.761882812499998</v>
      </c>
      <c r="E2094" s="5">
        <f t="shared" si="237"/>
        <v>45761.8828125</v>
      </c>
      <c r="F2094" s="5">
        <v>1.63608486764133</v>
      </c>
      <c r="G2094">
        <f t="shared" si="238"/>
        <v>915.23765624999999</v>
      </c>
      <c r="H2094">
        <f t="shared" si="239"/>
        <v>0.163608486764133</v>
      </c>
      <c r="I2094">
        <f t="shared" si="240"/>
        <v>0.1535259411531617</v>
      </c>
      <c r="K2094" s="5">
        <f t="shared" si="241"/>
        <v>1064.9783042186141</v>
      </c>
      <c r="L2094" s="5">
        <f t="shared" si="242"/>
        <v>0.1515259411531617</v>
      </c>
    </row>
    <row r="2095" spans="2:12">
      <c r="B2095">
        <v>20.384765625</v>
      </c>
      <c r="C2095">
        <v>3.4001157619059099</v>
      </c>
      <c r="D2095">
        <v>45.731449218750001</v>
      </c>
      <c r="E2095" s="5">
        <f t="shared" si="237"/>
        <v>45731.44921875</v>
      </c>
      <c r="F2095" s="5">
        <v>1.63780420552939</v>
      </c>
      <c r="G2095">
        <f t="shared" si="238"/>
        <v>914.62898437499996</v>
      </c>
      <c r="H2095">
        <f t="shared" si="239"/>
        <v>0.16378042055293901</v>
      </c>
      <c r="I2095">
        <f t="shared" si="240"/>
        <v>0.15367368937742987</v>
      </c>
      <c r="K2095" s="5">
        <f t="shared" si="241"/>
        <v>1064.427304085845</v>
      </c>
      <c r="L2095" s="5">
        <f t="shared" si="242"/>
        <v>0.15167368937742987</v>
      </c>
    </row>
    <row r="2096" spans="2:12">
      <c r="B2096">
        <v>20.39453125</v>
      </c>
      <c r="C2096">
        <v>3.3998766448348801</v>
      </c>
      <c r="D2096">
        <v>45.742070312499997</v>
      </c>
      <c r="E2096" s="5">
        <f t="shared" si="237"/>
        <v>45742.0703125</v>
      </c>
      <c r="F2096" s="5">
        <v>1.6395484562963201</v>
      </c>
      <c r="G2096">
        <f t="shared" si="238"/>
        <v>914.84140624999998</v>
      </c>
      <c r="H2096">
        <f t="shared" si="239"/>
        <v>0.163954845629632</v>
      </c>
      <c r="I2096">
        <f t="shared" si="240"/>
        <v>0.15382355614239543</v>
      </c>
      <c r="K2096" s="5">
        <f t="shared" si="241"/>
        <v>1064.8340877873143</v>
      </c>
      <c r="L2096" s="5">
        <f t="shared" si="242"/>
        <v>0.15182355614239543</v>
      </c>
    </row>
    <row r="2097" spans="2:12">
      <c r="B2097">
        <v>20.404296875</v>
      </c>
      <c r="C2097">
        <v>3.4032901749014899</v>
      </c>
      <c r="D2097">
        <v>45.763117187500001</v>
      </c>
      <c r="E2097" s="5">
        <f t="shared" si="237"/>
        <v>45763.1171875</v>
      </c>
      <c r="F2097" s="5">
        <v>1.64127035532147</v>
      </c>
      <c r="G2097">
        <f t="shared" si="238"/>
        <v>915.26234375000001</v>
      </c>
      <c r="H2097">
        <f t="shared" si="239"/>
        <v>0.164127035532147</v>
      </c>
      <c r="I2097">
        <f t="shared" si="240"/>
        <v>0.15397148040934</v>
      </c>
      <c r="K2097" s="5">
        <f t="shared" si="241"/>
        <v>1065.4816389638922</v>
      </c>
      <c r="L2097" s="5">
        <f t="shared" si="242"/>
        <v>0.15197148040934</v>
      </c>
    </row>
    <row r="2098" spans="2:12">
      <c r="B2098">
        <v>20.4140625</v>
      </c>
      <c r="C2098">
        <v>3.4057192970067298</v>
      </c>
      <c r="D2098">
        <v>45.748843749999999</v>
      </c>
      <c r="E2098" s="5">
        <f t="shared" si="237"/>
        <v>45748.84375</v>
      </c>
      <c r="F2098" s="5">
        <v>1.64304848294705</v>
      </c>
      <c r="G2098">
        <f t="shared" si="238"/>
        <v>914.97687499999995</v>
      </c>
      <c r="H2098">
        <f t="shared" si="239"/>
        <v>0.16430484829470499</v>
      </c>
      <c r="I2098">
        <f t="shared" si="240"/>
        <v>0.15412421218057087</v>
      </c>
      <c r="K2098" s="5">
        <f t="shared" si="241"/>
        <v>1065.3120116400382</v>
      </c>
      <c r="L2098" s="5">
        <f t="shared" si="242"/>
        <v>0.15212421218057087</v>
      </c>
    </row>
    <row r="2099" spans="2:12">
      <c r="B2099">
        <v>20.423828125</v>
      </c>
      <c r="C2099">
        <v>3.40751488693058</v>
      </c>
      <c r="D2099">
        <v>45.747539062500003</v>
      </c>
      <c r="E2099" s="5">
        <f t="shared" si="237"/>
        <v>45747.5390625</v>
      </c>
      <c r="F2099" s="5">
        <v>1.6447645612060999</v>
      </c>
      <c r="G2099">
        <f t="shared" si="238"/>
        <v>914.95078124999998</v>
      </c>
      <c r="H2099">
        <f t="shared" si="239"/>
        <v>0.16447645612060999</v>
      </c>
      <c r="I2099">
        <f t="shared" si="240"/>
        <v>0.15427159212207964</v>
      </c>
      <c r="K2099" s="5">
        <f t="shared" si="241"/>
        <v>1065.4386432747835</v>
      </c>
      <c r="L2099" s="5">
        <f t="shared" si="242"/>
        <v>0.15227159212207964</v>
      </c>
    </row>
    <row r="2100" spans="2:12">
      <c r="B2100">
        <v>20.43359375</v>
      </c>
      <c r="C2100">
        <v>3.4084776416420901</v>
      </c>
      <c r="D2100">
        <v>45.72286328125</v>
      </c>
      <c r="E2100" s="5">
        <f t="shared" si="237"/>
        <v>45722.86328125</v>
      </c>
      <c r="F2100" s="5">
        <v>1.6465974040329501</v>
      </c>
      <c r="G2100">
        <f t="shared" si="238"/>
        <v>914.45726562499999</v>
      </c>
      <c r="H2100">
        <f t="shared" si="239"/>
        <v>0.16465974040329501</v>
      </c>
      <c r="I2100">
        <f t="shared" si="240"/>
        <v>0.15442897603405253</v>
      </c>
      <c r="K2100" s="5">
        <f t="shared" si="241"/>
        <v>1065.0315615927195</v>
      </c>
      <c r="L2100" s="5">
        <f t="shared" si="242"/>
        <v>0.15242897603405253</v>
      </c>
    </row>
    <row r="2101" spans="2:12">
      <c r="B2101">
        <v>20.443359375</v>
      </c>
      <c r="C2101">
        <v>3.41120501980186</v>
      </c>
      <c r="D2101">
        <v>45.73088671875</v>
      </c>
      <c r="E2101" s="5">
        <f t="shared" si="237"/>
        <v>45730.88671875</v>
      </c>
      <c r="F2101" s="5">
        <v>1.6484551597386601</v>
      </c>
      <c r="G2101">
        <f t="shared" si="238"/>
        <v>914.61773437500005</v>
      </c>
      <c r="H2101">
        <f t="shared" si="239"/>
        <v>0.16484551597386601</v>
      </c>
      <c r="I2101">
        <f t="shared" si="240"/>
        <v>0.15458847391065636</v>
      </c>
      <c r="K2101" s="5">
        <f t="shared" si="241"/>
        <v>1065.3883667168952</v>
      </c>
      <c r="L2101" s="5">
        <f t="shared" si="242"/>
        <v>0.15258847391065636</v>
      </c>
    </row>
    <row r="2102" spans="2:12">
      <c r="B2102">
        <v>20.453125</v>
      </c>
      <c r="C2102">
        <v>3.41254193335772</v>
      </c>
      <c r="D2102">
        <v>45.7287578125</v>
      </c>
      <c r="E2102" s="5">
        <f t="shared" si="237"/>
        <v>45728.7578125</v>
      </c>
      <c r="F2102" s="5">
        <v>1.6502008074894501</v>
      </c>
      <c r="G2102">
        <f t="shared" si="238"/>
        <v>914.57515624999996</v>
      </c>
      <c r="H2102">
        <f t="shared" si="239"/>
        <v>0.165020080748945</v>
      </c>
      <c r="I2102">
        <f t="shared" si="240"/>
        <v>0.15473832356348718</v>
      </c>
      <c r="K2102" s="5">
        <f t="shared" si="241"/>
        <v>1065.4984223853539</v>
      </c>
      <c r="L2102" s="5">
        <f t="shared" si="242"/>
        <v>0.15273832356348718</v>
      </c>
    </row>
    <row r="2103" spans="2:12">
      <c r="B2103">
        <v>20.462890625</v>
      </c>
      <c r="C2103">
        <v>3.4145980607718198</v>
      </c>
      <c r="D2103">
        <v>45.699390624999999</v>
      </c>
      <c r="E2103" s="5">
        <f t="shared" si="237"/>
        <v>45699.390625</v>
      </c>
      <c r="F2103" s="5">
        <v>1.6519099008292</v>
      </c>
      <c r="G2103">
        <f t="shared" si="238"/>
        <v>913.98781250000002</v>
      </c>
      <c r="H2103">
        <f t="shared" si="239"/>
        <v>0.16519099008291999</v>
      </c>
      <c r="I2103">
        <f t="shared" si="240"/>
        <v>0.1548850135663121</v>
      </c>
      <c r="K2103" s="5">
        <f t="shared" si="241"/>
        <v>1064.9703641705973</v>
      </c>
      <c r="L2103" s="5">
        <f t="shared" si="242"/>
        <v>0.15288501356631209</v>
      </c>
    </row>
    <row r="2104" spans="2:12">
      <c r="B2104">
        <v>20.47265625</v>
      </c>
      <c r="C2104">
        <v>3.41575220227242</v>
      </c>
      <c r="D2104">
        <v>45.691554687500002</v>
      </c>
      <c r="E2104" s="5">
        <f t="shared" si="237"/>
        <v>45691.5546875</v>
      </c>
      <c r="F2104" s="5">
        <v>1.6536432085558801</v>
      </c>
      <c r="G2104">
        <f t="shared" si="238"/>
        <v>913.83109375000004</v>
      </c>
      <c r="H2104">
        <f t="shared" si="239"/>
        <v>0.165364320855588</v>
      </c>
      <c r="I2104">
        <f t="shared" si="240"/>
        <v>0.15503375989485788</v>
      </c>
      <c r="K2104" s="5">
        <f t="shared" si="241"/>
        <v>1064.9461519446879</v>
      </c>
      <c r="L2104" s="5">
        <f t="shared" si="242"/>
        <v>0.15303375989485787</v>
      </c>
    </row>
    <row r="2105" spans="2:12">
      <c r="B2105">
        <v>20.482421875</v>
      </c>
      <c r="C2105">
        <v>3.4162320662289898</v>
      </c>
      <c r="D2105">
        <v>45.677949218750001</v>
      </c>
      <c r="E2105" s="5">
        <f t="shared" si="237"/>
        <v>45677.94921875</v>
      </c>
      <c r="F2105" s="5">
        <v>1.6553959576413</v>
      </c>
      <c r="G2105">
        <f t="shared" si="238"/>
        <v>913.55898437500002</v>
      </c>
      <c r="H2105">
        <f t="shared" si="239"/>
        <v>0.16553959576412999</v>
      </c>
      <c r="I2105">
        <f t="shared" si="240"/>
        <v>0.15518415211619535</v>
      </c>
      <c r="K2105" s="5">
        <f t="shared" si="241"/>
        <v>1064.7891693551267</v>
      </c>
      <c r="L2105" s="5">
        <f t="shared" si="242"/>
        <v>0.15318415211619535</v>
      </c>
    </row>
    <row r="2106" spans="2:12">
      <c r="B2106">
        <v>20.4921875</v>
      </c>
      <c r="C2106">
        <v>3.4182833041995799</v>
      </c>
      <c r="D2106">
        <v>45.664496093750003</v>
      </c>
      <c r="E2106" s="5">
        <f t="shared" si="237"/>
        <v>45664.49609375</v>
      </c>
      <c r="F2106" s="5">
        <v>1.6571497544646301</v>
      </c>
      <c r="G2106">
        <f t="shared" si="238"/>
        <v>913.289921875</v>
      </c>
      <c r="H2106">
        <f t="shared" si="239"/>
        <v>0.16571497544646302</v>
      </c>
      <c r="I2106">
        <f t="shared" si="240"/>
        <v>0.15533461160254219</v>
      </c>
      <c r="K2106" s="5">
        <f t="shared" si="241"/>
        <v>1064.6357388540177</v>
      </c>
      <c r="L2106" s="5">
        <f t="shared" si="242"/>
        <v>0.15333461160254219</v>
      </c>
    </row>
    <row r="2107" spans="2:12">
      <c r="B2107">
        <v>20.501953125</v>
      </c>
      <c r="C2107">
        <v>3.42185632325709</v>
      </c>
      <c r="D2107">
        <v>45.65366796875</v>
      </c>
      <c r="E2107" s="5">
        <f t="shared" si="237"/>
        <v>45653.66796875</v>
      </c>
      <c r="F2107" s="5">
        <v>1.6588807338848699</v>
      </c>
      <c r="G2107">
        <f t="shared" si="238"/>
        <v>913.073359375</v>
      </c>
      <c r="H2107">
        <f t="shared" si="239"/>
        <v>0.16588807338848699</v>
      </c>
      <c r="I2107">
        <f t="shared" si="240"/>
        <v>0.15548309137265445</v>
      </c>
      <c r="K2107" s="5">
        <f t="shared" si="241"/>
        <v>1064.5413398240723</v>
      </c>
      <c r="L2107" s="5">
        <f t="shared" si="242"/>
        <v>0.15348309137265445</v>
      </c>
    </row>
    <row r="2108" spans="2:12">
      <c r="B2108">
        <v>20.51171875</v>
      </c>
      <c r="C2108">
        <v>3.4223012626171099</v>
      </c>
      <c r="D2108">
        <v>45.6372421875</v>
      </c>
      <c r="E2108" s="5">
        <f t="shared" si="237"/>
        <v>45637.2421875</v>
      </c>
      <c r="F2108" s="5">
        <v>1.6606141580268701</v>
      </c>
      <c r="G2108">
        <f t="shared" si="238"/>
        <v>912.74484374999997</v>
      </c>
      <c r="H2108">
        <f t="shared" si="239"/>
        <v>0.16606141580268702</v>
      </c>
      <c r="I2108">
        <f t="shared" si="240"/>
        <v>0.15563175875616561</v>
      </c>
      <c r="K2108" s="5">
        <f t="shared" si="241"/>
        <v>1064.3165447697272</v>
      </c>
      <c r="L2108" s="5">
        <f t="shared" si="242"/>
        <v>0.15363175875616561</v>
      </c>
    </row>
    <row r="2109" spans="2:12">
      <c r="B2109">
        <v>20.521484375</v>
      </c>
      <c r="C2109">
        <v>3.4223236143589002</v>
      </c>
      <c r="D2109">
        <v>45.614855468750001</v>
      </c>
      <c r="E2109" s="5">
        <f t="shared" si="237"/>
        <v>45614.85546875</v>
      </c>
      <c r="F2109" s="5">
        <v>1.66223954875022</v>
      </c>
      <c r="G2109">
        <f t="shared" si="238"/>
        <v>912.29710937499999</v>
      </c>
      <c r="H2109">
        <f t="shared" si="239"/>
        <v>0.16622395487502201</v>
      </c>
      <c r="I2109">
        <f t="shared" si="240"/>
        <v>0.15577114056136118</v>
      </c>
      <c r="K2109" s="5">
        <f t="shared" si="241"/>
        <v>1063.9427429163629</v>
      </c>
      <c r="L2109" s="5">
        <f t="shared" si="242"/>
        <v>0.15377114056136118</v>
      </c>
    </row>
    <row r="2110" spans="2:12">
      <c r="B2110">
        <v>20.53125</v>
      </c>
      <c r="C2110">
        <v>3.4256146755069499</v>
      </c>
      <c r="D2110">
        <v>45.629816406250001</v>
      </c>
      <c r="E2110" s="5">
        <f t="shared" si="237"/>
        <v>45629.81640625</v>
      </c>
      <c r="F2110" s="5">
        <v>1.6640330431982899</v>
      </c>
      <c r="G2110">
        <f t="shared" si="238"/>
        <v>912.59632812500001</v>
      </c>
      <c r="H2110">
        <f t="shared" si="239"/>
        <v>0.166403304319829</v>
      </c>
      <c r="I2110">
        <f t="shared" si="240"/>
        <v>0.155924915189908</v>
      </c>
      <c r="K2110" s="5">
        <f t="shared" si="241"/>
        <v>1064.4553726351428</v>
      </c>
      <c r="L2110" s="5">
        <f t="shared" si="242"/>
        <v>0.153924915189908</v>
      </c>
    </row>
    <row r="2111" spans="2:12">
      <c r="B2111">
        <v>20.541015625</v>
      </c>
      <c r="C2111">
        <v>3.4272046759724599</v>
      </c>
      <c r="D2111">
        <v>45.635976562499998</v>
      </c>
      <c r="E2111" s="5">
        <f t="shared" si="237"/>
        <v>45635.9765625</v>
      </c>
      <c r="F2111" s="5">
        <v>1.6658379463478901</v>
      </c>
      <c r="G2111">
        <f t="shared" si="238"/>
        <v>912.71953125000005</v>
      </c>
      <c r="H2111">
        <f t="shared" si="239"/>
        <v>0.16658379463478901</v>
      </c>
      <c r="I2111">
        <f t="shared" si="240"/>
        <v>0.15607964413410236</v>
      </c>
      <c r="K2111" s="5">
        <f t="shared" si="241"/>
        <v>1064.7638142029109</v>
      </c>
      <c r="L2111" s="5">
        <f t="shared" si="242"/>
        <v>0.15407964413410236</v>
      </c>
    </row>
    <row r="2112" spans="2:12">
      <c r="B2112">
        <v>20.55078125</v>
      </c>
      <c r="C2112">
        <v>3.4282193519175101</v>
      </c>
      <c r="D2112">
        <v>45.599523437499997</v>
      </c>
      <c r="E2112" s="5">
        <f t="shared" si="237"/>
        <v>45599.5234375</v>
      </c>
      <c r="F2112" s="5">
        <v>1.6674748621880999</v>
      </c>
      <c r="G2112">
        <f t="shared" si="238"/>
        <v>911.99046874999999</v>
      </c>
      <c r="H2112">
        <f t="shared" si="239"/>
        <v>0.16674748621881</v>
      </c>
      <c r="I2112">
        <f t="shared" si="240"/>
        <v>0.1562199513297696</v>
      </c>
      <c r="K2112" s="5">
        <f t="shared" si="241"/>
        <v>1064.0625868695768</v>
      </c>
      <c r="L2112" s="5">
        <f t="shared" si="242"/>
        <v>0.15421995132976959</v>
      </c>
    </row>
    <row r="2113" spans="2:12">
      <c r="B2113">
        <v>20.560546875</v>
      </c>
      <c r="C2113">
        <v>3.4306652378290901</v>
      </c>
      <c r="D2113">
        <v>45.598187500000002</v>
      </c>
      <c r="E2113" s="5">
        <f t="shared" si="237"/>
        <v>45598.1875</v>
      </c>
      <c r="F2113" s="5">
        <v>1.66914286091924</v>
      </c>
      <c r="G2113">
        <f t="shared" si="238"/>
        <v>911.96375</v>
      </c>
      <c r="H2113">
        <f t="shared" si="239"/>
        <v>0.16691428609192399</v>
      </c>
      <c r="I2113">
        <f t="shared" si="240"/>
        <v>0.15636290252807691</v>
      </c>
      <c r="K2113" s="5">
        <f t="shared" si="241"/>
        <v>1064.1835282729637</v>
      </c>
      <c r="L2113" s="5">
        <f t="shared" si="242"/>
        <v>0.15436290252807691</v>
      </c>
    </row>
    <row r="2114" spans="2:12">
      <c r="B2114">
        <v>20.5703125</v>
      </c>
      <c r="C2114">
        <v>3.4324207808822398</v>
      </c>
      <c r="D2114">
        <v>45.590074218749997</v>
      </c>
      <c r="E2114" s="5">
        <f t="shared" si="237"/>
        <v>45590.07421875</v>
      </c>
      <c r="F2114" s="5">
        <v>1.6709660412743701</v>
      </c>
      <c r="G2114">
        <f t="shared" si="238"/>
        <v>911.80148437499997</v>
      </c>
      <c r="H2114">
        <f t="shared" si="239"/>
        <v>0.16709660412743702</v>
      </c>
      <c r="I2114">
        <f t="shared" si="240"/>
        <v>0.15651912976476032</v>
      </c>
      <c r="K2114" s="5">
        <f t="shared" si="241"/>
        <v>1064.1604160524189</v>
      </c>
      <c r="L2114" s="5">
        <f t="shared" si="242"/>
        <v>0.15451912976476032</v>
      </c>
    </row>
    <row r="2115" spans="2:12">
      <c r="B2115">
        <v>20.580078125</v>
      </c>
      <c r="C2115">
        <v>3.4333399962633799</v>
      </c>
      <c r="D2115">
        <v>45.58004296875</v>
      </c>
      <c r="E2115" s="5">
        <f t="shared" si="237"/>
        <v>45580.04296875</v>
      </c>
      <c r="F2115" s="5">
        <v>1.6726995818316901</v>
      </c>
      <c r="G2115">
        <f t="shared" si="238"/>
        <v>911.60085937500003</v>
      </c>
      <c r="H2115">
        <f t="shared" si="239"/>
        <v>0.167269958183169</v>
      </c>
      <c r="I2115">
        <f t="shared" si="240"/>
        <v>0.15666765318764461</v>
      </c>
      <c r="K2115" s="5">
        <f t="shared" si="241"/>
        <v>1064.0842970023971</v>
      </c>
      <c r="L2115" s="5">
        <f t="shared" si="242"/>
        <v>0.15466765318764461</v>
      </c>
    </row>
    <row r="2116" spans="2:12">
      <c r="B2116">
        <v>20.58984375</v>
      </c>
      <c r="C2116">
        <v>3.4348270855843999</v>
      </c>
      <c r="D2116">
        <v>45.575664062500003</v>
      </c>
      <c r="E2116" s="5">
        <f t="shared" si="237"/>
        <v>45575.6640625</v>
      </c>
      <c r="F2116" s="5">
        <v>1.67442345991731</v>
      </c>
      <c r="G2116">
        <f t="shared" si="238"/>
        <v>911.51328124999998</v>
      </c>
      <c r="H2116">
        <f t="shared" si="239"/>
        <v>0.167442345991731</v>
      </c>
      <c r="I2116">
        <f t="shared" si="240"/>
        <v>0.15681532689336586</v>
      </c>
      <c r="K2116" s="5">
        <f t="shared" si="241"/>
        <v>1064.1392034651203</v>
      </c>
      <c r="L2116" s="5">
        <f t="shared" si="242"/>
        <v>0.15481532689336586</v>
      </c>
    </row>
    <row r="2117" spans="2:12">
      <c r="B2117">
        <v>20.599609375</v>
      </c>
      <c r="C2117">
        <v>3.43640893697739</v>
      </c>
      <c r="D2117">
        <v>45.558765624999999</v>
      </c>
      <c r="E2117" s="5">
        <f t="shared" si="237"/>
        <v>45558.765625</v>
      </c>
      <c r="F2117" s="5">
        <v>1.6760986763984</v>
      </c>
      <c r="G2117">
        <f t="shared" si="238"/>
        <v>911.17531250000002</v>
      </c>
      <c r="H2117">
        <f t="shared" si="239"/>
        <v>0.16760986763984001</v>
      </c>
      <c r="I2117">
        <f t="shared" si="240"/>
        <v>0.15695881117814428</v>
      </c>
      <c r="K2117" s="5">
        <f t="shared" si="241"/>
        <v>1063.897286024815</v>
      </c>
      <c r="L2117" s="5">
        <f t="shared" si="242"/>
        <v>0.15495881117814428</v>
      </c>
    </row>
    <row r="2118" spans="2:12">
      <c r="B2118">
        <v>20.609375</v>
      </c>
      <c r="C2118">
        <v>3.4385866019874798</v>
      </c>
      <c r="D2118">
        <v>45.571375000000003</v>
      </c>
      <c r="E2118" s="5">
        <f t="shared" si="237"/>
        <v>45571.375</v>
      </c>
      <c r="F2118" s="5">
        <v>1.6777866985648899</v>
      </c>
      <c r="G2118">
        <f t="shared" si="238"/>
        <v>911.42750000000001</v>
      </c>
      <c r="H2118">
        <f t="shared" si="239"/>
        <v>0.16777866985648898</v>
      </c>
      <c r="I2118">
        <f t="shared" si="240"/>
        <v>0.15710337146370923</v>
      </c>
      <c r="K2118" s="5">
        <f t="shared" si="241"/>
        <v>1064.3455936206251</v>
      </c>
      <c r="L2118" s="5">
        <f t="shared" si="242"/>
        <v>0.15510337146370923</v>
      </c>
    </row>
    <row r="2119" spans="2:12">
      <c r="B2119">
        <v>20.619140625</v>
      </c>
      <c r="C2119">
        <v>3.43806808814406</v>
      </c>
      <c r="D2119">
        <v>45.536777343750003</v>
      </c>
      <c r="E2119" s="5">
        <f t="shared" si="237"/>
        <v>45536.77734375</v>
      </c>
      <c r="F2119" s="5">
        <v>1.6795737901702501</v>
      </c>
      <c r="G2119">
        <f t="shared" si="238"/>
        <v>910.73554687499995</v>
      </c>
      <c r="H2119">
        <f t="shared" si="239"/>
        <v>0.16795737901702501</v>
      </c>
      <c r="I2119">
        <f t="shared" si="240"/>
        <v>0.15725639317262277</v>
      </c>
      <c r="K2119" s="5">
        <f t="shared" si="241"/>
        <v>1063.7003023057619</v>
      </c>
      <c r="L2119" s="5">
        <f t="shared" si="242"/>
        <v>0.15525639317262277</v>
      </c>
    </row>
    <row r="2120" spans="2:12">
      <c r="B2120">
        <v>20.62890625</v>
      </c>
      <c r="C2120">
        <v>3.4414634574204701</v>
      </c>
      <c r="D2120">
        <v>45.542765625000001</v>
      </c>
      <c r="E2120" s="5">
        <f t="shared" si="237"/>
        <v>45542.765625</v>
      </c>
      <c r="F2120" s="5">
        <v>1.6813462134450701</v>
      </c>
      <c r="G2120">
        <f t="shared" si="238"/>
        <v>910.85531249999997</v>
      </c>
      <c r="H2120">
        <f t="shared" si="239"/>
        <v>0.16813462134450702</v>
      </c>
      <c r="I2120">
        <f t="shared" si="240"/>
        <v>0.15740813576477636</v>
      </c>
      <c r="K2120" s="5">
        <f t="shared" si="241"/>
        <v>1064.0016255668199</v>
      </c>
      <c r="L2120" s="5">
        <f t="shared" si="242"/>
        <v>0.15540813576477636</v>
      </c>
    </row>
    <row r="2121" spans="2:12">
      <c r="B2121">
        <v>20.638671875</v>
      </c>
      <c r="C2121">
        <v>3.4418485593050701</v>
      </c>
      <c r="D2121">
        <v>45.531636718750001</v>
      </c>
      <c r="E2121" s="5">
        <f t="shared" ref="E2121:E2184" si="243" xml:space="preserve"> D2121*R$3</f>
        <v>45531.63671875</v>
      </c>
      <c r="F2121" s="5">
        <v>1.68308580759913</v>
      </c>
      <c r="G2121">
        <f t="shared" ref="G2121:G2184" si="244" xml:space="preserve"> E2121/C$3</f>
        <v>910.63273437500004</v>
      </c>
      <c r="H2121">
        <f t="shared" ref="H2121:H2184" si="245" xml:space="preserve"> F2121/C$4</f>
        <v>0.16830858075991301</v>
      </c>
      <c r="I2121">
        <f t="shared" ref="I2121:I2184" si="246">L2121+0.002</f>
        <v>0.15755704536854567</v>
      </c>
      <c r="K2121" s="5">
        <f t="shared" ref="K2121:K2184" si="247" xml:space="preserve"> G2121 * (1 + H2121)</f>
        <v>1063.900037491175</v>
      </c>
      <c r="L2121" s="5">
        <f t="shared" ref="L2121:L2184" si="248">LN(1 + H2121)</f>
        <v>0.15555704536854567</v>
      </c>
    </row>
    <row r="2122" spans="2:12">
      <c r="B2122">
        <v>20.6484375</v>
      </c>
      <c r="C2122">
        <v>3.4425340127199902</v>
      </c>
      <c r="D2122">
        <v>45.527195312499998</v>
      </c>
      <c r="E2122" s="5">
        <f t="shared" si="243"/>
        <v>45527.1953125</v>
      </c>
      <c r="F2122" s="5">
        <v>1.6847829101607199</v>
      </c>
      <c r="G2122">
        <f t="shared" si="244"/>
        <v>910.54390624999996</v>
      </c>
      <c r="H2122">
        <f t="shared" si="245"/>
        <v>0.16847829101607198</v>
      </c>
      <c r="I2122">
        <f t="shared" si="246"/>
        <v>0.15770229631847804</v>
      </c>
      <c r="K2122" s="5">
        <f t="shared" si="247"/>
        <v>1063.9507874700985</v>
      </c>
      <c r="L2122" s="5">
        <f t="shared" si="248"/>
        <v>0.15570229631847804</v>
      </c>
    </row>
    <row r="2123" spans="2:12">
      <c r="B2123">
        <v>20.658203125</v>
      </c>
      <c r="C2123">
        <v>3.4445384517312099</v>
      </c>
      <c r="D2123">
        <v>45.515824218749998</v>
      </c>
      <c r="E2123" s="5">
        <f t="shared" si="243"/>
        <v>45515.82421875</v>
      </c>
      <c r="F2123" s="5">
        <v>1.6864448552951199</v>
      </c>
      <c r="G2123">
        <f t="shared" si="244"/>
        <v>910.31648437499996</v>
      </c>
      <c r="H2123">
        <f t="shared" si="245"/>
        <v>0.168644485529512</v>
      </c>
      <c r="I2123">
        <f t="shared" si="246"/>
        <v>0.15784451778445141</v>
      </c>
      <c r="K2123" s="5">
        <f t="shared" si="247"/>
        <v>1063.8363395514559</v>
      </c>
      <c r="L2123" s="5">
        <f t="shared" si="248"/>
        <v>0.15584451778445141</v>
      </c>
    </row>
    <row r="2124" spans="2:12">
      <c r="B2124">
        <v>20.66796875</v>
      </c>
      <c r="C2124">
        <v>3.4479082096368101</v>
      </c>
      <c r="D2124">
        <v>45.510375000000003</v>
      </c>
      <c r="E2124" s="5">
        <f t="shared" si="243"/>
        <v>45510.375</v>
      </c>
      <c r="F2124" s="5">
        <v>1.6882541822269601</v>
      </c>
      <c r="G2124">
        <f t="shared" si="244"/>
        <v>910.20749999999998</v>
      </c>
      <c r="H2124">
        <f t="shared" si="245"/>
        <v>0.16882541822269601</v>
      </c>
      <c r="I2124">
        <f t="shared" si="246"/>
        <v>0.15799932849945142</v>
      </c>
      <c r="K2124" s="5">
        <f t="shared" si="247"/>
        <v>1063.8736618569346</v>
      </c>
      <c r="L2124" s="5">
        <f t="shared" si="248"/>
        <v>0.15599932849945142</v>
      </c>
    </row>
    <row r="2125" spans="2:12">
      <c r="B2125">
        <v>20.677734375</v>
      </c>
      <c r="C2125">
        <v>3.44875315204263</v>
      </c>
      <c r="D2125">
        <v>45.485812500000002</v>
      </c>
      <c r="E2125" s="5">
        <f t="shared" si="243"/>
        <v>45485.8125</v>
      </c>
      <c r="F2125" s="5">
        <v>1.6900054179132</v>
      </c>
      <c r="G2125">
        <f t="shared" si="244"/>
        <v>909.71624999999995</v>
      </c>
      <c r="H2125">
        <f t="shared" si="245"/>
        <v>0.16900054179132001</v>
      </c>
      <c r="I2125">
        <f t="shared" si="246"/>
        <v>0.15814914595545276</v>
      </c>
      <c r="K2125" s="5">
        <f t="shared" si="247"/>
        <v>1063.4587891263679</v>
      </c>
      <c r="L2125" s="5">
        <f t="shared" si="248"/>
        <v>0.15614914595545276</v>
      </c>
    </row>
    <row r="2126" spans="2:12">
      <c r="B2126">
        <v>20.6875</v>
      </c>
      <c r="C2126">
        <v>3.45068727619946</v>
      </c>
      <c r="D2126">
        <v>45.496222656249998</v>
      </c>
      <c r="E2126" s="5">
        <f t="shared" si="243"/>
        <v>45496.22265625</v>
      </c>
      <c r="F2126" s="5">
        <v>1.6917744651436799</v>
      </c>
      <c r="G2126">
        <f t="shared" si="244"/>
        <v>909.92445312500001</v>
      </c>
      <c r="H2126">
        <f t="shared" si="245"/>
        <v>0.169177446514368</v>
      </c>
      <c r="I2126">
        <f t="shared" si="246"/>
        <v>0.15830046439593962</v>
      </c>
      <c r="K2126" s="5">
        <f t="shared" si="247"/>
        <v>1063.8631486256704</v>
      </c>
      <c r="L2126" s="5">
        <f t="shared" si="248"/>
        <v>0.15630046439593961</v>
      </c>
    </row>
    <row r="2127" spans="2:12">
      <c r="B2127">
        <v>20.697265625</v>
      </c>
      <c r="C2127">
        <v>3.4539513289928401</v>
      </c>
      <c r="D2127">
        <v>45.481187499999997</v>
      </c>
      <c r="E2127" s="5">
        <f t="shared" si="243"/>
        <v>45481.1875</v>
      </c>
      <c r="F2127" s="5">
        <v>1.69352244120091</v>
      </c>
      <c r="G2127">
        <f t="shared" si="244"/>
        <v>909.62374999999997</v>
      </c>
      <c r="H2127">
        <f t="shared" si="245"/>
        <v>0.16935224412009101</v>
      </c>
      <c r="I2127">
        <f t="shared" si="246"/>
        <v>0.1584499579916365</v>
      </c>
      <c r="K2127" s="5">
        <f t="shared" si="247"/>
        <v>1063.6705733674326</v>
      </c>
      <c r="L2127" s="5">
        <f t="shared" si="248"/>
        <v>0.1564499579916365</v>
      </c>
    </row>
    <row r="2128" spans="2:12">
      <c r="B2128">
        <v>20.70703125</v>
      </c>
      <c r="C2128">
        <v>3.4537329338490999</v>
      </c>
      <c r="D2128">
        <v>45.464039062499999</v>
      </c>
      <c r="E2128" s="5">
        <f t="shared" si="243"/>
        <v>45464.0390625</v>
      </c>
      <c r="F2128" s="5">
        <v>1.6952255973592401</v>
      </c>
      <c r="G2128">
        <f t="shared" si="244"/>
        <v>909.28078125000002</v>
      </c>
      <c r="H2128">
        <f t="shared" si="245"/>
        <v>0.16952255973592401</v>
      </c>
      <c r="I2128">
        <f t="shared" si="246"/>
        <v>0.15859559692524106</v>
      </c>
      <c r="K2128" s="5">
        <f t="shared" si="247"/>
        <v>1063.4243868061808</v>
      </c>
      <c r="L2128" s="5">
        <f t="shared" si="248"/>
        <v>0.15659559692524105</v>
      </c>
    </row>
    <row r="2129" spans="2:12">
      <c r="B2129">
        <v>20.716796875</v>
      </c>
      <c r="C2129">
        <v>3.4575217869132802</v>
      </c>
      <c r="D2129">
        <v>45.488660156249999</v>
      </c>
      <c r="E2129" s="5">
        <f t="shared" si="243"/>
        <v>45488.66015625</v>
      </c>
      <c r="F2129" s="5">
        <v>1.69708486646414</v>
      </c>
      <c r="G2129">
        <f t="shared" si="244"/>
        <v>909.77320312500001</v>
      </c>
      <c r="H2129">
        <f t="shared" si="245"/>
        <v>0.169708486646414</v>
      </c>
      <c r="I2129">
        <f t="shared" si="246"/>
        <v>0.15875456105250765</v>
      </c>
      <c r="K2129" s="5">
        <f t="shared" si="247"/>
        <v>1064.1694366188044</v>
      </c>
      <c r="L2129" s="5">
        <f t="shared" si="248"/>
        <v>0.15675456105250765</v>
      </c>
    </row>
    <row r="2130" spans="2:12">
      <c r="B2130">
        <v>20.7265625</v>
      </c>
      <c r="C2130">
        <v>3.4577450715005398</v>
      </c>
      <c r="D2130">
        <v>45.461832031249997</v>
      </c>
      <c r="E2130" s="5">
        <f t="shared" si="243"/>
        <v>45461.83203125</v>
      </c>
      <c r="F2130" s="5">
        <v>1.6989154973998699</v>
      </c>
      <c r="G2130">
        <f t="shared" si="244"/>
        <v>909.23664062499995</v>
      </c>
      <c r="H2130">
        <f t="shared" si="245"/>
        <v>0.16989154973998699</v>
      </c>
      <c r="I2130">
        <f t="shared" si="246"/>
        <v>0.15891105198352115</v>
      </c>
      <c r="K2130" s="5">
        <f t="shared" si="247"/>
        <v>1063.7082625811609</v>
      </c>
      <c r="L2130" s="5">
        <f t="shared" si="248"/>
        <v>0.15691105198352115</v>
      </c>
    </row>
    <row r="2131" spans="2:12">
      <c r="B2131">
        <v>20.736328125</v>
      </c>
      <c r="C2131">
        <v>3.4585734829306598</v>
      </c>
      <c r="D2131">
        <v>45.430332031250003</v>
      </c>
      <c r="E2131" s="5">
        <f t="shared" si="243"/>
        <v>45430.33203125</v>
      </c>
      <c r="F2131" s="5">
        <v>1.70046032872051</v>
      </c>
      <c r="G2131">
        <f t="shared" si="244"/>
        <v>908.60664062499995</v>
      </c>
      <c r="H2131">
        <f t="shared" si="245"/>
        <v>0.170046032872051</v>
      </c>
      <c r="I2131">
        <f t="shared" si="246"/>
        <v>0.15904309237078304</v>
      </c>
      <c r="K2131" s="5">
        <f t="shared" si="247"/>
        <v>1063.1115953044825</v>
      </c>
      <c r="L2131" s="5">
        <f t="shared" si="248"/>
        <v>0.15704309237078304</v>
      </c>
    </row>
    <row r="2132" spans="2:12">
      <c r="B2132">
        <v>20.74609375</v>
      </c>
      <c r="C2132">
        <v>3.46067547798157</v>
      </c>
      <c r="D2132">
        <v>45.408121093749997</v>
      </c>
      <c r="E2132" s="5">
        <f t="shared" si="243"/>
        <v>45408.12109375</v>
      </c>
      <c r="F2132" s="5">
        <v>1.70214381068945</v>
      </c>
      <c r="G2132">
        <f t="shared" si="244"/>
        <v>908.16242187499995</v>
      </c>
      <c r="H2132">
        <f t="shared" si="245"/>
        <v>0.17021438106894499</v>
      </c>
      <c r="I2132">
        <f t="shared" si="246"/>
        <v>0.15918696370764918</v>
      </c>
      <c r="K2132" s="5">
        <f t="shared" si="247"/>
        <v>1062.744726424527</v>
      </c>
      <c r="L2132" s="5">
        <f t="shared" si="248"/>
        <v>0.15718696370764917</v>
      </c>
    </row>
    <row r="2133" spans="2:12">
      <c r="B2133">
        <v>20.755859375</v>
      </c>
      <c r="C2133">
        <v>3.4622079692780998</v>
      </c>
      <c r="D2133">
        <v>45.385140624999998</v>
      </c>
      <c r="E2133" s="5">
        <f t="shared" si="243"/>
        <v>45385.140625</v>
      </c>
      <c r="F2133" s="5">
        <v>1.70383416116238</v>
      </c>
      <c r="G2133">
        <f t="shared" si="244"/>
        <v>907.70281250000005</v>
      </c>
      <c r="H2133">
        <f t="shared" si="245"/>
        <v>0.170383416116238</v>
      </c>
      <c r="I2133">
        <f t="shared" si="246"/>
        <v>0.1593314012080094</v>
      </c>
      <c r="K2133" s="5">
        <f t="shared" si="247"/>
        <v>1062.3603185120671</v>
      </c>
      <c r="L2133" s="5">
        <f t="shared" si="248"/>
        <v>0.1573314012080094</v>
      </c>
    </row>
    <row r="2134" spans="2:12">
      <c r="B2134">
        <v>20.765625</v>
      </c>
      <c r="C2134">
        <v>3.4636794589459901</v>
      </c>
      <c r="D2134">
        <v>45.402894531249999</v>
      </c>
      <c r="E2134" s="5">
        <f t="shared" si="243"/>
        <v>45402.89453125</v>
      </c>
      <c r="F2134" s="5">
        <v>1.70557771343738</v>
      </c>
      <c r="G2134">
        <f t="shared" si="244"/>
        <v>908.05789062500003</v>
      </c>
      <c r="H2134">
        <f t="shared" si="245"/>
        <v>0.17055777134373801</v>
      </c>
      <c r="I2134">
        <f t="shared" si="246"/>
        <v>0.15948036285536421</v>
      </c>
      <c r="K2134" s="5">
        <f t="shared" si="247"/>
        <v>1062.9342207010959</v>
      </c>
      <c r="L2134" s="5">
        <f t="shared" si="248"/>
        <v>0.15748036285536421</v>
      </c>
    </row>
    <row r="2135" spans="2:12">
      <c r="B2135">
        <v>20.775390625</v>
      </c>
      <c r="C2135">
        <v>3.4654960036277802</v>
      </c>
      <c r="D2135">
        <v>45.409578125000003</v>
      </c>
      <c r="E2135" s="5">
        <f t="shared" si="243"/>
        <v>45409.578125</v>
      </c>
      <c r="F2135" s="5">
        <v>1.7073591006919699</v>
      </c>
      <c r="G2135">
        <f t="shared" si="244"/>
        <v>908.19156250000003</v>
      </c>
      <c r="H2135">
        <f t="shared" si="245"/>
        <v>0.170735910069197</v>
      </c>
      <c r="I2135">
        <f t="shared" si="246"/>
        <v>0.15963253404791203</v>
      </c>
      <c r="K2135" s="5">
        <f t="shared" si="247"/>
        <v>1063.2524754406036</v>
      </c>
      <c r="L2135" s="5">
        <f t="shared" si="248"/>
        <v>0.15763253404791203</v>
      </c>
    </row>
    <row r="2136" spans="2:12">
      <c r="B2136">
        <v>20.78515625</v>
      </c>
      <c r="C2136">
        <v>3.46836890093982</v>
      </c>
      <c r="D2136">
        <v>45.40328515625</v>
      </c>
      <c r="E2136" s="5">
        <f t="shared" si="243"/>
        <v>45403.28515625</v>
      </c>
      <c r="F2136" s="5">
        <v>1.7090813489630801</v>
      </c>
      <c r="G2136">
        <f t="shared" si="244"/>
        <v>908.06570312500003</v>
      </c>
      <c r="H2136">
        <f t="shared" si="245"/>
        <v>0.17090813489630802</v>
      </c>
      <c r="I2136">
        <f t="shared" si="246"/>
        <v>0.15977963140695925</v>
      </c>
      <c r="K2136" s="5">
        <f t="shared" si="247"/>
        <v>1063.2615188093982</v>
      </c>
      <c r="L2136" s="5">
        <f t="shared" si="248"/>
        <v>0.15777963140695925</v>
      </c>
    </row>
    <row r="2137" spans="2:12">
      <c r="B2137">
        <v>20.794921875</v>
      </c>
      <c r="C2137">
        <v>3.4711263142526199</v>
      </c>
      <c r="D2137">
        <v>45.396999999999998</v>
      </c>
      <c r="E2137" s="5">
        <f t="shared" si="243"/>
        <v>45397</v>
      </c>
      <c r="F2137" s="5">
        <v>1.7107250168919601</v>
      </c>
      <c r="G2137">
        <f t="shared" si="244"/>
        <v>907.94</v>
      </c>
      <c r="H2137">
        <f t="shared" si="245"/>
        <v>0.17107250168919602</v>
      </c>
      <c r="I2137">
        <f t="shared" si="246"/>
        <v>0.15991999703645279</v>
      </c>
      <c r="K2137" s="5">
        <f t="shared" si="247"/>
        <v>1063.2635671836888</v>
      </c>
      <c r="L2137" s="5">
        <f t="shared" si="248"/>
        <v>0.15791999703645279</v>
      </c>
    </row>
    <row r="2138" spans="2:12">
      <c r="B2138">
        <v>20.8046875</v>
      </c>
      <c r="C2138">
        <v>3.4698732197284698</v>
      </c>
      <c r="D2138">
        <v>45.378574218750003</v>
      </c>
      <c r="E2138" s="5">
        <f t="shared" si="243"/>
        <v>45378.57421875</v>
      </c>
      <c r="F2138" s="5">
        <v>1.7125463346019401</v>
      </c>
      <c r="G2138">
        <f t="shared" si="244"/>
        <v>907.57148437499995</v>
      </c>
      <c r="H2138">
        <f t="shared" si="245"/>
        <v>0.17125463346019401</v>
      </c>
      <c r="I2138">
        <f t="shared" si="246"/>
        <v>0.16007551055856672</v>
      </c>
      <c r="K2138" s="5">
        <f t="shared" si="247"/>
        <v>1062.9973062705649</v>
      </c>
      <c r="L2138" s="5">
        <f t="shared" si="248"/>
        <v>0.15807551055856672</v>
      </c>
    </row>
    <row r="2139" spans="2:12">
      <c r="B2139">
        <v>20.814453125</v>
      </c>
      <c r="C2139">
        <v>3.4705849830061202</v>
      </c>
      <c r="D2139">
        <v>45.36886328125</v>
      </c>
      <c r="E2139" s="5">
        <f t="shared" si="243"/>
        <v>45368.86328125</v>
      </c>
      <c r="F2139" s="5">
        <v>1.7143373843282499</v>
      </c>
      <c r="G2139">
        <f t="shared" si="244"/>
        <v>907.37726562499995</v>
      </c>
      <c r="H2139">
        <f t="shared" si="245"/>
        <v>0.171433738432825</v>
      </c>
      <c r="I2139">
        <f t="shared" si="246"/>
        <v>0.160228416062456</v>
      </c>
      <c r="K2139" s="5">
        <f t="shared" si="247"/>
        <v>1062.9323424400482</v>
      </c>
      <c r="L2139" s="5">
        <f t="shared" si="248"/>
        <v>0.158228416062456</v>
      </c>
    </row>
    <row r="2140" spans="2:12">
      <c r="B2140">
        <v>20.82421875</v>
      </c>
      <c r="C2140">
        <v>3.4753195941448198</v>
      </c>
      <c r="D2140">
        <v>45.365097656250001</v>
      </c>
      <c r="E2140" s="5">
        <f t="shared" si="243"/>
        <v>45365.09765625</v>
      </c>
      <c r="F2140" s="5">
        <v>1.7160740680992601</v>
      </c>
      <c r="G2140">
        <f t="shared" si="244"/>
        <v>907.30195312499995</v>
      </c>
      <c r="H2140">
        <f t="shared" si="245"/>
        <v>0.17160740680992601</v>
      </c>
      <c r="I2140">
        <f t="shared" si="246"/>
        <v>0.160376657912815</v>
      </c>
      <c r="K2140" s="5">
        <f t="shared" si="247"/>
        <v>1063.0016884943623</v>
      </c>
      <c r="L2140" s="5">
        <f t="shared" si="248"/>
        <v>0.15837665791281499</v>
      </c>
    </row>
    <row r="2141" spans="2:12">
      <c r="B2141">
        <v>20.833984375</v>
      </c>
      <c r="C2141">
        <v>3.4753761719912299</v>
      </c>
      <c r="D2141">
        <v>45.362718749999999</v>
      </c>
      <c r="E2141" s="5">
        <f t="shared" si="243"/>
        <v>45362.71875</v>
      </c>
      <c r="F2141" s="5">
        <v>1.71785987913609</v>
      </c>
      <c r="G2141">
        <f t="shared" si="244"/>
        <v>907.25437499999998</v>
      </c>
      <c r="H2141">
        <f t="shared" si="245"/>
        <v>0.171785987913609</v>
      </c>
      <c r="I2141">
        <f t="shared" si="246"/>
        <v>0.16052907031137406</v>
      </c>
      <c r="K2141" s="5">
        <f t="shared" si="247"/>
        <v>1063.1079640983189</v>
      </c>
      <c r="L2141" s="5">
        <f t="shared" si="248"/>
        <v>0.15852907031137406</v>
      </c>
    </row>
    <row r="2142" spans="2:12">
      <c r="B2142">
        <v>20.84375</v>
      </c>
      <c r="C2142">
        <v>3.4773871302604702</v>
      </c>
      <c r="D2142">
        <v>45.3635625</v>
      </c>
      <c r="E2142" s="5">
        <f t="shared" si="243"/>
        <v>45363.5625</v>
      </c>
      <c r="F2142" s="5">
        <v>1.7195916734635801</v>
      </c>
      <c r="G2142">
        <f t="shared" si="244"/>
        <v>907.27125000000001</v>
      </c>
      <c r="H2142">
        <f t="shared" si="245"/>
        <v>0.17195916734635802</v>
      </c>
      <c r="I2142">
        <f t="shared" si="246"/>
        <v>0.16067685039973018</v>
      </c>
      <c r="K2142" s="5">
        <f t="shared" si="247"/>
        <v>1063.2848587072895</v>
      </c>
      <c r="L2142" s="5">
        <f t="shared" si="248"/>
        <v>0.15867685039973017</v>
      </c>
    </row>
    <row r="2143" spans="2:12">
      <c r="B2143">
        <v>20.853515625</v>
      </c>
      <c r="C2143">
        <v>3.47915082238615</v>
      </c>
      <c r="D2143">
        <v>45.341417968750001</v>
      </c>
      <c r="E2143" s="5">
        <f t="shared" si="243"/>
        <v>45341.41796875</v>
      </c>
      <c r="F2143" s="5">
        <v>1.7213119426742201</v>
      </c>
      <c r="G2143">
        <f t="shared" si="244"/>
        <v>906.82835937499999</v>
      </c>
      <c r="H2143">
        <f t="shared" si="245"/>
        <v>0.17213119426742202</v>
      </c>
      <c r="I2143">
        <f t="shared" si="246"/>
        <v>0.16082362539116377</v>
      </c>
      <c r="K2143" s="5">
        <f t="shared" si="247"/>
        <v>1062.9218078697857</v>
      </c>
      <c r="L2143" s="5">
        <f t="shared" si="248"/>
        <v>0.15882362539116376</v>
      </c>
    </row>
    <row r="2144" spans="2:12">
      <c r="B2144">
        <v>20.86328125</v>
      </c>
      <c r="C2144">
        <v>3.4797072876244801</v>
      </c>
      <c r="D2144">
        <v>45.321542968750002</v>
      </c>
      <c r="E2144" s="5">
        <f t="shared" si="243"/>
        <v>45321.54296875</v>
      </c>
      <c r="F2144" s="5">
        <v>1.7230089288204899</v>
      </c>
      <c r="G2144">
        <f t="shared" si="244"/>
        <v>906.43085937499995</v>
      </c>
      <c r="H2144">
        <f t="shared" si="245"/>
        <v>0.172300892882049</v>
      </c>
      <c r="I2144">
        <f t="shared" si="246"/>
        <v>0.16096839274514571</v>
      </c>
      <c r="K2144" s="5">
        <f t="shared" si="247"/>
        <v>1062.6097057811555</v>
      </c>
      <c r="L2144" s="5">
        <f t="shared" si="248"/>
        <v>0.15896839274514571</v>
      </c>
    </row>
    <row r="2145" spans="2:12">
      <c r="B2145">
        <v>20.873046875</v>
      </c>
      <c r="C2145">
        <v>3.4820176661014601</v>
      </c>
      <c r="D2145">
        <v>45.311839843750001</v>
      </c>
      <c r="E2145" s="5">
        <f t="shared" si="243"/>
        <v>45311.83984375</v>
      </c>
      <c r="F2145" s="5">
        <v>1.7248208168894099</v>
      </c>
      <c r="G2145">
        <f t="shared" si="244"/>
        <v>906.23679687499998</v>
      </c>
      <c r="H2145">
        <f t="shared" si="245"/>
        <v>0.172482081688941</v>
      </c>
      <c r="I2145">
        <f t="shared" si="246"/>
        <v>0.16112293907989608</v>
      </c>
      <c r="K2145" s="5">
        <f t="shared" si="247"/>
        <v>1062.546406103118</v>
      </c>
      <c r="L2145" s="5">
        <f t="shared" si="248"/>
        <v>0.15912293907989608</v>
      </c>
    </row>
    <row r="2146" spans="2:12">
      <c r="B2146">
        <v>20.8828125</v>
      </c>
      <c r="C2146">
        <v>3.4843524917960198</v>
      </c>
      <c r="D2146">
        <v>45.290863281249997</v>
      </c>
      <c r="E2146" s="5">
        <f t="shared" si="243"/>
        <v>45290.86328125</v>
      </c>
      <c r="F2146" s="5">
        <v>1.7265315400436501</v>
      </c>
      <c r="G2146">
        <f t="shared" si="244"/>
        <v>905.817265625</v>
      </c>
      <c r="H2146">
        <f t="shared" si="245"/>
        <v>0.17265315400436501</v>
      </c>
      <c r="I2146">
        <f t="shared" si="246"/>
        <v>0.16126883456014279</v>
      </c>
      <c r="K2146" s="5">
        <f t="shared" si="247"/>
        <v>1062.209473486766</v>
      </c>
      <c r="L2146" s="5">
        <f t="shared" si="248"/>
        <v>0.15926883456014279</v>
      </c>
    </row>
    <row r="2147" spans="2:12">
      <c r="B2147">
        <v>20.892578125</v>
      </c>
      <c r="C2147">
        <v>3.4865536727011199</v>
      </c>
      <c r="D2147">
        <v>45.286644531249998</v>
      </c>
      <c r="E2147" s="5">
        <f t="shared" si="243"/>
        <v>45286.64453125</v>
      </c>
      <c r="F2147" s="5">
        <v>1.7282064072787799</v>
      </c>
      <c r="G2147">
        <f t="shared" si="244"/>
        <v>905.73289062499998</v>
      </c>
      <c r="H2147">
        <f t="shared" si="245"/>
        <v>0.17282064072787801</v>
      </c>
      <c r="I2147">
        <f t="shared" si="246"/>
        <v>0.16141165152460765</v>
      </c>
      <c r="K2147" s="5">
        <f t="shared" si="247"/>
        <v>1062.2622291111256</v>
      </c>
      <c r="L2147" s="5">
        <f t="shared" si="248"/>
        <v>0.15941165152460765</v>
      </c>
    </row>
    <row r="2148" spans="2:12">
      <c r="B2148">
        <v>20.90234375</v>
      </c>
      <c r="C2148">
        <v>3.4868225920945402</v>
      </c>
      <c r="D2148">
        <v>45.288746093749999</v>
      </c>
      <c r="E2148" s="5">
        <f t="shared" si="243"/>
        <v>45288.74609375</v>
      </c>
      <c r="F2148" s="5">
        <v>1.7299067694693799</v>
      </c>
      <c r="G2148">
        <f t="shared" si="244"/>
        <v>905.77492187500002</v>
      </c>
      <c r="H2148">
        <f t="shared" si="245"/>
        <v>0.17299067694693798</v>
      </c>
      <c r="I2148">
        <f t="shared" si="246"/>
        <v>0.1615566215979265</v>
      </c>
      <c r="K2148" s="5">
        <f t="shared" si="247"/>
        <v>1062.4655387717162</v>
      </c>
      <c r="L2148" s="5">
        <f t="shared" si="248"/>
        <v>0.1595566215979265</v>
      </c>
    </row>
    <row r="2149" spans="2:12">
      <c r="B2149">
        <v>20.912109375</v>
      </c>
      <c r="C2149">
        <v>3.4881227184086998</v>
      </c>
      <c r="D2149">
        <v>45.284097656249997</v>
      </c>
      <c r="E2149" s="5">
        <f t="shared" si="243"/>
        <v>45284.09765625</v>
      </c>
      <c r="F2149" s="5">
        <v>1.7317358870059301</v>
      </c>
      <c r="G2149">
        <f t="shared" si="244"/>
        <v>905.68195312499995</v>
      </c>
      <c r="H2149">
        <f t="shared" si="245"/>
        <v>0.17317358870059302</v>
      </c>
      <c r="I2149">
        <f t="shared" si="246"/>
        <v>0.16171254567937612</v>
      </c>
      <c r="K2149" s="5">
        <f t="shared" si="247"/>
        <v>1062.5221471690184</v>
      </c>
      <c r="L2149" s="5">
        <f t="shared" si="248"/>
        <v>0.15971254567937612</v>
      </c>
    </row>
    <row r="2150" spans="2:12">
      <c r="B2150">
        <v>20.921875</v>
      </c>
      <c r="C2150">
        <v>3.4893141128122802</v>
      </c>
      <c r="D2150">
        <v>45.270386718749997</v>
      </c>
      <c r="E2150" s="5">
        <f t="shared" si="243"/>
        <v>45270.38671875</v>
      </c>
      <c r="F2150" s="5">
        <v>1.7334257718175701</v>
      </c>
      <c r="G2150">
        <f t="shared" si="244"/>
        <v>905.40773437500002</v>
      </c>
      <c r="H2150">
        <f t="shared" si="245"/>
        <v>0.173342577181757</v>
      </c>
      <c r="I2150">
        <f t="shared" si="246"/>
        <v>0.16185657919076904</v>
      </c>
      <c r="K2150" s="5">
        <f t="shared" si="247"/>
        <v>1062.3534444518582</v>
      </c>
      <c r="L2150" s="5">
        <f t="shared" si="248"/>
        <v>0.15985657919076904</v>
      </c>
    </row>
    <row r="2151" spans="2:12">
      <c r="B2151">
        <v>20.931640625</v>
      </c>
      <c r="C2151">
        <v>3.4907825756818101</v>
      </c>
      <c r="D2151">
        <v>45.251621093750003</v>
      </c>
      <c r="E2151" s="5">
        <f t="shared" si="243"/>
        <v>45251.62109375</v>
      </c>
      <c r="F2151" s="5">
        <v>1.73516222275794</v>
      </c>
      <c r="G2151">
        <f t="shared" si="244"/>
        <v>905.03242187499995</v>
      </c>
      <c r="H2151">
        <f t="shared" si="245"/>
        <v>0.173516222275794</v>
      </c>
      <c r="I2151">
        <f t="shared" si="246"/>
        <v>0.1620045600530127</v>
      </c>
      <c r="K2151" s="5">
        <f t="shared" si="247"/>
        <v>1062.0702287558627</v>
      </c>
      <c r="L2151" s="5">
        <f t="shared" si="248"/>
        <v>0.1600045600530127</v>
      </c>
    </row>
    <row r="2152" spans="2:12">
      <c r="B2152">
        <v>20.94140625</v>
      </c>
      <c r="C2152">
        <v>3.49263241514564</v>
      </c>
      <c r="D2152">
        <v>45.230894531250001</v>
      </c>
      <c r="E2152" s="5">
        <f t="shared" si="243"/>
        <v>45230.89453125</v>
      </c>
      <c r="F2152" s="5">
        <v>1.7368628177791801</v>
      </c>
      <c r="G2152">
        <f t="shared" si="244"/>
        <v>904.61789062499997</v>
      </c>
      <c r="H2152">
        <f t="shared" si="245"/>
        <v>0.17368628177791801</v>
      </c>
      <c r="I2152">
        <f t="shared" si="246"/>
        <v>0.16214946404159294</v>
      </c>
      <c r="K2152" s="5">
        <f t="shared" si="247"/>
        <v>1061.7376084774394</v>
      </c>
      <c r="L2152" s="5">
        <f t="shared" si="248"/>
        <v>0.16014946404159294</v>
      </c>
    </row>
    <row r="2153" spans="2:12">
      <c r="B2153">
        <v>20.951171875</v>
      </c>
      <c r="C2153">
        <v>3.4942589700222002</v>
      </c>
      <c r="D2153">
        <v>45.210855468749997</v>
      </c>
      <c r="E2153" s="5">
        <f t="shared" si="243"/>
        <v>45210.85546875</v>
      </c>
      <c r="F2153" s="5">
        <v>1.73847563564777</v>
      </c>
      <c r="G2153">
        <f t="shared" si="244"/>
        <v>904.21710937499995</v>
      </c>
      <c r="H2153">
        <f t="shared" si="245"/>
        <v>0.17384756356477699</v>
      </c>
      <c r="I2153">
        <f t="shared" si="246"/>
        <v>0.16228686933390238</v>
      </c>
      <c r="K2153" s="5">
        <f t="shared" si="247"/>
        <v>1061.4130507734292</v>
      </c>
      <c r="L2153" s="5">
        <f t="shared" si="248"/>
        <v>0.16028686933390238</v>
      </c>
    </row>
    <row r="2154" spans="2:12">
      <c r="B2154">
        <v>20.9609375</v>
      </c>
      <c r="C2154">
        <v>3.4963868092745498</v>
      </c>
      <c r="D2154">
        <v>45.202132812499997</v>
      </c>
      <c r="E2154" s="5">
        <f t="shared" si="243"/>
        <v>45202.1328125</v>
      </c>
      <c r="F2154" s="5">
        <v>1.74018298275769</v>
      </c>
      <c r="G2154">
        <f t="shared" si="244"/>
        <v>904.04265625000005</v>
      </c>
      <c r="H2154">
        <f t="shared" si="245"/>
        <v>0.17401829827576901</v>
      </c>
      <c r="I2154">
        <f t="shared" si="246"/>
        <v>0.16243230755000143</v>
      </c>
      <c r="K2154" s="5">
        <f t="shared" si="247"/>
        <v>1061.3626208593309</v>
      </c>
      <c r="L2154" s="5">
        <f t="shared" si="248"/>
        <v>0.16043230755000143</v>
      </c>
    </row>
    <row r="2155" spans="2:12">
      <c r="B2155">
        <v>20.970703125</v>
      </c>
      <c r="C2155">
        <v>3.4978105686604999</v>
      </c>
      <c r="D2155">
        <v>45.222890624999998</v>
      </c>
      <c r="E2155" s="5">
        <f t="shared" si="243"/>
        <v>45222.890625</v>
      </c>
      <c r="F2155" s="5">
        <v>1.74197182059288</v>
      </c>
      <c r="G2155">
        <f t="shared" si="244"/>
        <v>904.45781250000005</v>
      </c>
      <c r="H2155">
        <f t="shared" si="245"/>
        <v>0.174197182059288</v>
      </c>
      <c r="I2155">
        <f t="shared" si="246"/>
        <v>0.16258466476369254</v>
      </c>
      <c r="K2155" s="5">
        <f t="shared" si="247"/>
        <v>1062.0118147290079</v>
      </c>
      <c r="L2155" s="5">
        <f t="shared" si="248"/>
        <v>0.16058466476369254</v>
      </c>
    </row>
    <row r="2156" spans="2:12">
      <c r="B2156">
        <v>20.98046875</v>
      </c>
      <c r="C2156">
        <v>3.4998320043087001</v>
      </c>
      <c r="D2156">
        <v>45.231277343750001</v>
      </c>
      <c r="E2156" s="5">
        <f t="shared" si="243"/>
        <v>45231.27734375</v>
      </c>
      <c r="F2156" s="5">
        <v>1.7437654314562701</v>
      </c>
      <c r="G2156">
        <f t="shared" si="244"/>
        <v>904.62554687500005</v>
      </c>
      <c r="H2156">
        <f t="shared" si="245"/>
        <v>0.17437654314562701</v>
      </c>
      <c r="I2156">
        <f t="shared" si="246"/>
        <v>0.16273740519910046</v>
      </c>
      <c r="K2156" s="5">
        <f t="shared" si="247"/>
        <v>1062.3710225802849</v>
      </c>
      <c r="L2156" s="5">
        <f t="shared" si="248"/>
        <v>0.16073740519910046</v>
      </c>
    </row>
    <row r="2157" spans="2:12">
      <c r="B2157">
        <v>20.990234375</v>
      </c>
      <c r="C2157">
        <v>3.5019896458834401</v>
      </c>
      <c r="D2157">
        <v>45.208628906249999</v>
      </c>
      <c r="E2157" s="5">
        <f t="shared" si="243"/>
        <v>45208.62890625</v>
      </c>
      <c r="F2157" s="5">
        <v>1.74549827352166</v>
      </c>
      <c r="G2157">
        <f t="shared" si="244"/>
        <v>904.17257812499997</v>
      </c>
      <c r="H2157">
        <f t="shared" si="245"/>
        <v>0.17454982735216601</v>
      </c>
      <c r="I2157">
        <f t="shared" si="246"/>
        <v>0.16288494852700525</v>
      </c>
      <c r="K2157" s="5">
        <f t="shared" si="247"/>
        <v>1061.9957455332815</v>
      </c>
      <c r="L2157" s="5">
        <f t="shared" si="248"/>
        <v>0.16088494852700524</v>
      </c>
    </row>
    <row r="2158" spans="2:12">
      <c r="B2158" t="s">
        <v>11</v>
      </c>
      <c r="C2158">
        <v>3.50367045029998</v>
      </c>
      <c r="D2158">
        <v>45.205175781249999</v>
      </c>
      <c r="E2158" s="5">
        <f t="shared" si="243"/>
        <v>45205.17578125</v>
      </c>
      <c r="F2158" s="5">
        <v>1.74724753014743</v>
      </c>
      <c r="G2158">
        <f t="shared" si="244"/>
        <v>904.103515625</v>
      </c>
      <c r="H2158">
        <f t="shared" si="245"/>
        <v>0.174724753014743</v>
      </c>
      <c r="I2158">
        <f t="shared" si="246"/>
        <v>0.16303386740125017</v>
      </c>
      <c r="K2158" s="5">
        <f t="shared" si="247"/>
        <v>1062.0727790923388</v>
      </c>
      <c r="L2158" s="5">
        <f t="shared" si="248"/>
        <v>0.16103386740125017</v>
      </c>
    </row>
    <row r="2159" spans="2:12">
      <c r="B2159">
        <v>21.009765625</v>
      </c>
      <c r="C2159">
        <v>3.5048462450504299</v>
      </c>
      <c r="D2159">
        <v>45.187914062499999</v>
      </c>
      <c r="E2159" s="5">
        <f t="shared" si="243"/>
        <v>45187.9140625</v>
      </c>
      <c r="F2159" s="5">
        <v>1.74901180434972</v>
      </c>
      <c r="G2159">
        <f t="shared" si="244"/>
        <v>903.75828124999998</v>
      </c>
      <c r="H2159">
        <f t="shared" si="245"/>
        <v>0.17490118043497199</v>
      </c>
      <c r="I2159">
        <f t="shared" si="246"/>
        <v>0.16318404230190059</v>
      </c>
      <c r="K2159" s="5">
        <f t="shared" si="247"/>
        <v>1061.8266714685064</v>
      </c>
      <c r="L2159" s="5">
        <f t="shared" si="248"/>
        <v>0.16118404230190059</v>
      </c>
    </row>
    <row r="2160" spans="2:12">
      <c r="B2160">
        <v>21.01953125</v>
      </c>
      <c r="C2160">
        <v>3.5063892137259201</v>
      </c>
      <c r="D2160">
        <v>45.189597656250001</v>
      </c>
      <c r="E2160" s="5">
        <f t="shared" si="243"/>
        <v>45189.59765625</v>
      </c>
      <c r="F2160" s="5">
        <v>1.75077887251973</v>
      </c>
      <c r="G2160">
        <f t="shared" si="244"/>
        <v>903.79195312499996</v>
      </c>
      <c r="H2160">
        <f t="shared" si="245"/>
        <v>0.17507788725197299</v>
      </c>
      <c r="I2160">
        <f t="shared" si="246"/>
        <v>0.16333443242219034</v>
      </c>
      <c r="K2160" s="5">
        <f t="shared" si="247"/>
        <v>1062.0259387934591</v>
      </c>
      <c r="L2160" s="5">
        <f t="shared" si="248"/>
        <v>0.16133443242219034</v>
      </c>
    </row>
    <row r="2161" spans="2:12">
      <c r="B2161">
        <v>21.029296875</v>
      </c>
      <c r="C2161">
        <v>3.50670539774001</v>
      </c>
      <c r="D2161">
        <v>45.194902343750002</v>
      </c>
      <c r="E2161" s="5">
        <f t="shared" si="243"/>
        <v>45194.90234375</v>
      </c>
      <c r="F2161" s="5">
        <v>1.7525665462017099</v>
      </c>
      <c r="G2161">
        <f t="shared" si="244"/>
        <v>903.89804687499998</v>
      </c>
      <c r="H2161">
        <f t="shared" si="245"/>
        <v>0.17525665462017098</v>
      </c>
      <c r="I2161">
        <f t="shared" si="246"/>
        <v>0.16348655320785557</v>
      </c>
      <c r="K2161" s="5">
        <f t="shared" si="247"/>
        <v>1062.312194688019</v>
      </c>
      <c r="L2161" s="5">
        <f t="shared" si="248"/>
        <v>0.16148655320785557</v>
      </c>
    </row>
    <row r="2162" spans="2:12">
      <c r="B2162">
        <v>21.0390625</v>
      </c>
      <c r="C2162">
        <v>3.5089822486042999</v>
      </c>
      <c r="D2162">
        <v>45.193828125000003</v>
      </c>
      <c r="E2162" s="5">
        <f t="shared" si="243"/>
        <v>45193.828125</v>
      </c>
      <c r="F2162" s="5">
        <v>1.7543684225529399</v>
      </c>
      <c r="G2162">
        <f t="shared" si="244"/>
        <v>903.87656249999998</v>
      </c>
      <c r="H2162">
        <f t="shared" si="245"/>
        <v>0.17543684225529399</v>
      </c>
      <c r="I2162">
        <f t="shared" si="246"/>
        <v>0.1636398591456269</v>
      </c>
      <c r="K2162" s="5">
        <f t="shared" si="247"/>
        <v>1062.4498124135698</v>
      </c>
      <c r="L2162" s="5">
        <f t="shared" si="248"/>
        <v>0.1616398591456269</v>
      </c>
    </row>
    <row r="2163" spans="2:12">
      <c r="B2163">
        <v>21.048828125</v>
      </c>
      <c r="C2163">
        <v>3.5110912285745099</v>
      </c>
      <c r="D2163">
        <v>45.182156249999998</v>
      </c>
      <c r="E2163" s="5">
        <f t="shared" si="243"/>
        <v>45182.15625</v>
      </c>
      <c r="F2163" s="5">
        <v>1.75618263892829</v>
      </c>
      <c r="G2163">
        <f t="shared" si="244"/>
        <v>903.64312500000005</v>
      </c>
      <c r="H2163">
        <f t="shared" si="245"/>
        <v>0.175618263892829</v>
      </c>
      <c r="I2163">
        <f t="shared" si="246"/>
        <v>0.16379419124734648</v>
      </c>
      <c r="K2163" s="5">
        <f t="shared" si="247"/>
        <v>1062.3393617911906</v>
      </c>
      <c r="L2163" s="5">
        <f t="shared" si="248"/>
        <v>0.16179419124734648</v>
      </c>
    </row>
    <row r="2164" spans="2:12">
      <c r="B2164">
        <v>21.05859375</v>
      </c>
      <c r="C2164">
        <v>3.5134686622768601</v>
      </c>
      <c r="D2164">
        <v>45.175597656249998</v>
      </c>
      <c r="E2164" s="5">
        <f t="shared" si="243"/>
        <v>45175.59765625</v>
      </c>
      <c r="F2164" s="5">
        <v>1.7580734565854099</v>
      </c>
      <c r="G2164">
        <f t="shared" si="244"/>
        <v>903.51195312499999</v>
      </c>
      <c r="H2164">
        <f t="shared" si="245"/>
        <v>0.175807345658541</v>
      </c>
      <c r="I2164">
        <f t="shared" si="246"/>
        <v>0.16395501433726392</v>
      </c>
      <c r="K2164" s="5">
        <f t="shared" si="247"/>
        <v>1062.3559913746703</v>
      </c>
      <c r="L2164" s="5">
        <f t="shared" si="248"/>
        <v>0.16195501433726392</v>
      </c>
    </row>
    <row r="2165" spans="2:12">
      <c r="B2165">
        <v>21.068359375</v>
      </c>
      <c r="C2165">
        <v>3.5133294295519599</v>
      </c>
      <c r="D2165">
        <v>45.152914062500003</v>
      </c>
      <c r="E2165" s="5">
        <f t="shared" si="243"/>
        <v>45152.9140625</v>
      </c>
      <c r="F2165" s="5">
        <v>1.7599157290533201</v>
      </c>
      <c r="G2165">
        <f t="shared" si="244"/>
        <v>903.05828125000005</v>
      </c>
      <c r="H2165">
        <f t="shared" si="245"/>
        <v>0.17599157290533202</v>
      </c>
      <c r="I2165">
        <f t="shared" si="246"/>
        <v>0.16411168355393355</v>
      </c>
      <c r="K2165" s="5">
        <f t="shared" si="247"/>
        <v>1061.9889285923732</v>
      </c>
      <c r="L2165" s="5">
        <f t="shared" si="248"/>
        <v>0.16211168355393354</v>
      </c>
    </row>
    <row r="2166" spans="2:12">
      <c r="B2166">
        <v>21.078125</v>
      </c>
      <c r="C2166">
        <v>3.51715832948685</v>
      </c>
      <c r="D2166">
        <v>45.14916796875</v>
      </c>
      <c r="E2166" s="5">
        <f t="shared" si="243"/>
        <v>45149.16796875</v>
      </c>
      <c r="F2166" s="5">
        <v>1.76172389183193</v>
      </c>
      <c r="G2166">
        <f t="shared" si="244"/>
        <v>902.98335937499996</v>
      </c>
      <c r="H2166">
        <f t="shared" si="245"/>
        <v>0.176172389183193</v>
      </c>
      <c r="I2166">
        <f t="shared" si="246"/>
        <v>0.16426542817474352</v>
      </c>
      <c r="K2166" s="5">
        <f t="shared" si="247"/>
        <v>1062.0640951887594</v>
      </c>
      <c r="L2166" s="5">
        <f t="shared" si="248"/>
        <v>0.16226542817474351</v>
      </c>
    </row>
    <row r="2167" spans="2:12">
      <c r="B2167">
        <v>21.087890625</v>
      </c>
      <c r="C2167">
        <v>3.5206773318350302</v>
      </c>
      <c r="D2167">
        <v>45.119492187500001</v>
      </c>
      <c r="E2167" s="5">
        <f t="shared" si="243"/>
        <v>45119.4921875</v>
      </c>
      <c r="F2167" s="5">
        <v>1.7633703537285299</v>
      </c>
      <c r="G2167">
        <f t="shared" si="244"/>
        <v>902.38984374999995</v>
      </c>
      <c r="H2167">
        <f t="shared" si="245"/>
        <v>0.176337035372853</v>
      </c>
      <c r="I2167">
        <f t="shared" si="246"/>
        <v>0.16440540312082474</v>
      </c>
      <c r="K2167" s="5">
        <f t="shared" si="247"/>
        <v>1061.514593547447</v>
      </c>
      <c r="L2167" s="5">
        <f t="shared" si="248"/>
        <v>0.16240540312082474</v>
      </c>
    </row>
    <row r="2168" spans="2:12">
      <c r="B2168">
        <v>21.09765625</v>
      </c>
      <c r="C2168">
        <v>3.5197325050830801</v>
      </c>
      <c r="D2168">
        <v>45.100382812500001</v>
      </c>
      <c r="E2168" s="5">
        <f t="shared" si="243"/>
        <v>45100.3828125</v>
      </c>
      <c r="F2168" s="5">
        <v>1.7650808440521399</v>
      </c>
      <c r="G2168">
        <f t="shared" si="244"/>
        <v>902.00765624999997</v>
      </c>
      <c r="H2168">
        <f t="shared" si="245"/>
        <v>0.17650808440521398</v>
      </c>
      <c r="I2168">
        <f t="shared" si="246"/>
        <v>0.16455080073431358</v>
      </c>
      <c r="K2168" s="5">
        <f t="shared" si="247"/>
        <v>1061.2192997735242</v>
      </c>
      <c r="L2168" s="5">
        <f t="shared" si="248"/>
        <v>0.16255080073431358</v>
      </c>
    </row>
    <row r="2169" spans="2:12">
      <c r="B2169">
        <v>21.107421875</v>
      </c>
      <c r="C2169">
        <v>3.5223641898482998</v>
      </c>
      <c r="D2169">
        <v>45.092183593750001</v>
      </c>
      <c r="E2169" s="5">
        <f t="shared" si="243"/>
        <v>45092.18359375</v>
      </c>
      <c r="F2169" s="5">
        <v>1.76687713246793</v>
      </c>
      <c r="G2169">
        <f t="shared" si="244"/>
        <v>901.84367187500004</v>
      </c>
      <c r="H2169">
        <f t="shared" si="245"/>
        <v>0.176687713246793</v>
      </c>
      <c r="I2169">
        <f t="shared" si="246"/>
        <v>0.16470346872913755</v>
      </c>
      <c r="K2169" s="5">
        <f t="shared" si="247"/>
        <v>1061.1883679646849</v>
      </c>
      <c r="L2169" s="5">
        <f t="shared" si="248"/>
        <v>0.16270346872913755</v>
      </c>
    </row>
    <row r="2170" spans="2:12">
      <c r="B2170">
        <v>21.1171875</v>
      </c>
      <c r="C2170">
        <v>3.5219101700931801</v>
      </c>
      <c r="D2170">
        <v>45.058425781250001</v>
      </c>
      <c r="E2170" s="5">
        <f t="shared" si="243"/>
        <v>45058.42578125</v>
      </c>
      <c r="F2170" s="5">
        <v>1.7686889041215199</v>
      </c>
      <c r="G2170">
        <f t="shared" si="244"/>
        <v>901.16851562500005</v>
      </c>
      <c r="H2170">
        <f t="shared" si="245"/>
        <v>0.17686889041215198</v>
      </c>
      <c r="I2170">
        <f t="shared" si="246"/>
        <v>0.16485742905066561</v>
      </c>
      <c r="K2170" s="5">
        <f t="shared" si="247"/>
        <v>1060.5571910579599</v>
      </c>
      <c r="L2170" s="5">
        <f t="shared" si="248"/>
        <v>0.16285742905066561</v>
      </c>
    </row>
    <row r="2171" spans="2:12">
      <c r="B2171">
        <v>21.126953125</v>
      </c>
      <c r="C2171">
        <v>3.5251074004918301</v>
      </c>
      <c r="D2171">
        <v>45.082367187499997</v>
      </c>
      <c r="E2171" s="5">
        <f t="shared" si="243"/>
        <v>45082.3671875</v>
      </c>
      <c r="F2171" s="5">
        <v>1.77051313221455</v>
      </c>
      <c r="G2171">
        <f t="shared" si="244"/>
        <v>901.64734375</v>
      </c>
      <c r="H2171">
        <f t="shared" si="245"/>
        <v>0.17705131322145501</v>
      </c>
      <c r="I2171">
        <f t="shared" si="246"/>
        <v>0.16501242394759258</v>
      </c>
      <c r="K2171" s="5">
        <f t="shared" si="247"/>
        <v>1061.2851900235742</v>
      </c>
      <c r="L2171" s="5">
        <f t="shared" si="248"/>
        <v>0.16301242394759258</v>
      </c>
    </row>
    <row r="2172" spans="2:12">
      <c r="B2172">
        <v>21.13671875</v>
      </c>
      <c r="C2172">
        <v>3.52598493918777</v>
      </c>
      <c r="D2172">
        <v>45.062835937499997</v>
      </c>
      <c r="E2172" s="5">
        <f t="shared" si="243"/>
        <v>45062.8359375</v>
      </c>
      <c r="F2172" s="5">
        <v>1.7720637843012801</v>
      </c>
      <c r="G2172">
        <f t="shared" si="244"/>
        <v>901.25671875</v>
      </c>
      <c r="H2172">
        <f t="shared" si="245"/>
        <v>0.17720637843012801</v>
      </c>
      <c r="I2172">
        <f t="shared" si="246"/>
        <v>0.1651441556687607</v>
      </c>
      <c r="K2172" s="5">
        <f t="shared" si="247"/>
        <v>1060.9651579155081</v>
      </c>
      <c r="L2172" s="5">
        <f t="shared" si="248"/>
        <v>0.1631441556687607</v>
      </c>
    </row>
    <row r="2173" spans="2:12">
      <c r="B2173">
        <v>21.146484375</v>
      </c>
      <c r="C2173">
        <v>3.52756585925817</v>
      </c>
      <c r="D2173">
        <v>45.048929687499999</v>
      </c>
      <c r="E2173" s="5">
        <f t="shared" si="243"/>
        <v>45048.9296875</v>
      </c>
      <c r="F2173" s="5">
        <v>1.7737590242177199</v>
      </c>
      <c r="G2173">
        <f t="shared" si="244"/>
        <v>900.97859374999996</v>
      </c>
      <c r="H2173">
        <f t="shared" si="245"/>
        <v>0.17737590242177198</v>
      </c>
      <c r="I2173">
        <f t="shared" si="246"/>
        <v>0.16528815062983337</v>
      </c>
      <c r="K2173" s="5">
        <f t="shared" si="247"/>
        <v>1060.7904848791054</v>
      </c>
      <c r="L2173" s="5">
        <f t="shared" si="248"/>
        <v>0.16328815062983337</v>
      </c>
    </row>
    <row r="2174" spans="2:12">
      <c r="B2174">
        <v>21.15625</v>
      </c>
      <c r="C2174">
        <v>3.52971348911524</v>
      </c>
      <c r="D2174">
        <v>45.054777343749997</v>
      </c>
      <c r="E2174" s="5">
        <f t="shared" si="243"/>
        <v>45054.77734375</v>
      </c>
      <c r="F2174" s="5">
        <v>1.7755626467987899</v>
      </c>
      <c r="G2174">
        <f t="shared" si="244"/>
        <v>901.09554687499997</v>
      </c>
      <c r="H2174">
        <f t="shared" si="245"/>
        <v>0.17755626467987901</v>
      </c>
      <c r="I2174">
        <f t="shared" si="246"/>
        <v>0.16544132893448202</v>
      </c>
      <c r="K2174" s="5">
        <f t="shared" si="247"/>
        <v>1061.0907062977976</v>
      </c>
      <c r="L2174" s="5">
        <f t="shared" si="248"/>
        <v>0.16344132893448202</v>
      </c>
    </row>
    <row r="2175" spans="2:12">
      <c r="B2175">
        <v>21.166015625</v>
      </c>
      <c r="C2175">
        <v>3.5296194255351998</v>
      </c>
      <c r="D2175">
        <v>45.018636718750003</v>
      </c>
      <c r="E2175" s="5">
        <f t="shared" si="243"/>
        <v>45018.63671875</v>
      </c>
      <c r="F2175" s="5">
        <v>1.7773539293557401</v>
      </c>
      <c r="G2175">
        <f t="shared" si="244"/>
        <v>900.37273437500005</v>
      </c>
      <c r="H2175">
        <f t="shared" si="245"/>
        <v>0.177735392935574</v>
      </c>
      <c r="I2175">
        <f t="shared" si="246"/>
        <v>0.1655934360040768</v>
      </c>
      <c r="K2175" s="5">
        <f t="shared" si="247"/>
        <v>1060.400836107618</v>
      </c>
      <c r="L2175" s="5">
        <f t="shared" si="248"/>
        <v>0.1635934360040768</v>
      </c>
    </row>
    <row r="2176" spans="2:12">
      <c r="B2176">
        <v>21.17578125</v>
      </c>
      <c r="C2176">
        <v>3.5320252645760801</v>
      </c>
      <c r="D2176">
        <v>45.02158984375</v>
      </c>
      <c r="E2176" s="5">
        <f t="shared" si="243"/>
        <v>45021.58984375</v>
      </c>
      <c r="F2176" s="5">
        <v>1.7790952697396301</v>
      </c>
      <c r="G2176">
        <f t="shared" si="244"/>
        <v>900.43179687500003</v>
      </c>
      <c r="H2176">
        <f t="shared" si="245"/>
        <v>0.17790952697396301</v>
      </c>
      <c r="I2176">
        <f t="shared" si="246"/>
        <v>0.16574128005071931</v>
      </c>
      <c r="K2176" s="5">
        <f t="shared" si="247"/>
        <v>1060.6271919293467</v>
      </c>
      <c r="L2176" s="5">
        <f t="shared" si="248"/>
        <v>0.16374128005071931</v>
      </c>
    </row>
    <row r="2177" spans="2:12">
      <c r="B2177">
        <v>21.185546875</v>
      </c>
      <c r="C2177">
        <v>3.5332224797457501</v>
      </c>
      <c r="D2177">
        <v>45.013328125000001</v>
      </c>
      <c r="E2177" s="5">
        <f t="shared" si="243"/>
        <v>45013.328125</v>
      </c>
      <c r="F2177" s="5">
        <v>1.78076967131346</v>
      </c>
      <c r="G2177">
        <f t="shared" si="244"/>
        <v>900.26656249999996</v>
      </c>
      <c r="H2177">
        <f t="shared" si="245"/>
        <v>0.17807696713134599</v>
      </c>
      <c r="I2177">
        <f t="shared" si="246"/>
        <v>0.1658834202184018</v>
      </c>
      <c r="K2177" s="5">
        <f t="shared" si="247"/>
        <v>1060.5833015597623</v>
      </c>
      <c r="L2177" s="5">
        <f t="shared" si="248"/>
        <v>0.1638834202184018</v>
      </c>
    </row>
    <row r="2178" spans="2:12">
      <c r="B2178">
        <v>21.1953125</v>
      </c>
      <c r="C2178">
        <v>3.5353316925466101</v>
      </c>
      <c r="D2178">
        <v>44.996425781249997</v>
      </c>
      <c r="E2178" s="5">
        <f t="shared" si="243"/>
        <v>44996.42578125</v>
      </c>
      <c r="F2178" s="5">
        <v>1.7823918024078</v>
      </c>
      <c r="G2178">
        <f t="shared" si="244"/>
        <v>899.92851562500005</v>
      </c>
      <c r="H2178">
        <f t="shared" si="245"/>
        <v>0.17823918024078</v>
      </c>
      <c r="I2178">
        <f t="shared" si="246"/>
        <v>0.16602110387334876</v>
      </c>
      <c r="K2178" s="5">
        <f t="shared" si="247"/>
        <v>1060.3310365253021</v>
      </c>
      <c r="L2178" s="5">
        <f t="shared" si="248"/>
        <v>0.16402110387334876</v>
      </c>
    </row>
    <row r="2179" spans="2:12">
      <c r="B2179">
        <v>21.205078125</v>
      </c>
      <c r="C2179">
        <v>3.53750446811318</v>
      </c>
      <c r="D2179">
        <v>44.992140624999998</v>
      </c>
      <c r="E2179" s="5">
        <f t="shared" si="243"/>
        <v>44992.140625</v>
      </c>
      <c r="F2179" s="5">
        <v>1.7841511871665701</v>
      </c>
      <c r="G2179">
        <f t="shared" si="244"/>
        <v>899.84281250000004</v>
      </c>
      <c r="H2179">
        <f t="shared" si="245"/>
        <v>0.178415118716657</v>
      </c>
      <c r="I2179">
        <f t="shared" si="246"/>
        <v>0.16617041595215601</v>
      </c>
      <c r="K2179" s="5">
        <f t="shared" si="247"/>
        <v>1060.388374718518</v>
      </c>
      <c r="L2179" s="5">
        <f t="shared" si="248"/>
        <v>0.16417041595215601</v>
      </c>
    </row>
    <row r="2180" spans="2:12">
      <c r="B2180">
        <v>21.21484375</v>
      </c>
      <c r="C2180">
        <v>3.5399170592427298</v>
      </c>
      <c r="D2180">
        <v>44.999132812500001</v>
      </c>
      <c r="E2180" s="5">
        <f t="shared" si="243"/>
        <v>44999.1328125</v>
      </c>
      <c r="F2180" s="5">
        <v>1.78597308695316</v>
      </c>
      <c r="G2180">
        <f t="shared" si="244"/>
        <v>899.98265624999999</v>
      </c>
      <c r="H2180">
        <f t="shared" si="245"/>
        <v>0.17859730869531601</v>
      </c>
      <c r="I2180">
        <f t="shared" si="246"/>
        <v>0.16632500994317884</v>
      </c>
      <c r="K2180" s="5">
        <f t="shared" si="247"/>
        <v>1060.7171365287118</v>
      </c>
      <c r="L2180" s="5">
        <f t="shared" si="248"/>
        <v>0.16432500994317883</v>
      </c>
    </row>
    <row r="2181" spans="2:12">
      <c r="B2181">
        <v>21.224609375</v>
      </c>
      <c r="C2181">
        <v>3.5428113769739902</v>
      </c>
      <c r="D2181">
        <v>45.000359375000002</v>
      </c>
      <c r="E2181" s="5">
        <f t="shared" si="243"/>
        <v>45000.359375</v>
      </c>
      <c r="F2181" s="5">
        <v>1.7879088409245001</v>
      </c>
      <c r="G2181">
        <f t="shared" si="244"/>
        <v>900.00718749999999</v>
      </c>
      <c r="H2181">
        <f t="shared" si="245"/>
        <v>0.17879088409245</v>
      </c>
      <c r="I2181">
        <f t="shared" si="246"/>
        <v>0.16648923864183876</v>
      </c>
      <c r="K2181" s="5">
        <f t="shared" si="247"/>
        <v>1060.9202682426844</v>
      </c>
      <c r="L2181" s="5">
        <f t="shared" si="248"/>
        <v>0.16448923864183876</v>
      </c>
    </row>
    <row r="2182" spans="2:12">
      <c r="B2182">
        <v>21.234375</v>
      </c>
      <c r="C2182">
        <v>3.5409955307841301</v>
      </c>
      <c r="D2182">
        <v>44.989429687499999</v>
      </c>
      <c r="E2182" s="5">
        <f t="shared" si="243"/>
        <v>44989.4296875</v>
      </c>
      <c r="F2182" s="5">
        <v>1.7895845230668801</v>
      </c>
      <c r="G2182">
        <f t="shared" si="244"/>
        <v>899.78859375000002</v>
      </c>
      <c r="H2182">
        <f t="shared" si="245"/>
        <v>0.178958452306688</v>
      </c>
      <c r="I2182">
        <f t="shared" si="246"/>
        <v>0.16663138116049697</v>
      </c>
      <c r="K2182" s="5">
        <f t="shared" si="247"/>
        <v>1060.8133678907113</v>
      </c>
      <c r="L2182" s="5">
        <f t="shared" si="248"/>
        <v>0.16463138116049697</v>
      </c>
    </row>
    <row r="2183" spans="2:12">
      <c r="B2183">
        <v>21.244140625</v>
      </c>
      <c r="C2183">
        <v>3.5446800757199499</v>
      </c>
      <c r="D2183">
        <v>44.989839843749998</v>
      </c>
      <c r="E2183" s="5">
        <f t="shared" si="243"/>
        <v>44989.83984375</v>
      </c>
      <c r="F2183" s="5">
        <v>1.7912972252816</v>
      </c>
      <c r="G2183">
        <f t="shared" si="244"/>
        <v>899.79679687500004</v>
      </c>
      <c r="H2183">
        <f t="shared" si="245"/>
        <v>0.17912972252816001</v>
      </c>
      <c r="I2183">
        <f t="shared" si="246"/>
        <v>0.16677664309226098</v>
      </c>
      <c r="K2183" s="5">
        <f t="shared" si="247"/>
        <v>1060.9771474309459</v>
      </c>
      <c r="L2183" s="5">
        <f t="shared" si="248"/>
        <v>0.16477664309226098</v>
      </c>
    </row>
    <row r="2184" spans="2:12">
      <c r="B2184">
        <v>21.25390625</v>
      </c>
      <c r="C2184">
        <v>3.5467818379402201</v>
      </c>
      <c r="D2184">
        <v>44.988449218749999</v>
      </c>
      <c r="E2184" s="5">
        <f t="shared" si="243"/>
        <v>44988.44921875</v>
      </c>
      <c r="F2184" s="5">
        <v>1.7930680187419099</v>
      </c>
      <c r="G2184">
        <f t="shared" si="244"/>
        <v>899.76898437499995</v>
      </c>
      <c r="H2184">
        <f t="shared" si="245"/>
        <v>0.17930680187419099</v>
      </c>
      <c r="I2184">
        <f t="shared" si="246"/>
        <v>0.16692680981884572</v>
      </c>
      <c r="K2184" s="5">
        <f t="shared" si="247"/>
        <v>1061.1036833888702</v>
      </c>
      <c r="L2184" s="5">
        <f t="shared" si="248"/>
        <v>0.16492680981884572</v>
      </c>
    </row>
    <row r="2185" spans="2:12">
      <c r="B2185">
        <v>21.263671875</v>
      </c>
      <c r="C2185">
        <v>3.5479299258440702</v>
      </c>
      <c r="D2185">
        <v>44.975320312500003</v>
      </c>
      <c r="E2185" s="5">
        <f t="shared" ref="E2185:E2248" si="249" xml:space="preserve"> D2185*R$3</f>
        <v>44975.3203125</v>
      </c>
      <c r="F2185" s="5">
        <v>1.79504114203155</v>
      </c>
      <c r="G2185">
        <f t="shared" ref="G2185:G2248" si="250" xml:space="preserve"> E2185/C$3</f>
        <v>899.50640625000005</v>
      </c>
      <c r="H2185">
        <f t="shared" ref="H2185:H2248" si="251" xml:space="preserve"> F2185/C$4</f>
        <v>0.17950411420315499</v>
      </c>
      <c r="I2185">
        <f t="shared" ref="I2185:I2248" si="252">L2185+0.002</f>
        <v>0.16709410795035715</v>
      </c>
      <c r="K2185" s="5">
        <f t="shared" ref="K2185:K2248" si="253" xml:space="preserve"> G2185 * (1 + H2185)</f>
        <v>1060.9715069239696</v>
      </c>
      <c r="L2185" s="5">
        <f t="shared" ref="L2185:L2248" si="254">LN(1 + H2185)</f>
        <v>0.16509410795035714</v>
      </c>
    </row>
    <row r="2186" spans="2:12">
      <c r="B2186">
        <v>21.2734375</v>
      </c>
      <c r="C2186">
        <v>3.5489692818373402</v>
      </c>
      <c r="D2186">
        <v>44.948999999999998</v>
      </c>
      <c r="E2186" s="5">
        <f t="shared" si="249"/>
        <v>44949</v>
      </c>
      <c r="F2186" s="5">
        <v>1.7968986649066201</v>
      </c>
      <c r="G2186">
        <f t="shared" si="250"/>
        <v>898.98</v>
      </c>
      <c r="H2186">
        <f t="shared" si="251"/>
        <v>0.17968986649066201</v>
      </c>
      <c r="I2186">
        <f t="shared" si="252"/>
        <v>0.16725157892511461</v>
      </c>
      <c r="K2186" s="5">
        <f t="shared" si="253"/>
        <v>1060.5175961777754</v>
      </c>
      <c r="L2186" s="5">
        <f t="shared" si="254"/>
        <v>0.16525157892511461</v>
      </c>
    </row>
    <row r="2187" spans="2:12">
      <c r="B2187">
        <v>21.283203125</v>
      </c>
      <c r="C2187">
        <v>3.5510042216628799</v>
      </c>
      <c r="D2187">
        <v>44.9303828125</v>
      </c>
      <c r="E2187" s="5">
        <f t="shared" si="249"/>
        <v>44930.3828125</v>
      </c>
      <c r="F2187" s="5">
        <v>1.79861998185515</v>
      </c>
      <c r="G2187">
        <f t="shared" si="250"/>
        <v>898.60765624999999</v>
      </c>
      <c r="H2187">
        <f t="shared" si="251"/>
        <v>0.17986199818551502</v>
      </c>
      <c r="I2187">
        <f t="shared" si="252"/>
        <v>0.16739748094806661</v>
      </c>
      <c r="K2187" s="5">
        <f t="shared" si="253"/>
        <v>1060.2330248879273</v>
      </c>
      <c r="L2187" s="5">
        <f t="shared" si="254"/>
        <v>0.16539748094806661</v>
      </c>
    </row>
    <row r="2188" spans="2:12">
      <c r="B2188">
        <v>21.29296875</v>
      </c>
      <c r="C2188">
        <v>3.5520135425031198</v>
      </c>
      <c r="D2188">
        <v>44.911714843749998</v>
      </c>
      <c r="E2188" s="5">
        <f t="shared" si="249"/>
        <v>44911.71484375</v>
      </c>
      <c r="F2188" s="5">
        <v>1.8002114957198501</v>
      </c>
      <c r="G2188">
        <f t="shared" si="250"/>
        <v>898.23429687500004</v>
      </c>
      <c r="H2188">
        <f t="shared" si="251"/>
        <v>0.18002114957198501</v>
      </c>
      <c r="I2188">
        <f t="shared" si="252"/>
        <v>0.16753236168304078</v>
      </c>
      <c r="K2188" s="5">
        <f t="shared" si="253"/>
        <v>1059.9354675834213</v>
      </c>
      <c r="L2188" s="5">
        <f t="shared" si="254"/>
        <v>0.16553236168304078</v>
      </c>
    </row>
    <row r="2189" spans="2:12">
      <c r="B2189">
        <v>21.302734375</v>
      </c>
      <c r="C2189">
        <v>3.5528978332877199</v>
      </c>
      <c r="D2189">
        <v>44.891269531250003</v>
      </c>
      <c r="E2189" s="5">
        <f t="shared" si="249"/>
        <v>44891.26953125</v>
      </c>
      <c r="F2189" s="5">
        <v>1.80195167195052</v>
      </c>
      <c r="G2189">
        <f t="shared" si="250"/>
        <v>897.82539062499995</v>
      </c>
      <c r="H2189">
        <f t="shared" si="251"/>
        <v>0.18019516719505199</v>
      </c>
      <c r="I2189">
        <f t="shared" si="252"/>
        <v>0.16767982072918497</v>
      </c>
      <c r="K2189" s="5">
        <f t="shared" si="253"/>
        <v>1059.6091870006346</v>
      </c>
      <c r="L2189" s="5">
        <f t="shared" si="254"/>
        <v>0.16567982072918497</v>
      </c>
    </row>
    <row r="2190" spans="2:12">
      <c r="B2190">
        <v>21.3125</v>
      </c>
      <c r="C2190">
        <v>3.5553933121263999</v>
      </c>
      <c r="D2190">
        <v>44.891074218749999</v>
      </c>
      <c r="E2190" s="5">
        <f t="shared" si="249"/>
        <v>44891.07421875</v>
      </c>
      <c r="F2190" s="5">
        <v>1.80373166222125</v>
      </c>
      <c r="G2190">
        <f t="shared" si="250"/>
        <v>897.82148437499995</v>
      </c>
      <c r="H2190">
        <f t="shared" si="251"/>
        <v>0.18037316622212501</v>
      </c>
      <c r="I2190">
        <f t="shared" si="252"/>
        <v>0.1678306310445575</v>
      </c>
      <c r="K2190" s="5">
        <f t="shared" si="253"/>
        <v>1059.7643882139669</v>
      </c>
      <c r="L2190" s="5">
        <f t="shared" si="254"/>
        <v>0.1658306310445575</v>
      </c>
    </row>
    <row r="2191" spans="2:12">
      <c r="B2191">
        <v>21.322265625</v>
      </c>
      <c r="C2191">
        <v>3.55688715353608</v>
      </c>
      <c r="D2191">
        <v>44.888230468750002</v>
      </c>
      <c r="E2191" s="5">
        <f t="shared" si="249"/>
        <v>44888.23046875</v>
      </c>
      <c r="F2191" s="5">
        <v>1.8055932596325901</v>
      </c>
      <c r="G2191">
        <f t="shared" si="250"/>
        <v>897.76460937499996</v>
      </c>
      <c r="H2191">
        <f t="shared" si="251"/>
        <v>0.18055932596325902</v>
      </c>
      <c r="I2191">
        <f t="shared" si="252"/>
        <v>0.1679883312262746</v>
      </c>
      <c r="K2191" s="5">
        <f t="shared" si="253"/>
        <v>1059.8643821174185</v>
      </c>
      <c r="L2191" s="5">
        <f t="shared" si="254"/>
        <v>0.1659883312262746</v>
      </c>
    </row>
    <row r="2192" spans="2:12">
      <c r="B2192">
        <v>21.33203125</v>
      </c>
      <c r="C2192">
        <v>3.5587952006608199</v>
      </c>
      <c r="D2192">
        <v>44.879320312499999</v>
      </c>
      <c r="E2192" s="5">
        <f t="shared" si="249"/>
        <v>44879.3203125</v>
      </c>
      <c r="F2192" s="5">
        <v>1.8073378596454901</v>
      </c>
      <c r="G2192">
        <f t="shared" si="250"/>
        <v>897.58640624999998</v>
      </c>
      <c r="H2192">
        <f t="shared" si="251"/>
        <v>0.180733785964549</v>
      </c>
      <c r="I2192">
        <f t="shared" si="252"/>
        <v>0.16813609771974908</v>
      </c>
      <c r="K2192" s="5">
        <f t="shared" si="253"/>
        <v>1059.8105956818763</v>
      </c>
      <c r="L2192" s="5">
        <f t="shared" si="254"/>
        <v>0.16613609771974908</v>
      </c>
    </row>
    <row r="2193" spans="2:12">
      <c r="B2193">
        <v>21.341796875</v>
      </c>
      <c r="C2193">
        <v>3.5598417744040498</v>
      </c>
      <c r="D2193">
        <v>44.861910156249998</v>
      </c>
      <c r="E2193" s="5">
        <f t="shared" si="249"/>
        <v>44861.91015625</v>
      </c>
      <c r="F2193" s="5">
        <v>1.80897477548569</v>
      </c>
      <c r="G2193">
        <f t="shared" si="250"/>
        <v>897.23820312500004</v>
      </c>
      <c r="H2193">
        <f t="shared" si="251"/>
        <v>0.180897477548569</v>
      </c>
      <c r="I2193">
        <f t="shared" si="252"/>
        <v>0.1682747235812975</v>
      </c>
      <c r="K2193" s="5">
        <f t="shared" si="253"/>
        <v>1059.5463308305232</v>
      </c>
      <c r="L2193" s="5">
        <f t="shared" si="254"/>
        <v>0.1662747235812975</v>
      </c>
    </row>
    <row r="2194" spans="2:12">
      <c r="B2194">
        <v>21.3515625</v>
      </c>
      <c r="C2194">
        <v>3.5616555251181099</v>
      </c>
      <c r="D2194">
        <v>44.838253906250003</v>
      </c>
      <c r="E2194" s="5">
        <f t="shared" si="249"/>
        <v>44838.25390625</v>
      </c>
      <c r="F2194" s="5">
        <v>1.81066570803523</v>
      </c>
      <c r="G2194">
        <f t="shared" si="250"/>
        <v>896.76507812499995</v>
      </c>
      <c r="H2194">
        <f t="shared" si="251"/>
        <v>0.18106657080352301</v>
      </c>
      <c r="I2194">
        <f t="shared" si="252"/>
        <v>0.16841790379215713</v>
      </c>
      <c r="K2194" s="5">
        <f t="shared" si="253"/>
        <v>1059.1392556374471</v>
      </c>
      <c r="L2194" s="5">
        <f t="shared" si="254"/>
        <v>0.16641790379215712</v>
      </c>
    </row>
    <row r="2195" spans="2:12">
      <c r="B2195">
        <v>21.361328125</v>
      </c>
      <c r="C2195">
        <v>3.5627491306513499</v>
      </c>
      <c r="D2195">
        <v>44.825644531249999</v>
      </c>
      <c r="E2195" s="5">
        <f t="shared" si="249"/>
        <v>44825.64453125</v>
      </c>
      <c r="F2195" s="5">
        <v>1.8123148474842301</v>
      </c>
      <c r="G2195">
        <f t="shared" si="250"/>
        <v>896.51289062499995</v>
      </c>
      <c r="H2195">
        <f t="shared" si="251"/>
        <v>0.18123148474842302</v>
      </c>
      <c r="I2195">
        <f t="shared" si="252"/>
        <v>0.16855752541592331</v>
      </c>
      <c r="K2195" s="5">
        <f t="shared" si="253"/>
        <v>1058.9892528890693</v>
      </c>
      <c r="L2195" s="5">
        <f t="shared" si="254"/>
        <v>0.16655752541592331</v>
      </c>
    </row>
    <row r="2196" spans="2:12">
      <c r="B2196">
        <v>21.37109375</v>
      </c>
      <c r="C2196">
        <v>3.5653247032314499</v>
      </c>
      <c r="D2196">
        <v>44.836019531250003</v>
      </c>
      <c r="E2196" s="5">
        <f t="shared" si="249"/>
        <v>44836.01953125</v>
      </c>
      <c r="F2196" s="5">
        <v>1.8141240580007401</v>
      </c>
      <c r="G2196">
        <f t="shared" si="250"/>
        <v>896.72039062500005</v>
      </c>
      <c r="H2196">
        <f t="shared" si="251"/>
        <v>0.18141240580007401</v>
      </c>
      <c r="I2196">
        <f t="shared" si="252"/>
        <v>0.16871067676702467</v>
      </c>
      <c r="K2196" s="5">
        <f t="shared" si="253"/>
        <v>1059.3965940182634</v>
      </c>
      <c r="L2196" s="5">
        <f t="shared" si="254"/>
        <v>0.16671067676702467</v>
      </c>
    </row>
    <row r="2197" spans="2:12">
      <c r="B2197">
        <v>21.380859375</v>
      </c>
      <c r="C2197">
        <v>3.56644531711936</v>
      </c>
      <c r="D2197">
        <v>44.815925781250002</v>
      </c>
      <c r="E2197" s="5">
        <f t="shared" si="249"/>
        <v>44815.92578125</v>
      </c>
      <c r="F2197" s="5">
        <v>1.8158660968765601</v>
      </c>
      <c r="G2197">
        <f t="shared" si="250"/>
        <v>896.31851562500003</v>
      </c>
      <c r="H2197">
        <f t="shared" si="251"/>
        <v>0.181586609687656</v>
      </c>
      <c r="I2197">
        <f t="shared" si="252"/>
        <v>0.16885811981440291</v>
      </c>
      <c r="K2197" s="5">
        <f t="shared" si="253"/>
        <v>1059.0779560776161</v>
      </c>
      <c r="L2197" s="5">
        <f t="shared" si="254"/>
        <v>0.16685811981440291</v>
      </c>
    </row>
    <row r="2198" spans="2:12">
      <c r="B2198">
        <v>21.390625</v>
      </c>
      <c r="C2198">
        <v>3.5672241356223799</v>
      </c>
      <c r="D2198">
        <v>44.82442578125</v>
      </c>
      <c r="E2198" s="5">
        <f t="shared" si="249"/>
        <v>44824.42578125</v>
      </c>
      <c r="F2198" s="5">
        <v>1.8176637822762101</v>
      </c>
      <c r="G2198">
        <f t="shared" si="250"/>
        <v>896.48851562499999</v>
      </c>
      <c r="H2198">
        <f t="shared" si="251"/>
        <v>0.18176637822762101</v>
      </c>
      <c r="I2198">
        <f t="shared" si="252"/>
        <v>0.16901024989503924</v>
      </c>
      <c r="K2198" s="5">
        <f t="shared" si="253"/>
        <v>1059.4399862328123</v>
      </c>
      <c r="L2198" s="5">
        <f t="shared" si="254"/>
        <v>0.16701024989503924</v>
      </c>
    </row>
    <row r="2199" spans="2:12">
      <c r="B2199">
        <v>21.400390625</v>
      </c>
      <c r="C2199">
        <v>3.5704157780855899</v>
      </c>
      <c r="D2199">
        <v>44.822218749999998</v>
      </c>
      <c r="E2199" s="5">
        <f t="shared" si="249"/>
        <v>44822.21875</v>
      </c>
      <c r="F2199" s="5">
        <v>1.8193862633779601</v>
      </c>
      <c r="G2199">
        <f t="shared" si="250"/>
        <v>896.44437500000004</v>
      </c>
      <c r="H2199">
        <f t="shared" si="251"/>
        <v>0.18193862633779601</v>
      </c>
      <c r="I2199">
        <f t="shared" si="252"/>
        <v>0.16915599406374651</v>
      </c>
      <c r="K2199" s="5">
        <f t="shared" si="253"/>
        <v>1059.5422331757441</v>
      </c>
      <c r="L2199" s="5">
        <f t="shared" si="254"/>
        <v>0.16715599406374651</v>
      </c>
    </row>
    <row r="2200" spans="2:12">
      <c r="B2200">
        <v>21.41015625</v>
      </c>
      <c r="C2200">
        <v>3.57175921089947</v>
      </c>
      <c r="D2200">
        <v>44.812902343749997</v>
      </c>
      <c r="E2200" s="5">
        <f t="shared" si="249"/>
        <v>44812.90234375</v>
      </c>
      <c r="F2200" s="5">
        <v>1.82116811629385</v>
      </c>
      <c r="G2200">
        <f t="shared" si="250"/>
        <v>896.25804687499999</v>
      </c>
      <c r="H2200">
        <f t="shared" si="251"/>
        <v>0.18211681162938501</v>
      </c>
      <c r="I2200">
        <f t="shared" si="252"/>
        <v>0.16930673950656883</v>
      </c>
      <c r="K2200" s="5">
        <f t="shared" si="253"/>
        <v>1059.4817047690549</v>
      </c>
      <c r="L2200" s="5">
        <f t="shared" si="254"/>
        <v>0.16730673950656882</v>
      </c>
    </row>
    <row r="2201" spans="2:12">
      <c r="B2201">
        <v>21.419921875</v>
      </c>
      <c r="C2201">
        <v>3.57316806912422</v>
      </c>
      <c r="D2201">
        <v>44.80426953125</v>
      </c>
      <c r="E2201" s="5">
        <f t="shared" si="249"/>
        <v>44804.26953125</v>
      </c>
      <c r="F2201" s="5">
        <v>1.82289152871817</v>
      </c>
      <c r="G2201">
        <f t="shared" si="250"/>
        <v>896.08539062499995</v>
      </c>
      <c r="H2201">
        <f t="shared" si="251"/>
        <v>0.18228915287181699</v>
      </c>
      <c r="I2201">
        <f t="shared" si="252"/>
        <v>0.16945251924602528</v>
      </c>
      <c r="K2201" s="5">
        <f t="shared" si="253"/>
        <v>1059.4320373828423</v>
      </c>
      <c r="L2201" s="5">
        <f t="shared" si="254"/>
        <v>0.16745251924602528</v>
      </c>
    </row>
    <row r="2202" spans="2:12">
      <c r="B2202">
        <v>21.4296875</v>
      </c>
      <c r="C2202">
        <v>3.57480044476688</v>
      </c>
      <c r="D2202">
        <v>44.78246875</v>
      </c>
      <c r="E2202" s="5">
        <f t="shared" si="249"/>
        <v>44782.46875</v>
      </c>
      <c r="F2202" s="5">
        <v>1.8246766412630699</v>
      </c>
      <c r="G2202">
        <f t="shared" si="250"/>
        <v>895.64937499999996</v>
      </c>
      <c r="H2202">
        <f t="shared" si="251"/>
        <v>0.18246766412630699</v>
      </c>
      <c r="I2202">
        <f t="shared" si="252"/>
        <v>0.16960349566232821</v>
      </c>
      <c r="K2202" s="5">
        <f t="shared" si="253"/>
        <v>1059.0764243324368</v>
      </c>
      <c r="L2202" s="5">
        <f t="shared" si="254"/>
        <v>0.16760349566232821</v>
      </c>
    </row>
    <row r="2203" spans="2:12">
      <c r="B2203">
        <v>21.439453125</v>
      </c>
      <c r="C2203">
        <v>3.5761899780482098</v>
      </c>
      <c r="D2203">
        <v>44.755660156250002</v>
      </c>
      <c r="E2203" s="5">
        <f t="shared" si="249"/>
        <v>44755.66015625</v>
      </c>
      <c r="F2203" s="5">
        <v>1.82637199759483</v>
      </c>
      <c r="G2203">
        <f t="shared" si="250"/>
        <v>895.11320312500004</v>
      </c>
      <c r="H2203">
        <f t="shared" si="251"/>
        <v>0.182637199759483</v>
      </c>
      <c r="I2203">
        <f t="shared" si="252"/>
        <v>0.16974685982013366</v>
      </c>
      <c r="K2203" s="5">
        <f t="shared" si="253"/>
        <v>1058.5941720114913</v>
      </c>
      <c r="L2203" s="5">
        <f t="shared" si="254"/>
        <v>0.16774685982013365</v>
      </c>
    </row>
    <row r="2204" spans="2:12">
      <c r="B2204">
        <v>21.44921875</v>
      </c>
      <c r="C2204">
        <v>3.5774030257016398</v>
      </c>
      <c r="D2204">
        <v>44.728109375000003</v>
      </c>
      <c r="E2204" s="5">
        <f t="shared" si="249"/>
        <v>44728.109375</v>
      </c>
      <c r="F2204" s="5">
        <v>1.8279008800163901</v>
      </c>
      <c r="G2204">
        <f t="shared" si="250"/>
        <v>894.56218750000005</v>
      </c>
      <c r="H2204">
        <f t="shared" si="251"/>
        <v>0.18279008800163901</v>
      </c>
      <c r="I2204">
        <f t="shared" si="252"/>
        <v>0.16987612884747613</v>
      </c>
      <c r="K2204" s="5">
        <f t="shared" si="253"/>
        <v>1058.0792884760638</v>
      </c>
      <c r="L2204" s="5">
        <f t="shared" si="254"/>
        <v>0.16787612884747613</v>
      </c>
    </row>
    <row r="2205" spans="2:12">
      <c r="B2205">
        <v>21.458984375</v>
      </c>
      <c r="C2205">
        <v>3.5799602046608898</v>
      </c>
      <c r="D2205">
        <v>44.727890625000001</v>
      </c>
      <c r="E2205" s="5">
        <f t="shared" si="249"/>
        <v>44727.890625</v>
      </c>
      <c r="F2205" s="5">
        <v>1.8296381458640101</v>
      </c>
      <c r="G2205">
        <f t="shared" si="250"/>
        <v>894.55781249999995</v>
      </c>
      <c r="H2205">
        <f t="shared" si="251"/>
        <v>0.18296381458640101</v>
      </c>
      <c r="I2205">
        <f t="shared" si="252"/>
        <v>0.17002299668937981</v>
      </c>
      <c r="K2205" s="5">
        <f t="shared" si="253"/>
        <v>1058.2295222430664</v>
      </c>
      <c r="L2205" s="5">
        <f t="shared" si="254"/>
        <v>0.16802299668937981</v>
      </c>
    </row>
    <row r="2206" spans="2:12">
      <c r="B2206">
        <v>21.46875</v>
      </c>
      <c r="C2206">
        <v>3.58033110387623</v>
      </c>
      <c r="D2206">
        <v>44.753218750000002</v>
      </c>
      <c r="E2206" s="5">
        <f t="shared" si="249"/>
        <v>44753.21875</v>
      </c>
      <c r="F2206" s="5">
        <v>1.8314629560336499</v>
      </c>
      <c r="G2206">
        <f t="shared" si="250"/>
        <v>895.06437500000004</v>
      </c>
      <c r="H2206">
        <f t="shared" si="251"/>
        <v>0.18314629560336498</v>
      </c>
      <c r="I2206">
        <f t="shared" si="252"/>
        <v>0.17017724227291364</v>
      </c>
      <c r="K2206" s="5">
        <f t="shared" si="253"/>
        <v>1058.992099607791</v>
      </c>
      <c r="L2206" s="5">
        <f t="shared" si="254"/>
        <v>0.16817724227291364</v>
      </c>
    </row>
    <row r="2207" spans="2:12">
      <c r="B2207">
        <v>21.478515625</v>
      </c>
      <c r="C2207">
        <v>3.5807273816317302</v>
      </c>
      <c r="D2207">
        <v>44.755941406250003</v>
      </c>
      <c r="E2207" s="5">
        <f t="shared" si="249"/>
        <v>44755.94140625</v>
      </c>
      <c r="F2207" s="5">
        <v>1.8332820618525101</v>
      </c>
      <c r="G2207">
        <f t="shared" si="250"/>
        <v>895.11882812500005</v>
      </c>
      <c r="H2207">
        <f t="shared" si="251"/>
        <v>0.183328206185251</v>
      </c>
      <c r="I2207">
        <f t="shared" si="252"/>
        <v>0.17033098200863181</v>
      </c>
      <c r="K2207" s="5">
        <f t="shared" si="253"/>
        <v>1059.2193572078004</v>
      </c>
      <c r="L2207" s="5">
        <f t="shared" si="254"/>
        <v>0.16833098200863181</v>
      </c>
    </row>
    <row r="2208" spans="2:12">
      <c r="B2208">
        <v>21.48828125</v>
      </c>
      <c r="C2208">
        <v>3.5863055381923901</v>
      </c>
      <c r="D2208">
        <v>44.747554687499999</v>
      </c>
      <c r="E2208" s="5">
        <f t="shared" si="249"/>
        <v>44747.5546875</v>
      </c>
      <c r="F2208" s="5">
        <v>1.8351157195866099</v>
      </c>
      <c r="G2208">
        <f t="shared" si="250"/>
        <v>894.95109375000004</v>
      </c>
      <c r="H2208">
        <f t="shared" si="251"/>
        <v>0.183511571958661</v>
      </c>
      <c r="I2208">
        <f t="shared" si="252"/>
        <v>0.17048592766694814</v>
      </c>
      <c r="K2208" s="5">
        <f t="shared" si="253"/>
        <v>1059.1849757901857</v>
      </c>
      <c r="L2208" s="5">
        <f t="shared" si="254"/>
        <v>0.16848592766694814</v>
      </c>
    </row>
    <row r="2209" spans="2:12">
      <c r="B2209">
        <v>21.498046875</v>
      </c>
      <c r="C2209">
        <v>3.5895027685910499</v>
      </c>
      <c r="D2209">
        <v>44.754285156249999</v>
      </c>
      <c r="E2209" s="5">
        <f t="shared" si="249"/>
        <v>44754.28515625</v>
      </c>
      <c r="F2209" s="5">
        <v>1.8369181780144599</v>
      </c>
      <c r="G2209">
        <f t="shared" si="250"/>
        <v>895.08570312500001</v>
      </c>
      <c r="H2209">
        <f t="shared" si="251"/>
        <v>0.183691817801446</v>
      </c>
      <c r="I2209">
        <f t="shared" si="252"/>
        <v>0.17063821356169881</v>
      </c>
      <c r="K2209" s="5">
        <f t="shared" si="253"/>
        <v>1059.5056230201167</v>
      </c>
      <c r="L2209" s="5">
        <f t="shared" si="254"/>
        <v>0.16863821356169881</v>
      </c>
    </row>
    <row r="2210" spans="2:12">
      <c r="B2210">
        <v>21.5078125</v>
      </c>
      <c r="C2210">
        <v>3.5886922851204899</v>
      </c>
      <c r="D2210">
        <v>44.736910156249998</v>
      </c>
      <c r="E2210" s="5">
        <f t="shared" si="249"/>
        <v>44736.91015625</v>
      </c>
      <c r="F2210" s="5">
        <v>1.8386612646281699</v>
      </c>
      <c r="G2210">
        <f t="shared" si="250"/>
        <v>894.73820312500004</v>
      </c>
      <c r="H2210">
        <f t="shared" si="251"/>
        <v>0.183866126462817</v>
      </c>
      <c r="I2210">
        <f t="shared" si="252"/>
        <v>0.1707854612031838</v>
      </c>
      <c r="K2210" s="5">
        <f t="shared" si="253"/>
        <v>1059.250250731895</v>
      </c>
      <c r="L2210" s="5">
        <f t="shared" si="254"/>
        <v>0.1687854612031838</v>
      </c>
    </row>
    <row r="2211" spans="2:12">
      <c r="B2211">
        <v>21.517578125</v>
      </c>
      <c r="C2211">
        <v>3.5895965993404402</v>
      </c>
      <c r="D2211">
        <v>44.731082031249997</v>
      </c>
      <c r="E2211" s="5">
        <f t="shared" si="249"/>
        <v>44731.08203125</v>
      </c>
      <c r="F2211" s="5">
        <v>1.8404546426609201</v>
      </c>
      <c r="G2211">
        <f t="shared" si="250"/>
        <v>894.62164062500005</v>
      </c>
      <c r="H2211">
        <f t="shared" si="251"/>
        <v>0.184045464266092</v>
      </c>
      <c r="I2211">
        <f t="shared" si="252"/>
        <v>0.17093693459798462</v>
      </c>
      <c r="K2211" s="5">
        <f t="shared" si="253"/>
        <v>1059.2726958163212</v>
      </c>
      <c r="L2211" s="5">
        <f t="shared" si="254"/>
        <v>0.16893693459798462</v>
      </c>
    </row>
    <row r="2212" spans="2:12">
      <c r="B2212">
        <v>21.52734375</v>
      </c>
      <c r="C2212">
        <v>3.59169696457684</v>
      </c>
      <c r="D2212">
        <v>44.707203124999999</v>
      </c>
      <c r="E2212" s="5">
        <f t="shared" si="249"/>
        <v>44707.203125</v>
      </c>
      <c r="F2212" s="5">
        <v>1.8422914436086999</v>
      </c>
      <c r="G2212">
        <f t="shared" si="250"/>
        <v>894.14406250000002</v>
      </c>
      <c r="H2212">
        <f t="shared" si="251"/>
        <v>0.18422914436086998</v>
      </c>
      <c r="I2212">
        <f t="shared" si="252"/>
        <v>0.17109205182508072</v>
      </c>
      <c r="K2212" s="5">
        <f t="shared" si="253"/>
        <v>1058.8714580697272</v>
      </c>
      <c r="L2212" s="5">
        <f t="shared" si="254"/>
        <v>0.16909205182508072</v>
      </c>
    </row>
    <row r="2213" spans="2:12">
      <c r="B2213">
        <v>21.537109375</v>
      </c>
      <c r="C2213">
        <v>3.5923705436289302</v>
      </c>
      <c r="D2213">
        <v>44.694578125</v>
      </c>
      <c r="E2213" s="5">
        <f t="shared" si="249"/>
        <v>44694.578125</v>
      </c>
      <c r="F2213" s="5">
        <v>1.8441632855683601</v>
      </c>
      <c r="G2213">
        <f t="shared" si="250"/>
        <v>893.89156249999996</v>
      </c>
      <c r="H2213">
        <f t="shared" si="251"/>
        <v>0.18441632855683601</v>
      </c>
      <c r="I2213">
        <f t="shared" si="252"/>
        <v>0.17125010350355777</v>
      </c>
      <c r="K2213" s="5">
        <f t="shared" si="253"/>
        <v>1058.7397625841836</v>
      </c>
      <c r="L2213" s="5">
        <f t="shared" si="254"/>
        <v>0.16925010350355776</v>
      </c>
    </row>
    <row r="2214" spans="2:12">
      <c r="B2214">
        <v>21.546875</v>
      </c>
      <c r="C2214">
        <v>3.5943507682532099</v>
      </c>
      <c r="D2214">
        <v>44.690175781249998</v>
      </c>
      <c r="E2214" s="5">
        <f t="shared" si="249"/>
        <v>44690.17578125</v>
      </c>
      <c r="F2214" s="5">
        <v>1.8459463026374601</v>
      </c>
      <c r="G2214">
        <f t="shared" si="250"/>
        <v>893.80351562500005</v>
      </c>
      <c r="H2214">
        <f t="shared" si="251"/>
        <v>0.18459463026374601</v>
      </c>
      <c r="I2214">
        <f t="shared" si="252"/>
        <v>0.17140063189734397</v>
      </c>
      <c r="K2214" s="5">
        <f t="shared" si="253"/>
        <v>1058.7948451202333</v>
      </c>
      <c r="L2214" s="5">
        <f t="shared" si="254"/>
        <v>0.16940063189734397</v>
      </c>
    </row>
    <row r="2215" spans="2:12">
      <c r="B2215">
        <v>21.556640625</v>
      </c>
      <c r="C2215">
        <v>3.5961978137493098</v>
      </c>
      <c r="D2215">
        <v>44.668394531250001</v>
      </c>
      <c r="E2215" s="5">
        <f t="shared" si="249"/>
        <v>44668.39453125</v>
      </c>
      <c r="F2215" s="5">
        <v>1.8476363038644199</v>
      </c>
      <c r="G2215">
        <f t="shared" si="250"/>
        <v>893.36789062499997</v>
      </c>
      <c r="H2215">
        <f t="shared" si="251"/>
        <v>0.184763630386442</v>
      </c>
      <c r="I2215">
        <f t="shared" si="252"/>
        <v>0.17154328666238247</v>
      </c>
      <c r="K2215" s="5">
        <f t="shared" si="253"/>
        <v>1058.4297853675528</v>
      </c>
      <c r="L2215" s="5">
        <f t="shared" si="254"/>
        <v>0.16954328666238247</v>
      </c>
    </row>
    <row r="2216" spans="2:12">
      <c r="B2216">
        <v>21.56640625</v>
      </c>
      <c r="C2216">
        <v>3.5976795479655301</v>
      </c>
      <c r="D2216">
        <v>44.6594921875</v>
      </c>
      <c r="E2216" s="5">
        <f t="shared" si="249"/>
        <v>44659.4921875</v>
      </c>
      <c r="F2216" s="5">
        <v>1.8493030220270199</v>
      </c>
      <c r="G2216">
        <f t="shared" si="250"/>
        <v>893.18984375000002</v>
      </c>
      <c r="H2216">
        <f t="shared" si="251"/>
        <v>0.18493030220270198</v>
      </c>
      <c r="I2216">
        <f t="shared" si="252"/>
        <v>0.17168395615074361</v>
      </c>
      <c r="K2216" s="5">
        <f t="shared" si="253"/>
        <v>1058.3677114790717</v>
      </c>
      <c r="L2216" s="5">
        <f t="shared" si="254"/>
        <v>0.16968395615074361</v>
      </c>
    </row>
    <row r="2217" spans="2:12">
      <c r="B2217">
        <v>21.576171875</v>
      </c>
      <c r="C2217">
        <v>3.5996979568153602</v>
      </c>
      <c r="D2217">
        <v>44.66075</v>
      </c>
      <c r="E2217" s="5">
        <f t="shared" si="249"/>
        <v>44660.75</v>
      </c>
      <c r="F2217" s="5">
        <v>1.8511427333578501</v>
      </c>
      <c r="G2217">
        <f t="shared" si="250"/>
        <v>893.21500000000003</v>
      </c>
      <c r="H2217">
        <f t="shared" si="251"/>
        <v>0.18511427333578501</v>
      </c>
      <c r="I2217">
        <f t="shared" si="252"/>
        <v>0.17183920313246825</v>
      </c>
      <c r="K2217" s="5">
        <f t="shared" si="253"/>
        <v>1058.5618456576233</v>
      </c>
      <c r="L2217" s="5">
        <f t="shared" si="254"/>
        <v>0.16983920313246825</v>
      </c>
    </row>
    <row r="2218" spans="2:12">
      <c r="B2218">
        <v>21.5859375</v>
      </c>
      <c r="C2218">
        <v>3.6014579236507398</v>
      </c>
      <c r="D2218">
        <v>44.645480468750002</v>
      </c>
      <c r="E2218" s="5">
        <f t="shared" si="249"/>
        <v>44645.48046875</v>
      </c>
      <c r="F2218" s="5">
        <v>1.85310130473226</v>
      </c>
      <c r="G2218">
        <f t="shared" si="250"/>
        <v>892.90960937499995</v>
      </c>
      <c r="H2218">
        <f t="shared" si="251"/>
        <v>0.185310130473226</v>
      </c>
      <c r="I2218">
        <f t="shared" si="252"/>
        <v>0.17200445382561161</v>
      </c>
      <c r="K2218" s="5">
        <f t="shared" si="253"/>
        <v>1058.3748055890785</v>
      </c>
      <c r="L2218" s="5">
        <f t="shared" si="254"/>
        <v>0.17000445382561161</v>
      </c>
    </row>
    <row r="2219" spans="2:12">
      <c r="B2219">
        <v>21.595703125</v>
      </c>
      <c r="C2219">
        <v>3.6028192844241902</v>
      </c>
      <c r="D2219">
        <v>44.639164062500001</v>
      </c>
      <c r="E2219" s="5">
        <f t="shared" si="249"/>
        <v>44639.1640625</v>
      </c>
      <c r="F2219" s="5">
        <v>1.8549278611317299</v>
      </c>
      <c r="G2219">
        <f t="shared" si="250"/>
        <v>892.78328124999996</v>
      </c>
      <c r="H2219">
        <f t="shared" si="251"/>
        <v>0.18549278611317299</v>
      </c>
      <c r="I2219">
        <f t="shared" si="252"/>
        <v>0.1721585414041534</v>
      </c>
      <c r="K2219" s="5">
        <f t="shared" si="253"/>
        <v>1058.3881394843229</v>
      </c>
      <c r="L2219" s="5">
        <f t="shared" si="254"/>
        <v>0.1701585414041534</v>
      </c>
    </row>
    <row r="2220" spans="2:12">
      <c r="B2220">
        <v>21.60546875</v>
      </c>
      <c r="C2220">
        <v>3.60357551835477</v>
      </c>
      <c r="D2220">
        <v>44.619503906250003</v>
      </c>
      <c r="E2220" s="5">
        <f t="shared" si="249"/>
        <v>44619.50390625</v>
      </c>
      <c r="F2220" s="5">
        <v>1.8566388171166199</v>
      </c>
      <c r="G2220">
        <f t="shared" si="250"/>
        <v>892.39007812499995</v>
      </c>
      <c r="H2220">
        <f t="shared" si="251"/>
        <v>0.18566388171166198</v>
      </c>
      <c r="I2220">
        <f t="shared" si="252"/>
        <v>0.17230285544388568</v>
      </c>
      <c r="K2220" s="5">
        <f t="shared" si="253"/>
        <v>1058.0746840306608</v>
      </c>
      <c r="L2220" s="5">
        <f t="shared" si="254"/>
        <v>0.17030285544388568</v>
      </c>
    </row>
    <row r="2221" spans="2:12">
      <c r="B2221">
        <v>21.615234375</v>
      </c>
      <c r="C2221">
        <v>3.6084540188312499</v>
      </c>
      <c r="D2221">
        <v>44.620410156250003</v>
      </c>
      <c r="E2221" s="5">
        <f t="shared" si="249"/>
        <v>44620.41015625</v>
      </c>
      <c r="F2221" s="5">
        <v>1.85837515164167</v>
      </c>
      <c r="G2221">
        <f t="shared" si="250"/>
        <v>892.408203125</v>
      </c>
      <c r="H2221">
        <f t="shared" si="251"/>
        <v>0.18583751516416699</v>
      </c>
      <c r="I2221">
        <f t="shared" si="252"/>
        <v>0.17244928879875859</v>
      </c>
      <c r="K2221" s="5">
        <f t="shared" si="253"/>
        <v>1058.2511261058692</v>
      </c>
      <c r="L2221" s="5">
        <f t="shared" si="254"/>
        <v>0.17044928879875859</v>
      </c>
    </row>
    <row r="2222" spans="2:12">
      <c r="B2222">
        <v>21.625</v>
      </c>
      <c r="C2222">
        <v>3.60589846968651</v>
      </c>
      <c r="D2222">
        <v>44.601160156250003</v>
      </c>
      <c r="E2222" s="5">
        <f t="shared" si="249"/>
        <v>44601.16015625</v>
      </c>
      <c r="F2222" s="5">
        <v>1.86008668970317</v>
      </c>
      <c r="G2222">
        <f t="shared" si="250"/>
        <v>892.02320312500001</v>
      </c>
      <c r="H2222">
        <f t="shared" si="251"/>
        <v>0.18600866897031701</v>
      </c>
      <c r="I2222">
        <f t="shared" si="252"/>
        <v>0.17259360996729989</v>
      </c>
      <c r="K2222" s="5">
        <f t="shared" si="253"/>
        <v>1057.9472518289201</v>
      </c>
      <c r="L2222" s="5">
        <f t="shared" si="254"/>
        <v>0.17059360996729989</v>
      </c>
    </row>
    <row r="2223" spans="2:12">
      <c r="B2223">
        <v>21.634765625</v>
      </c>
      <c r="C2223">
        <v>3.6102288868278301</v>
      </c>
      <c r="D2223">
        <v>44.585000000000001</v>
      </c>
      <c r="E2223" s="5">
        <f t="shared" si="249"/>
        <v>44585</v>
      </c>
      <c r="F2223" s="5">
        <v>1.86188169755042</v>
      </c>
      <c r="G2223">
        <f t="shared" si="250"/>
        <v>891.7</v>
      </c>
      <c r="H2223">
        <f t="shared" si="251"/>
        <v>0.18618816975504199</v>
      </c>
      <c r="I2223">
        <f t="shared" si="252"/>
        <v>0.17274494714315078</v>
      </c>
      <c r="K2223" s="5">
        <f t="shared" si="253"/>
        <v>1057.7239909705711</v>
      </c>
      <c r="L2223" s="5">
        <f t="shared" si="254"/>
        <v>0.17074494714315078</v>
      </c>
    </row>
    <row r="2224" spans="2:12">
      <c r="B2224">
        <v>21.64453125</v>
      </c>
      <c r="C2224">
        <v>3.6101692821830502</v>
      </c>
      <c r="D2224">
        <v>44.577242187499998</v>
      </c>
      <c r="E2224" s="5">
        <f t="shared" si="249"/>
        <v>44577.2421875</v>
      </c>
      <c r="F2224" s="5">
        <v>1.86378473881632</v>
      </c>
      <c r="G2224">
        <f t="shared" si="250"/>
        <v>891.54484375000004</v>
      </c>
      <c r="H2224">
        <f t="shared" si="251"/>
        <v>0.18637847388163201</v>
      </c>
      <c r="I2224">
        <f t="shared" si="252"/>
        <v>0.17290536761227315</v>
      </c>
      <c r="K2224" s="5">
        <f t="shared" si="253"/>
        <v>1057.7096111251633</v>
      </c>
      <c r="L2224" s="5">
        <f t="shared" si="254"/>
        <v>0.17090536761227315</v>
      </c>
    </row>
    <row r="2225" spans="2:12">
      <c r="B2225">
        <v>21.654296875</v>
      </c>
      <c r="C2225">
        <v>3.6145560443401301</v>
      </c>
      <c r="D2225">
        <v>44.607464843750002</v>
      </c>
      <c r="E2225" s="5">
        <f t="shared" si="249"/>
        <v>44607.46484375</v>
      </c>
      <c r="F2225" s="5">
        <v>1.8657548353075999</v>
      </c>
      <c r="G2225">
        <f t="shared" si="250"/>
        <v>892.149296875</v>
      </c>
      <c r="H2225">
        <f t="shared" si="251"/>
        <v>0.18657548353075998</v>
      </c>
      <c r="I2225">
        <f t="shared" si="252"/>
        <v>0.17307141352223715</v>
      </c>
      <c r="K2225" s="5">
        <f t="shared" si="253"/>
        <v>1058.6024833210806</v>
      </c>
      <c r="L2225" s="5">
        <f t="shared" si="254"/>
        <v>0.17107141352223715</v>
      </c>
    </row>
    <row r="2226" spans="2:12">
      <c r="B2226">
        <v>21.6640625</v>
      </c>
      <c r="C2226">
        <v>3.6138838622719001</v>
      </c>
      <c r="D2226">
        <v>44.586011718750001</v>
      </c>
      <c r="E2226" s="5">
        <f t="shared" si="249"/>
        <v>44586.01171875</v>
      </c>
      <c r="F2226" s="5">
        <v>1.86748767737299</v>
      </c>
      <c r="G2226">
        <f t="shared" si="250"/>
        <v>891.72023437500002</v>
      </c>
      <c r="H2226">
        <f t="shared" si="251"/>
        <v>0.18674876773729901</v>
      </c>
      <c r="I2226">
        <f t="shared" si="252"/>
        <v>0.17321744009804471</v>
      </c>
      <c r="K2226" s="5">
        <f t="shared" si="253"/>
        <v>1058.2478893109467</v>
      </c>
      <c r="L2226" s="5">
        <f t="shared" si="254"/>
        <v>0.17121744009804471</v>
      </c>
    </row>
    <row r="2227" spans="2:12">
      <c r="B2227">
        <v>21.673828125</v>
      </c>
      <c r="C2227">
        <v>3.61583614721894</v>
      </c>
      <c r="D2227">
        <v>44.576070312500001</v>
      </c>
      <c r="E2227" s="5">
        <f t="shared" si="249"/>
        <v>44576.0703125</v>
      </c>
      <c r="F2227" s="5">
        <v>1.86923902947456</v>
      </c>
      <c r="G2227">
        <f t="shared" si="250"/>
        <v>891.52140625000004</v>
      </c>
      <c r="H2227">
        <f t="shared" si="251"/>
        <v>0.18692390294745601</v>
      </c>
      <c r="I2227">
        <f t="shared" si="252"/>
        <v>0.17336500485087508</v>
      </c>
      <c r="K2227" s="5">
        <f t="shared" si="253"/>
        <v>1058.1680670674546</v>
      </c>
      <c r="L2227" s="5">
        <f t="shared" si="254"/>
        <v>0.17136500485087508</v>
      </c>
    </row>
    <row r="2228" spans="2:12">
      <c r="B2228">
        <v>21.68359375</v>
      </c>
      <c r="C2228">
        <v>3.6173425614833801</v>
      </c>
      <c r="D2228">
        <v>44.545972656250001</v>
      </c>
      <c r="E2228" s="5">
        <f t="shared" si="249"/>
        <v>44545.97265625</v>
      </c>
      <c r="F2228" s="5">
        <v>1.8709385767579101</v>
      </c>
      <c r="G2228">
        <f t="shared" si="250"/>
        <v>890.91945312500002</v>
      </c>
      <c r="H2228">
        <f t="shared" si="251"/>
        <v>0.18709385767579101</v>
      </c>
      <c r="I2228">
        <f t="shared" si="252"/>
        <v>0.17350818383752314</v>
      </c>
      <c r="K2228" s="5">
        <f t="shared" si="253"/>
        <v>1057.6050104885624</v>
      </c>
      <c r="L2228" s="5">
        <f t="shared" si="254"/>
        <v>0.17150818383752314</v>
      </c>
    </row>
    <row r="2229" spans="2:12">
      <c r="B2229">
        <v>21.693359375</v>
      </c>
      <c r="C2229">
        <v>3.6193104460835501</v>
      </c>
      <c r="D2229">
        <v>44.509808593750002</v>
      </c>
      <c r="E2229" s="5">
        <f t="shared" si="249"/>
        <v>44509.80859375</v>
      </c>
      <c r="F2229" s="5">
        <v>1.8727646674960901</v>
      </c>
      <c r="G2229">
        <f t="shared" si="250"/>
        <v>890.196171875</v>
      </c>
      <c r="H2229">
        <f t="shared" si="251"/>
        <v>0.18727646674960902</v>
      </c>
      <c r="I2229">
        <f t="shared" si="252"/>
        <v>0.17366200068091903</v>
      </c>
      <c r="K2229" s="5">
        <f t="shared" si="253"/>
        <v>1056.9089656577776</v>
      </c>
      <c r="L2229" s="5">
        <f t="shared" si="254"/>
        <v>0.17166200068091902</v>
      </c>
    </row>
    <row r="2230" spans="2:12">
      <c r="B2230">
        <v>21.703125</v>
      </c>
      <c r="C2230">
        <v>3.6223158240318298</v>
      </c>
      <c r="D2230">
        <v>44.503984375000002</v>
      </c>
      <c r="E2230" s="5">
        <f t="shared" si="249"/>
        <v>44503.984375</v>
      </c>
      <c r="F2230" s="5">
        <v>1.8745656125247501</v>
      </c>
      <c r="G2230">
        <f t="shared" si="250"/>
        <v>890.07968749999998</v>
      </c>
      <c r="H2230">
        <f t="shared" si="251"/>
        <v>0.18745656125247501</v>
      </c>
      <c r="I2230">
        <f t="shared" si="252"/>
        <v>0.173813676259679</v>
      </c>
      <c r="K2230" s="5">
        <f t="shared" si="253"/>
        <v>1056.9309649594275</v>
      </c>
      <c r="L2230" s="5">
        <f t="shared" si="254"/>
        <v>0.171813676259679</v>
      </c>
    </row>
    <row r="2231" spans="2:12">
      <c r="B2231">
        <v>21.712890625</v>
      </c>
      <c r="C2231">
        <v>3.6219775211065999</v>
      </c>
      <c r="D2231">
        <v>44.495347656249997</v>
      </c>
      <c r="E2231" s="5">
        <f t="shared" si="249"/>
        <v>44495.34765625</v>
      </c>
      <c r="F2231" s="5">
        <v>1.8762354739010301</v>
      </c>
      <c r="G2231">
        <f t="shared" si="250"/>
        <v>889.90695312499997</v>
      </c>
      <c r="H2231">
        <f t="shared" si="251"/>
        <v>0.18762354739010301</v>
      </c>
      <c r="I2231">
        <f t="shared" si="252"/>
        <v>0.17395429142233848</v>
      </c>
      <c r="K2231" s="5">
        <f t="shared" si="253"/>
        <v>1056.8744525174304</v>
      </c>
      <c r="L2231" s="5">
        <f t="shared" si="254"/>
        <v>0.17195429142233848</v>
      </c>
    </row>
    <row r="2232" spans="2:12">
      <c r="B2232">
        <v>21.72265625</v>
      </c>
      <c r="C2232">
        <v>3.62471863627434</v>
      </c>
      <c r="D2232">
        <v>44.508136718750002</v>
      </c>
      <c r="E2232" s="5">
        <f t="shared" si="249"/>
        <v>44508.13671875</v>
      </c>
      <c r="F2232" s="5">
        <v>1.87795888632536</v>
      </c>
      <c r="G2232">
        <f t="shared" si="250"/>
        <v>890.16273437500001</v>
      </c>
      <c r="H2232">
        <f t="shared" si="251"/>
        <v>0.18779588863253599</v>
      </c>
      <c r="I2232">
        <f t="shared" si="252"/>
        <v>0.17409939526389329</v>
      </c>
      <c r="K2232" s="5">
        <f t="shared" si="253"/>
        <v>1057.3316361045213</v>
      </c>
      <c r="L2232" s="5">
        <f t="shared" si="254"/>
        <v>0.17209939526389328</v>
      </c>
    </row>
    <row r="2233" spans="2:12">
      <c r="B2233">
        <v>21.732421875</v>
      </c>
      <c r="C2233">
        <v>3.6261894274503002</v>
      </c>
      <c r="D2233">
        <v>44.503929687499998</v>
      </c>
      <c r="E2233" s="5">
        <f t="shared" si="249"/>
        <v>44503.9296875</v>
      </c>
      <c r="F2233" s="5">
        <v>1.87965389341116</v>
      </c>
      <c r="G2233">
        <f t="shared" si="250"/>
        <v>890.07859374999998</v>
      </c>
      <c r="H2233">
        <f t="shared" si="251"/>
        <v>0.18796538934111601</v>
      </c>
      <c r="I2233">
        <f t="shared" si="252"/>
        <v>0.17424208696481383</v>
      </c>
      <c r="K2233" s="5">
        <f t="shared" si="253"/>
        <v>1057.3825631684117</v>
      </c>
      <c r="L2233" s="5">
        <f t="shared" si="254"/>
        <v>0.17224208696481383</v>
      </c>
    </row>
    <row r="2234" spans="2:12">
      <c r="B2234">
        <v>21.7421875</v>
      </c>
      <c r="C2234">
        <v>3.6274730227887599</v>
      </c>
      <c r="D2234">
        <v>44.48402734375</v>
      </c>
      <c r="E2234" s="5">
        <f t="shared" si="249"/>
        <v>44484.02734375</v>
      </c>
      <c r="F2234" s="5">
        <v>1.88156391959637</v>
      </c>
      <c r="G2234">
        <f t="shared" si="250"/>
        <v>889.680546875</v>
      </c>
      <c r="H2234">
        <f t="shared" si="251"/>
        <v>0.18815639195963701</v>
      </c>
      <c r="I2234">
        <f t="shared" si="252"/>
        <v>0.17440285533993294</v>
      </c>
      <c r="K2234" s="5">
        <f t="shared" si="253"/>
        <v>1057.0796285716767</v>
      </c>
      <c r="L2234" s="5">
        <f t="shared" si="254"/>
        <v>0.17240285533993294</v>
      </c>
    </row>
    <row r="2235" spans="2:12">
      <c r="B2235">
        <v>21.751953125</v>
      </c>
      <c r="C2235">
        <v>3.6297023762017502</v>
      </c>
      <c r="D2235">
        <v>44.463707031250003</v>
      </c>
      <c r="E2235" s="5">
        <f t="shared" si="249"/>
        <v>44463.70703125</v>
      </c>
      <c r="F2235" s="5">
        <v>1.88342586625367</v>
      </c>
      <c r="G2235">
        <f t="shared" si="250"/>
        <v>889.27414062499997</v>
      </c>
      <c r="H2235">
        <f t="shared" si="251"/>
        <v>0.18834258662536701</v>
      </c>
      <c r="I2235">
        <f t="shared" si="252"/>
        <v>0.17455955194934772</v>
      </c>
      <c r="K2235" s="5">
        <f t="shared" si="253"/>
        <v>1056.7623324893627</v>
      </c>
      <c r="L2235" s="5">
        <f t="shared" si="254"/>
        <v>0.17255955194934772</v>
      </c>
    </row>
    <row r="2236" spans="2:12">
      <c r="B2236">
        <v>21.76171875</v>
      </c>
      <c r="C2236">
        <v>3.63063137046993</v>
      </c>
      <c r="D2236">
        <v>44.470609375000002</v>
      </c>
      <c r="E2236" s="5">
        <f t="shared" si="249"/>
        <v>44470.609375</v>
      </c>
      <c r="F2236" s="5">
        <v>1.8852247158065401</v>
      </c>
      <c r="G2236">
        <f t="shared" si="250"/>
        <v>889.41218749999996</v>
      </c>
      <c r="H2236">
        <f t="shared" si="251"/>
        <v>0.18852247158065399</v>
      </c>
      <c r="I2236">
        <f t="shared" si="252"/>
        <v>0.17471091515358969</v>
      </c>
      <c r="K2236" s="5">
        <f t="shared" si="253"/>
        <v>1057.086371341456</v>
      </c>
      <c r="L2236" s="5">
        <f t="shared" si="254"/>
        <v>0.17271091515358969</v>
      </c>
    </row>
    <row r="2237" spans="2:12">
      <c r="B2237">
        <v>21.771484375</v>
      </c>
      <c r="C2237">
        <v>3.6328455898910801</v>
      </c>
      <c r="D2237">
        <v>44.440617187500003</v>
      </c>
      <c r="E2237" s="5">
        <f t="shared" si="249"/>
        <v>44440.6171875</v>
      </c>
      <c r="F2237" s="5">
        <v>1.88700295984745</v>
      </c>
      <c r="G2237">
        <f t="shared" si="250"/>
        <v>888.81234374999997</v>
      </c>
      <c r="H2237">
        <f t="shared" si="251"/>
        <v>0.188700295984745</v>
      </c>
      <c r="I2237">
        <f t="shared" si="252"/>
        <v>0.17486052200310248</v>
      </c>
      <c r="K2237" s="5">
        <f t="shared" si="253"/>
        <v>1056.5314960905198</v>
      </c>
      <c r="L2237" s="5">
        <f t="shared" si="254"/>
        <v>0.17286052200310248</v>
      </c>
    </row>
    <row r="2238" spans="2:12">
      <c r="B2238">
        <v>21.78125</v>
      </c>
      <c r="C2238">
        <v>3.6337114870548199</v>
      </c>
      <c r="D2238">
        <v>44.447765625000002</v>
      </c>
      <c r="E2238" s="5">
        <f t="shared" si="249"/>
        <v>44447.765625</v>
      </c>
      <c r="F2238" s="5">
        <v>1.8886802718043301</v>
      </c>
      <c r="G2238">
        <f t="shared" si="250"/>
        <v>888.95531249999999</v>
      </c>
      <c r="H2238">
        <f t="shared" si="251"/>
        <v>0.188868027180433</v>
      </c>
      <c r="I2238">
        <f t="shared" si="252"/>
        <v>0.17500161674627518</v>
      </c>
      <c r="K2238" s="5">
        <f t="shared" si="253"/>
        <v>1056.8505486234403</v>
      </c>
      <c r="L2238" s="5">
        <f t="shared" si="254"/>
        <v>0.17300161674627518</v>
      </c>
    </row>
    <row r="2239" spans="2:12">
      <c r="B2239">
        <v>21.791015625</v>
      </c>
      <c r="C2239">
        <v>3.6355839110910901</v>
      </c>
      <c r="D2239">
        <v>44.422417968749997</v>
      </c>
      <c r="E2239" s="5">
        <f t="shared" si="249"/>
        <v>44422.41796875</v>
      </c>
      <c r="F2239" s="5">
        <v>1.89032847993076</v>
      </c>
      <c r="G2239">
        <f t="shared" si="250"/>
        <v>888.448359375</v>
      </c>
      <c r="H2239">
        <f t="shared" si="251"/>
        <v>0.18903284799307601</v>
      </c>
      <c r="I2239">
        <f t="shared" si="252"/>
        <v>0.17514024389817021</v>
      </c>
      <c r="K2239" s="5">
        <f t="shared" si="253"/>
        <v>1056.3942830424321</v>
      </c>
      <c r="L2239" s="5">
        <f t="shared" si="254"/>
        <v>0.1731402438981702</v>
      </c>
    </row>
    <row r="2240" spans="2:12">
      <c r="B2240">
        <v>21.80078125</v>
      </c>
      <c r="C2240">
        <v>3.6377853248268401</v>
      </c>
      <c r="D2240">
        <v>44.420039062500003</v>
      </c>
      <c r="E2240" s="5">
        <f t="shared" si="249"/>
        <v>44420.0390625</v>
      </c>
      <c r="F2240" s="5">
        <v>1.89221242908388</v>
      </c>
      <c r="G2240">
        <f t="shared" si="250"/>
        <v>888.40078125000002</v>
      </c>
      <c r="H2240">
        <f t="shared" si="251"/>
        <v>0.18922124290838799</v>
      </c>
      <c r="I2240">
        <f t="shared" si="252"/>
        <v>0.17529867517464875</v>
      </c>
      <c r="K2240" s="5">
        <f t="shared" si="253"/>
        <v>1056.5050812789079</v>
      </c>
      <c r="L2240" s="5">
        <f t="shared" si="254"/>
        <v>0.17329867517464875</v>
      </c>
    </row>
    <row r="2241" spans="2:12">
      <c r="B2241">
        <v>21.810546875</v>
      </c>
      <c r="C2241">
        <v>3.6394856870174399</v>
      </c>
      <c r="D2241">
        <v>44.417925781249998</v>
      </c>
      <c r="E2241" s="5">
        <f t="shared" si="249"/>
        <v>44417.92578125</v>
      </c>
      <c r="F2241" s="5">
        <v>1.8940690206363799</v>
      </c>
      <c r="G2241">
        <f t="shared" si="250"/>
        <v>888.358515625</v>
      </c>
      <c r="H2241">
        <f t="shared" si="251"/>
        <v>0.189406902063638</v>
      </c>
      <c r="I2241">
        <f t="shared" si="252"/>
        <v>0.17545478125286826</v>
      </c>
      <c r="K2241" s="5">
        <f t="shared" si="253"/>
        <v>1056.6197499913831</v>
      </c>
      <c r="L2241" s="5">
        <f t="shared" si="254"/>
        <v>0.17345478125286826</v>
      </c>
    </row>
    <row r="2242" spans="2:12">
      <c r="B2242">
        <v>21.8203125</v>
      </c>
      <c r="C2242">
        <v>3.6394535563886201</v>
      </c>
      <c r="D2242">
        <v>44.386769531250003</v>
      </c>
      <c r="E2242" s="5">
        <f t="shared" si="249"/>
        <v>44386.76953125</v>
      </c>
      <c r="F2242" s="5">
        <v>1.8958318978548101</v>
      </c>
      <c r="G2242">
        <f t="shared" si="250"/>
        <v>887.73539062500004</v>
      </c>
      <c r="H2242">
        <f t="shared" si="251"/>
        <v>0.189583189785481</v>
      </c>
      <c r="I2242">
        <f t="shared" si="252"/>
        <v>0.1756029850833673</v>
      </c>
      <c r="K2242" s="5">
        <f t="shared" si="253"/>
        <v>1056.0350976651475</v>
      </c>
      <c r="L2242" s="5">
        <f t="shared" si="254"/>
        <v>0.1736029850833673</v>
      </c>
    </row>
    <row r="2243" spans="2:12">
      <c r="B2243">
        <v>21.830078125</v>
      </c>
      <c r="C2243">
        <v>3.6420724354684402</v>
      </c>
      <c r="D2243">
        <v>44.369730468749999</v>
      </c>
      <c r="E2243" s="5">
        <f t="shared" si="249"/>
        <v>44369.73046875</v>
      </c>
      <c r="F2243" s="5">
        <v>1.8975202692672599</v>
      </c>
      <c r="G2243">
        <f t="shared" si="250"/>
        <v>887.39460937499996</v>
      </c>
      <c r="H2243">
        <f t="shared" si="251"/>
        <v>0.18975202692672599</v>
      </c>
      <c r="I2243">
        <f t="shared" si="252"/>
        <v>0.17574490467531267</v>
      </c>
      <c r="K2243" s="5">
        <f t="shared" si="253"/>
        <v>1055.7795351877564</v>
      </c>
      <c r="L2243" s="5">
        <f t="shared" si="254"/>
        <v>0.17374490467531267</v>
      </c>
    </row>
    <row r="2244" spans="2:12">
      <c r="B2244">
        <v>21.83984375</v>
      </c>
      <c r="C2244">
        <v>3.64390551112592</v>
      </c>
      <c r="D2244">
        <v>44.368296874999999</v>
      </c>
      <c r="E2244" s="5">
        <f t="shared" si="249"/>
        <v>44368.296875</v>
      </c>
      <c r="F2244" s="5">
        <v>1.8991121323779201</v>
      </c>
      <c r="G2244">
        <f t="shared" si="250"/>
        <v>887.36593749999997</v>
      </c>
      <c r="H2244">
        <f t="shared" si="251"/>
        <v>0.189911213237792</v>
      </c>
      <c r="I2244">
        <f t="shared" si="252"/>
        <v>0.17587869361537495</v>
      </c>
      <c r="K2244" s="5">
        <f t="shared" si="253"/>
        <v>1055.8866792765157</v>
      </c>
      <c r="L2244" s="5">
        <f t="shared" si="254"/>
        <v>0.17387869361537495</v>
      </c>
    </row>
    <row r="2245" spans="2:12">
      <c r="B2245">
        <v>21.849609375</v>
      </c>
      <c r="C2245">
        <v>3.6450715269893399</v>
      </c>
      <c r="D2245">
        <v>44.368570312499997</v>
      </c>
      <c r="E2245" s="5">
        <f t="shared" si="249"/>
        <v>44368.5703125</v>
      </c>
      <c r="F2245" s="5">
        <v>1.9009072566404901</v>
      </c>
      <c r="G2245">
        <f t="shared" si="250"/>
        <v>887.37140624999995</v>
      </c>
      <c r="H2245">
        <f t="shared" si="251"/>
        <v>0.190090725664049</v>
      </c>
      <c r="I2245">
        <f t="shared" si="252"/>
        <v>0.17602954427113546</v>
      </c>
      <c r="K2245" s="5">
        <f t="shared" si="253"/>
        <v>1056.0524807975901</v>
      </c>
      <c r="L2245" s="5">
        <f t="shared" si="254"/>
        <v>0.17402954427113546</v>
      </c>
    </row>
    <row r="2246" spans="2:12">
      <c r="B2246">
        <v>21.859375</v>
      </c>
      <c r="C2246">
        <v>3.6470391787588601</v>
      </c>
      <c r="D2246">
        <v>44.344210937500002</v>
      </c>
      <c r="E2246" s="5">
        <f t="shared" si="249"/>
        <v>44344.2109375</v>
      </c>
      <c r="F2246" s="5">
        <v>1.9027029629796699</v>
      </c>
      <c r="G2246">
        <f t="shared" si="250"/>
        <v>886.88421874999995</v>
      </c>
      <c r="H2246">
        <f t="shared" si="251"/>
        <v>0.19027029629796699</v>
      </c>
      <c r="I2246">
        <f t="shared" si="252"/>
        <v>0.1761804210773022</v>
      </c>
      <c r="K2246" s="5">
        <f t="shared" si="253"/>
        <v>1055.6319418335534</v>
      </c>
      <c r="L2246" s="5">
        <f t="shared" si="254"/>
        <v>0.17418042107730219</v>
      </c>
    </row>
    <row r="2247" spans="2:12">
      <c r="B2247">
        <v>21.869140625</v>
      </c>
      <c r="C2247">
        <v>3.648477839306</v>
      </c>
      <c r="D2247">
        <v>44.337656250000002</v>
      </c>
      <c r="E2247" s="5">
        <f t="shared" si="249"/>
        <v>44337.65625</v>
      </c>
      <c r="F2247" s="5">
        <v>1.90446735359728</v>
      </c>
      <c r="G2247">
        <f t="shared" si="250"/>
        <v>886.75312499999995</v>
      </c>
      <c r="H2247">
        <f t="shared" si="251"/>
        <v>0.190446735359728</v>
      </c>
      <c r="I2247">
        <f t="shared" si="252"/>
        <v>0.17632864454085348</v>
      </c>
      <c r="K2247" s="5">
        <f t="shared" si="253"/>
        <v>1055.6323627262866</v>
      </c>
      <c r="L2247" s="5">
        <f t="shared" si="254"/>
        <v>0.17432864454085348</v>
      </c>
    </row>
    <row r="2248" spans="2:12">
      <c r="B2248">
        <v>21.87890625</v>
      </c>
      <c r="C2248">
        <v>3.6506720352917901</v>
      </c>
      <c r="D2248">
        <v>44.318414062499997</v>
      </c>
      <c r="E2248" s="5">
        <f t="shared" si="249"/>
        <v>44318.4140625</v>
      </c>
      <c r="F2248" s="5">
        <v>1.9062358187511601</v>
      </c>
      <c r="G2248">
        <f t="shared" si="250"/>
        <v>886.36828125</v>
      </c>
      <c r="H2248">
        <f t="shared" si="251"/>
        <v>0.19062358187511602</v>
      </c>
      <c r="I2248">
        <f t="shared" si="252"/>
        <v>0.1764771882562014</v>
      </c>
      <c r="K2248" s="5">
        <f t="shared" si="253"/>
        <v>1055.3309778823652</v>
      </c>
      <c r="L2248" s="5">
        <f t="shared" si="254"/>
        <v>0.1744771882562014</v>
      </c>
    </row>
    <row r="2249" spans="2:12">
      <c r="B2249">
        <v>21.888671875</v>
      </c>
      <c r="C2249">
        <v>3.6522813607007301</v>
      </c>
      <c r="D2249">
        <v>44.321132812499997</v>
      </c>
      <c r="E2249" s="5">
        <f t="shared" ref="E2249:E2312" si="255" xml:space="preserve"> D2249*R$3</f>
        <v>44321.1328125</v>
      </c>
      <c r="F2249" s="5">
        <v>1.90785073209554</v>
      </c>
      <c r="G2249">
        <f t="shared" ref="G2249:G2312" si="256" xml:space="preserve"> E2249/C$3</f>
        <v>886.42265625000005</v>
      </c>
      <c r="H2249">
        <f t="shared" ref="H2249:H2312" si="257" xml:space="preserve"> F2249/C$4</f>
        <v>0.19078507320955401</v>
      </c>
      <c r="I2249">
        <f t="shared" ref="I2249:I2312" si="258">L2249+0.002</f>
        <v>0.17661281498649031</v>
      </c>
      <c r="K2249" s="5">
        <f t="shared" ref="K2249:K2312" si="259" xml:space="preserve"> G2249 * (1 + H2249)</f>
        <v>1055.5388676172636</v>
      </c>
      <c r="L2249" s="5">
        <f t="shared" ref="L2249:L2312" si="260">LN(1 + H2249)</f>
        <v>0.17461281498649031</v>
      </c>
    </row>
    <row r="2250" spans="2:12">
      <c r="B2250">
        <v>21.8984375</v>
      </c>
      <c r="C2250">
        <v>3.6523840390145801</v>
      </c>
      <c r="D2250">
        <v>44.29959765625</v>
      </c>
      <c r="E2250" s="5">
        <f t="shared" si="255"/>
        <v>44299.59765625</v>
      </c>
      <c r="F2250" s="5">
        <v>1.90949894022197</v>
      </c>
      <c r="G2250">
        <f t="shared" si="256"/>
        <v>885.99195312500001</v>
      </c>
      <c r="H2250">
        <f t="shared" si="257"/>
        <v>0.190949894022197</v>
      </c>
      <c r="I2250">
        <f t="shared" si="258"/>
        <v>0.17675121897784432</v>
      </c>
      <c r="K2250" s="5">
        <f t="shared" si="259"/>
        <v>1055.1720226787381</v>
      </c>
      <c r="L2250" s="5">
        <f t="shared" si="260"/>
        <v>0.17475121897784432</v>
      </c>
    </row>
    <row r="2251" spans="2:12">
      <c r="B2251">
        <v>21.908203125</v>
      </c>
      <c r="C2251">
        <v>3.6554858088493298</v>
      </c>
      <c r="D2251">
        <v>44.308136718749999</v>
      </c>
      <c r="E2251" s="5">
        <f t="shared" si="255"/>
        <v>44308.13671875</v>
      </c>
      <c r="F2251" s="5">
        <v>1.9112396985292399</v>
      </c>
      <c r="G2251">
        <f t="shared" si="256"/>
        <v>886.16273437500001</v>
      </c>
      <c r="H2251">
        <f t="shared" si="257"/>
        <v>0.19112396985292399</v>
      </c>
      <c r="I2251">
        <f t="shared" si="258"/>
        <v>0.17689737383364179</v>
      </c>
      <c r="K2251" s="5">
        <f t="shared" si="259"/>
        <v>1055.5296741044722</v>
      </c>
      <c r="L2251" s="5">
        <f t="shared" si="260"/>
        <v>0.17489737383364179</v>
      </c>
    </row>
    <row r="2252" spans="2:12">
      <c r="B2252">
        <v>21.91796875</v>
      </c>
      <c r="C2252">
        <v>3.6570541560649898</v>
      </c>
      <c r="D2252">
        <v>44.313015624999998</v>
      </c>
      <c r="E2252" s="5">
        <f t="shared" si="255"/>
        <v>44313.015625</v>
      </c>
      <c r="F2252" s="5">
        <v>1.9130988512188201</v>
      </c>
      <c r="G2252">
        <f t="shared" si="256"/>
        <v>886.26031250000005</v>
      </c>
      <c r="H2252">
        <f t="shared" si="257"/>
        <v>0.19130988512188202</v>
      </c>
      <c r="I2252">
        <f t="shared" si="258"/>
        <v>0.17705344554908289</v>
      </c>
      <c r="K2252" s="5">
        <f t="shared" si="259"/>
        <v>1055.8106710724583</v>
      </c>
      <c r="L2252" s="5">
        <f t="shared" si="260"/>
        <v>0.17505344554908289</v>
      </c>
    </row>
    <row r="2253" spans="2:12">
      <c r="B2253">
        <v>21.927734375</v>
      </c>
      <c r="C2253">
        <v>3.6572329699993098</v>
      </c>
      <c r="D2253">
        <v>44.297249999999998</v>
      </c>
      <c r="E2253" s="5">
        <f t="shared" si="255"/>
        <v>44297.25</v>
      </c>
      <c r="F2253" s="5">
        <v>1.91493332386017</v>
      </c>
      <c r="G2253">
        <f t="shared" si="256"/>
        <v>885.94500000000005</v>
      </c>
      <c r="H2253">
        <f t="shared" si="257"/>
        <v>0.19149333238601701</v>
      </c>
      <c r="I2253">
        <f t="shared" si="258"/>
        <v>0.17720742155780209</v>
      </c>
      <c r="K2253" s="5">
        <f t="shared" si="259"/>
        <v>1055.5975603607299</v>
      </c>
      <c r="L2253" s="5">
        <f t="shared" si="260"/>
        <v>0.17520742155780208</v>
      </c>
    </row>
    <row r="2254" spans="2:12">
      <c r="B2254">
        <v>21.9375</v>
      </c>
      <c r="C2254">
        <v>3.66047630086541</v>
      </c>
      <c r="D2254">
        <v>44.28693359375</v>
      </c>
      <c r="E2254" s="5">
        <f t="shared" si="255"/>
        <v>44286.93359375</v>
      </c>
      <c r="F2254" s="5">
        <v>1.91665580496192</v>
      </c>
      <c r="G2254">
        <f t="shared" si="256"/>
        <v>885.73867187500002</v>
      </c>
      <c r="H2254">
        <f t="shared" si="257"/>
        <v>0.19166558049619201</v>
      </c>
      <c r="I2254">
        <f t="shared" si="258"/>
        <v>0.17735197600571889</v>
      </c>
      <c r="K2254" s="5">
        <f t="shared" si="259"/>
        <v>1055.5042885878481</v>
      </c>
      <c r="L2254" s="5">
        <f t="shared" si="260"/>
        <v>0.17535197600571889</v>
      </c>
    </row>
    <row r="2255" spans="2:12">
      <c r="B2255">
        <v>21.947265625</v>
      </c>
      <c r="C2255">
        <v>3.6601959727704498</v>
      </c>
      <c r="D2255">
        <v>44.272281249999999</v>
      </c>
      <c r="E2255" s="5">
        <f t="shared" si="255"/>
        <v>44272.28125</v>
      </c>
      <c r="F2255" s="5">
        <v>1.91831681877375</v>
      </c>
      <c r="G2255">
        <f t="shared" si="256"/>
        <v>885.44562499999995</v>
      </c>
      <c r="H2255">
        <f t="shared" si="257"/>
        <v>0.19183168187737501</v>
      </c>
      <c r="I2255">
        <f t="shared" si="258"/>
        <v>0.17749135219387241</v>
      </c>
      <c r="K2255" s="5">
        <f t="shared" si="259"/>
        <v>1055.3021484547135</v>
      </c>
      <c r="L2255" s="5">
        <f t="shared" si="260"/>
        <v>0.17549135219387241</v>
      </c>
    </row>
    <row r="2256" spans="2:12">
      <c r="B2256">
        <v>21.95703125</v>
      </c>
      <c r="C2256">
        <v>3.6634490825235799</v>
      </c>
      <c r="D2256">
        <v>44.265625</v>
      </c>
      <c r="E2256" s="5">
        <f t="shared" si="255"/>
        <v>44265.625</v>
      </c>
      <c r="F2256" s="5">
        <v>1.92005711141974</v>
      </c>
      <c r="G2256">
        <f t="shared" si="256"/>
        <v>885.3125</v>
      </c>
      <c r="H2256">
        <f t="shared" si="257"/>
        <v>0.19200571114197401</v>
      </c>
      <c r="I2256">
        <f t="shared" si="258"/>
        <v>0.17763735985816834</v>
      </c>
      <c r="K2256" s="5">
        <f t="shared" si="259"/>
        <v>1055.2975561453788</v>
      </c>
      <c r="L2256" s="5">
        <f t="shared" si="260"/>
        <v>0.17563735985816833</v>
      </c>
    </row>
    <row r="2257" spans="2:12">
      <c r="B2257">
        <v>21.966796875</v>
      </c>
      <c r="C2257">
        <v>3.6647014785557999</v>
      </c>
      <c r="D2257">
        <v>44.286679687499998</v>
      </c>
      <c r="E2257" s="5">
        <f t="shared" si="255"/>
        <v>44286.6796875</v>
      </c>
      <c r="F2257" s="5">
        <v>1.9219439709559101</v>
      </c>
      <c r="G2257">
        <f t="shared" si="256"/>
        <v>885.73359374999995</v>
      </c>
      <c r="H2257">
        <f t="shared" si="257"/>
        <v>0.192194397095591</v>
      </c>
      <c r="I2257">
        <f t="shared" si="258"/>
        <v>0.17779564015801322</v>
      </c>
      <c r="K2257" s="5">
        <f t="shared" si="259"/>
        <v>1055.9666277880924</v>
      </c>
      <c r="L2257" s="5">
        <f t="shared" si="260"/>
        <v>0.17579564015801322</v>
      </c>
    </row>
    <row r="2258" spans="2:12">
      <c r="B2258">
        <v>21.9765625</v>
      </c>
      <c r="C2258">
        <v>3.6671611014753598</v>
      </c>
      <c r="D2258">
        <v>44.276414062500002</v>
      </c>
      <c r="E2258" s="5">
        <f t="shared" si="255"/>
        <v>44276.4140625</v>
      </c>
      <c r="F2258" s="5">
        <v>1.92384468391538</v>
      </c>
      <c r="G2258">
        <f t="shared" si="256"/>
        <v>885.52828124999996</v>
      </c>
      <c r="H2258">
        <f t="shared" si="257"/>
        <v>0.192384468391538</v>
      </c>
      <c r="I2258">
        <f t="shared" si="258"/>
        <v>0.17795505723504981</v>
      </c>
      <c r="K2258" s="5">
        <f t="shared" si="259"/>
        <v>1055.8901688839537</v>
      </c>
      <c r="L2258" s="5">
        <f t="shared" si="260"/>
        <v>0.17595505723504981</v>
      </c>
    </row>
    <row r="2259" spans="2:12">
      <c r="B2259">
        <v>21.986328125</v>
      </c>
      <c r="C2259">
        <v>3.66810569539666</v>
      </c>
      <c r="D2259">
        <v>44.242062500000003</v>
      </c>
      <c r="E2259" s="5">
        <f t="shared" si="255"/>
        <v>44242.0625</v>
      </c>
      <c r="F2259" s="5">
        <v>1.9256642553955301</v>
      </c>
      <c r="G2259">
        <f t="shared" si="256"/>
        <v>884.84124999999995</v>
      </c>
      <c r="H2259">
        <f t="shared" si="257"/>
        <v>0.192566425539553</v>
      </c>
      <c r="I2259">
        <f t="shared" si="258"/>
        <v>0.17810764498755316</v>
      </c>
      <c r="K2259" s="5">
        <f t="shared" si="259"/>
        <v>1055.2319666824499</v>
      </c>
      <c r="L2259" s="5">
        <f t="shared" si="260"/>
        <v>0.17610764498755316</v>
      </c>
    </row>
    <row r="2260" spans="2:12">
      <c r="B2260">
        <v>21.99609375</v>
      </c>
      <c r="C2260">
        <v>3.6700889468193099</v>
      </c>
      <c r="D2260">
        <v>44.220343749999998</v>
      </c>
      <c r="E2260" s="5">
        <f t="shared" si="255"/>
        <v>44220.34375</v>
      </c>
      <c r="F2260" s="5">
        <v>1.9274298101663601</v>
      </c>
      <c r="G2260">
        <f t="shared" si="256"/>
        <v>884.40687500000001</v>
      </c>
      <c r="H2260">
        <f t="shared" si="257"/>
        <v>0.19274298101663601</v>
      </c>
      <c r="I2260">
        <f t="shared" si="258"/>
        <v>0.17825568069052744</v>
      </c>
      <c r="K2260" s="5">
        <f t="shared" si="259"/>
        <v>1054.8700925191074</v>
      </c>
      <c r="L2260" s="5">
        <f t="shared" si="260"/>
        <v>0.17625568069052744</v>
      </c>
    </row>
    <row r="2261" spans="2:12">
      <c r="B2261">
        <v>22.005859375</v>
      </c>
      <c r="C2261">
        <v>3.6715008318424198</v>
      </c>
      <c r="D2261">
        <v>44.218910156249997</v>
      </c>
      <c r="E2261" s="5">
        <f t="shared" si="255"/>
        <v>44218.91015625</v>
      </c>
      <c r="F2261" s="5">
        <v>1.9292298238724499</v>
      </c>
      <c r="G2261">
        <f t="shared" si="256"/>
        <v>884.37820312500003</v>
      </c>
      <c r="H2261">
        <f t="shared" si="257"/>
        <v>0.19292298238724498</v>
      </c>
      <c r="I2261">
        <f t="shared" si="258"/>
        <v>0.17840658309992743</v>
      </c>
      <c r="K2261" s="5">
        <f t="shared" si="259"/>
        <v>1054.9950836301477</v>
      </c>
      <c r="L2261" s="5">
        <f t="shared" si="260"/>
        <v>0.17640658309992743</v>
      </c>
    </row>
    <row r="2262" spans="2:12">
      <c r="B2262">
        <v>22.015625</v>
      </c>
      <c r="C2262">
        <v>3.6728957202285502</v>
      </c>
      <c r="D2262">
        <v>44.219632812500002</v>
      </c>
      <c r="E2262" s="5">
        <f t="shared" si="255"/>
        <v>44219.6328125</v>
      </c>
      <c r="F2262" s="5">
        <v>1.9309847848489901</v>
      </c>
      <c r="G2262">
        <f t="shared" si="256"/>
        <v>884.39265624999996</v>
      </c>
      <c r="H2262">
        <f t="shared" si="257"/>
        <v>0.193098478484899</v>
      </c>
      <c r="I2262">
        <f t="shared" si="258"/>
        <v>0.17855368663679708</v>
      </c>
      <c r="K2262" s="5">
        <f t="shared" si="259"/>
        <v>1055.1675325550932</v>
      </c>
      <c r="L2262" s="5">
        <f t="shared" si="260"/>
        <v>0.17655368663679707</v>
      </c>
    </row>
    <row r="2263" spans="2:12">
      <c r="B2263">
        <v>22.025390625</v>
      </c>
      <c r="C2263">
        <v>3.6748119164258202</v>
      </c>
      <c r="D2263">
        <v>44.216749999999998</v>
      </c>
      <c r="E2263" s="5">
        <f t="shared" si="255"/>
        <v>44216.75</v>
      </c>
      <c r="F2263" s="5">
        <v>1.93273567128927</v>
      </c>
      <c r="G2263">
        <f t="shared" si="256"/>
        <v>884.33500000000004</v>
      </c>
      <c r="H2263">
        <f t="shared" si="257"/>
        <v>0.19327356712892702</v>
      </c>
      <c r="I2263">
        <f t="shared" si="258"/>
        <v>0.1787004270787696</v>
      </c>
      <c r="K2263" s="5">
        <f t="shared" si="259"/>
        <v>1055.2535799869597</v>
      </c>
      <c r="L2263" s="5">
        <f t="shared" si="260"/>
        <v>0.1767004270787696</v>
      </c>
    </row>
    <row r="2264" spans="2:12">
      <c r="B2264">
        <v>22.03515625</v>
      </c>
      <c r="C2264">
        <v>3.6766931880265501</v>
      </c>
      <c r="D2264">
        <v>44.2248515625</v>
      </c>
      <c r="E2264" s="5">
        <f t="shared" si="255"/>
        <v>44224.8515625</v>
      </c>
      <c r="F2264" s="5">
        <v>1.9346972694620499</v>
      </c>
      <c r="G2264">
        <f t="shared" si="256"/>
        <v>884.49703124999996</v>
      </c>
      <c r="H2264">
        <f t="shared" si="257"/>
        <v>0.19346972694620498</v>
      </c>
      <c r="I2264">
        <f t="shared" si="258"/>
        <v>0.17886480153680751</v>
      </c>
      <c r="K2264" s="5">
        <f t="shared" si="259"/>
        <v>1055.6204303706663</v>
      </c>
      <c r="L2264" s="5">
        <f t="shared" si="260"/>
        <v>0.1768648015368075</v>
      </c>
    </row>
    <row r="2265" spans="2:12">
      <c r="B2265">
        <v>22.044921875</v>
      </c>
      <c r="C2265">
        <v>3.6776475608348802</v>
      </c>
      <c r="D2265">
        <v>44.193769531249998</v>
      </c>
      <c r="E2265" s="5">
        <f t="shared" si="255"/>
        <v>44193.76953125</v>
      </c>
      <c r="F2265" s="5">
        <v>1.9365103216841799</v>
      </c>
      <c r="G2265">
        <f t="shared" si="256"/>
        <v>883.87539062500002</v>
      </c>
      <c r="H2265">
        <f t="shared" si="257"/>
        <v>0.193651032168418</v>
      </c>
      <c r="I2265">
        <f t="shared" si="258"/>
        <v>0.17901670438618739</v>
      </c>
      <c r="K2265" s="5">
        <f t="shared" si="259"/>
        <v>1055.038772327795</v>
      </c>
      <c r="L2265" s="5">
        <f t="shared" si="260"/>
        <v>0.17701670438618738</v>
      </c>
    </row>
    <row r="2266" spans="2:12">
      <c r="B2266">
        <v>22.0546875</v>
      </c>
      <c r="C2266">
        <v>3.6800384987145698</v>
      </c>
      <c r="D2266">
        <v>44.181320312499999</v>
      </c>
      <c r="E2266" s="5">
        <f t="shared" si="255"/>
        <v>44181.3203125</v>
      </c>
      <c r="F2266" s="5">
        <v>1.93832872901112</v>
      </c>
      <c r="G2266">
        <f t="shared" si="256"/>
        <v>883.62640624999995</v>
      </c>
      <c r="H2266">
        <f t="shared" si="257"/>
        <v>0.19383287290111201</v>
      </c>
      <c r="I2266">
        <f t="shared" si="258"/>
        <v>0.17916903272872373</v>
      </c>
      <c r="K2266" s="5">
        <f t="shared" si="259"/>
        <v>1054.9022511447226</v>
      </c>
      <c r="L2266" s="5">
        <f t="shared" si="260"/>
        <v>0.17716903272872372</v>
      </c>
    </row>
    <row r="2267" spans="2:12">
      <c r="B2267">
        <v>22.064453125</v>
      </c>
      <c r="C2267">
        <v>3.6781914532184601</v>
      </c>
      <c r="D2267">
        <v>44.146914062500002</v>
      </c>
      <c r="E2267" s="5">
        <f t="shared" si="255"/>
        <v>44146.9140625</v>
      </c>
      <c r="F2267" s="5">
        <v>1.94002245552838</v>
      </c>
      <c r="G2267">
        <f t="shared" si="256"/>
        <v>882.93828125000005</v>
      </c>
      <c r="H2267">
        <f t="shared" si="257"/>
        <v>0.19400224555283802</v>
      </c>
      <c r="I2267">
        <f t="shared" si="258"/>
        <v>0.17931089566616115</v>
      </c>
      <c r="K2267" s="5">
        <f t="shared" si="259"/>
        <v>1054.2302904970634</v>
      </c>
      <c r="L2267" s="5">
        <f t="shared" si="260"/>
        <v>0.17731089566616115</v>
      </c>
    </row>
    <row r="2268" spans="2:12">
      <c r="B2268">
        <v>22.07421875</v>
      </c>
      <c r="C2268">
        <v>3.6826231516897701</v>
      </c>
      <c r="D2268">
        <v>44.150011718750001</v>
      </c>
      <c r="E2268" s="5">
        <f t="shared" si="255"/>
        <v>44150.01171875</v>
      </c>
      <c r="F2268" s="5">
        <v>1.941790105775</v>
      </c>
      <c r="G2268">
        <f t="shared" si="256"/>
        <v>883.00023437499999</v>
      </c>
      <c r="H2268">
        <f t="shared" si="257"/>
        <v>0.19417901057750001</v>
      </c>
      <c r="I2268">
        <f t="shared" si="258"/>
        <v>0.1794589288395487</v>
      </c>
      <c r="K2268" s="5">
        <f t="shared" si="259"/>
        <v>1054.4603462256382</v>
      </c>
      <c r="L2268" s="5">
        <f t="shared" si="260"/>
        <v>0.1774589288395487</v>
      </c>
    </row>
    <row r="2269" spans="2:12">
      <c r="B2269">
        <v>22.083984375</v>
      </c>
      <c r="C2269">
        <v>3.6841728724539302</v>
      </c>
      <c r="D2269">
        <v>44.124480468750001</v>
      </c>
      <c r="E2269" s="5">
        <f t="shared" si="255"/>
        <v>44124.48046875</v>
      </c>
      <c r="F2269" s="5">
        <v>1.94351095706224</v>
      </c>
      <c r="G2269">
        <f t="shared" si="256"/>
        <v>882.48960937499999</v>
      </c>
      <c r="H2269">
        <f t="shared" si="257"/>
        <v>0.194351095706224</v>
      </c>
      <c r="I2269">
        <f t="shared" si="258"/>
        <v>0.17960302175139348</v>
      </c>
      <c r="K2269" s="5">
        <f t="shared" si="259"/>
        <v>1054.0024319063889</v>
      </c>
      <c r="L2269" s="5">
        <f t="shared" si="260"/>
        <v>0.17760302175139348</v>
      </c>
    </row>
    <row r="2270" spans="2:12">
      <c r="B2270">
        <v>22.09375</v>
      </c>
      <c r="C2270">
        <v>3.6868029274046399</v>
      </c>
      <c r="D2270">
        <v>44.128652343749998</v>
      </c>
      <c r="E2270" s="5">
        <f t="shared" si="255"/>
        <v>44128.65234375</v>
      </c>
      <c r="F2270" s="5">
        <v>1.9452222622930999</v>
      </c>
      <c r="G2270">
        <f t="shared" si="256"/>
        <v>882.57304687500005</v>
      </c>
      <c r="H2270">
        <f t="shared" si="257"/>
        <v>0.19452222622930998</v>
      </c>
      <c r="I2270">
        <f t="shared" si="258"/>
        <v>0.17974629475110207</v>
      </c>
      <c r="K2270" s="5">
        <f t="shared" si="259"/>
        <v>1054.2531207631102</v>
      </c>
      <c r="L2270" s="5">
        <f t="shared" si="260"/>
        <v>0.17774629475110207</v>
      </c>
    </row>
    <row r="2271" spans="2:12">
      <c r="B2271">
        <v>22.103515625</v>
      </c>
      <c r="C2271">
        <v>3.6884532310068598</v>
      </c>
      <c r="D2271">
        <v>44.118562500000003</v>
      </c>
      <c r="E2271" s="5">
        <f t="shared" si="255"/>
        <v>44118.5625</v>
      </c>
      <c r="F2271" s="5">
        <v>1.94708234630525</v>
      </c>
      <c r="G2271">
        <f t="shared" si="256"/>
        <v>882.37125000000003</v>
      </c>
      <c r="H2271">
        <f t="shared" si="257"/>
        <v>0.194708234630525</v>
      </c>
      <c r="I2271">
        <f t="shared" si="258"/>
        <v>0.17990200045186058</v>
      </c>
      <c r="K2271" s="5">
        <f t="shared" si="259"/>
        <v>1054.1761983762299</v>
      </c>
      <c r="L2271" s="5">
        <f t="shared" si="260"/>
        <v>0.17790200045186058</v>
      </c>
    </row>
    <row r="2272" spans="2:12">
      <c r="B2272">
        <v>22.11328125</v>
      </c>
      <c r="C2272">
        <v>3.6889612674713099</v>
      </c>
      <c r="D2272">
        <v>44.098679687500002</v>
      </c>
      <c r="E2272" s="5">
        <f t="shared" si="255"/>
        <v>44098.6796875</v>
      </c>
      <c r="F2272" s="5">
        <v>1.9489009864628299</v>
      </c>
      <c r="G2272">
        <f t="shared" si="256"/>
        <v>881.97359374999996</v>
      </c>
      <c r="H2272">
        <f t="shared" si="257"/>
        <v>0.19489009864628298</v>
      </c>
      <c r="I2272">
        <f t="shared" si="258"/>
        <v>0.18005421349417516</v>
      </c>
      <c r="K2272" s="5">
        <f t="shared" si="259"/>
        <v>1053.8615144393541</v>
      </c>
      <c r="L2272" s="5">
        <f t="shared" si="260"/>
        <v>0.17805421349417516</v>
      </c>
    </row>
    <row r="2273" spans="2:12">
      <c r="B2273">
        <v>22.123046875</v>
      </c>
      <c r="C2273">
        <v>3.6909990012645699</v>
      </c>
      <c r="D2273">
        <v>44.072390624999997</v>
      </c>
      <c r="E2273" s="5">
        <f t="shared" si="255"/>
        <v>44072.390625</v>
      </c>
      <c r="F2273" s="5">
        <v>1.95063510909677</v>
      </c>
      <c r="G2273">
        <f t="shared" si="256"/>
        <v>881.44781250000005</v>
      </c>
      <c r="H2273">
        <f t="shared" si="257"/>
        <v>0.195063510909677</v>
      </c>
      <c r="I2273">
        <f t="shared" si="258"/>
        <v>0.18019933117596196</v>
      </c>
      <c r="K2273" s="5">
        <f t="shared" si="259"/>
        <v>1053.3861174899048</v>
      </c>
      <c r="L2273" s="5">
        <f t="shared" si="260"/>
        <v>0.17819933117596196</v>
      </c>
    </row>
    <row r="2274" spans="2:12">
      <c r="B2274">
        <v>22.1328125</v>
      </c>
      <c r="C2274">
        <v>3.6923824809491599</v>
      </c>
      <c r="D2274">
        <v>44.062800781249997</v>
      </c>
      <c r="E2274" s="5">
        <f t="shared" si="255"/>
        <v>44062.80078125</v>
      </c>
      <c r="F2274" s="5">
        <v>1.9523916998878099</v>
      </c>
      <c r="G2274">
        <f t="shared" si="256"/>
        <v>881.25601562500003</v>
      </c>
      <c r="H2274">
        <f t="shared" si="257"/>
        <v>0.19523916998878099</v>
      </c>
      <c r="I2274">
        <f t="shared" si="258"/>
        <v>0.18034630760771175</v>
      </c>
      <c r="K2274" s="5">
        <f t="shared" si="259"/>
        <v>1053.3117086632453</v>
      </c>
      <c r="L2274" s="5">
        <f t="shared" si="260"/>
        <v>0.17834630760771175</v>
      </c>
    </row>
    <row r="2275" spans="2:12">
      <c r="B2275">
        <v>22.142578125</v>
      </c>
      <c r="C2275">
        <v>3.6936707329004999</v>
      </c>
      <c r="D2275">
        <v>44.05228125</v>
      </c>
      <c r="E2275" s="5">
        <f t="shared" si="255"/>
        <v>44052.28125</v>
      </c>
      <c r="F2275" s="5">
        <v>1.9540216308087099</v>
      </c>
      <c r="G2275">
        <f t="shared" si="256"/>
        <v>881.04562499999997</v>
      </c>
      <c r="H2275">
        <f t="shared" si="257"/>
        <v>0.19540216308087099</v>
      </c>
      <c r="I2275">
        <f t="shared" si="258"/>
        <v>0.18048266691020351</v>
      </c>
      <c r="K2275" s="5">
        <f t="shared" si="259"/>
        <v>1053.203845897938</v>
      </c>
      <c r="L2275" s="5">
        <f t="shared" si="260"/>
        <v>0.17848266691020351</v>
      </c>
    </row>
    <row r="2276" spans="2:12">
      <c r="B2276">
        <v>22.15234375</v>
      </c>
      <c r="C2276">
        <v>3.6952337250113501</v>
      </c>
      <c r="D2276">
        <v>44.065046875</v>
      </c>
      <c r="E2276" s="5">
        <f t="shared" si="255"/>
        <v>44065.046875</v>
      </c>
      <c r="F2276" s="5">
        <v>1.9557701889425501</v>
      </c>
      <c r="G2276">
        <f t="shared" si="256"/>
        <v>881.30093750000003</v>
      </c>
      <c r="H2276">
        <f t="shared" si="257"/>
        <v>0.19557701889425499</v>
      </c>
      <c r="I2276">
        <f t="shared" si="258"/>
        <v>0.18062892984299167</v>
      </c>
      <c r="K2276" s="5">
        <f t="shared" si="259"/>
        <v>1053.6631476049622</v>
      </c>
      <c r="L2276" s="5">
        <f t="shared" si="260"/>
        <v>0.17862892984299167</v>
      </c>
    </row>
    <row r="2277" spans="2:12">
      <c r="B2277">
        <v>22.162109375</v>
      </c>
      <c r="C2277">
        <v>3.69672034867108</v>
      </c>
      <c r="D2277">
        <v>44.042308593750001</v>
      </c>
      <c r="E2277" s="5">
        <f t="shared" si="255"/>
        <v>44042.30859375</v>
      </c>
      <c r="F2277" s="5">
        <v>1.95751409046352</v>
      </c>
      <c r="G2277">
        <f t="shared" si="256"/>
        <v>880.84617187499998</v>
      </c>
      <c r="H2277">
        <f t="shared" si="257"/>
        <v>0.19575140904635199</v>
      </c>
      <c r="I2277">
        <f t="shared" si="258"/>
        <v>0.18077478195629282</v>
      </c>
      <c r="K2277" s="5">
        <f t="shared" si="259"/>
        <v>1053.2730511726163</v>
      </c>
      <c r="L2277" s="5">
        <f t="shared" si="260"/>
        <v>0.17877478195629282</v>
      </c>
    </row>
    <row r="2278" spans="2:12">
      <c r="B2278">
        <v>22.171875</v>
      </c>
      <c r="C2278">
        <v>3.6984509788453601</v>
      </c>
      <c r="D2278">
        <v>44.043199218749997</v>
      </c>
      <c r="E2278" s="5">
        <f t="shared" si="255"/>
        <v>44043.19921875</v>
      </c>
      <c r="F2278" s="5">
        <v>1.9593005999922799</v>
      </c>
      <c r="G2278">
        <f t="shared" si="256"/>
        <v>880.86398437499997</v>
      </c>
      <c r="H2278">
        <f t="shared" si="257"/>
        <v>0.195930059999228</v>
      </c>
      <c r="I2278">
        <f t="shared" si="258"/>
        <v>0.18092417555700471</v>
      </c>
      <c r="K2278" s="5">
        <f t="shared" si="259"/>
        <v>1053.4517176847528</v>
      </c>
      <c r="L2278" s="5">
        <f t="shared" si="260"/>
        <v>0.17892417555700471</v>
      </c>
    </row>
    <row r="2279" spans="2:12">
      <c r="B2279">
        <v>22.181640625</v>
      </c>
      <c r="C2279">
        <v>3.7003145553171599</v>
      </c>
      <c r="D2279">
        <v>44.038027343750002</v>
      </c>
      <c r="E2279" s="5">
        <f t="shared" si="255"/>
        <v>44038.02734375</v>
      </c>
      <c r="F2279" s="5">
        <v>1.9611925818026099</v>
      </c>
      <c r="G2279">
        <f t="shared" si="256"/>
        <v>880.76054687500005</v>
      </c>
      <c r="H2279">
        <f t="shared" si="257"/>
        <v>0.19611925818026099</v>
      </c>
      <c r="I2279">
        <f t="shared" si="258"/>
        <v>0.18108236475485259</v>
      </c>
      <c r="K2279" s="5">
        <f t="shared" si="259"/>
        <v>1053.4946519625662</v>
      </c>
      <c r="L2279" s="5">
        <f t="shared" si="260"/>
        <v>0.17908236475485259</v>
      </c>
    </row>
    <row r="2280" spans="2:12">
      <c r="B2280">
        <v>22.19140625</v>
      </c>
      <c r="C2280">
        <v>3.70188150554895</v>
      </c>
      <c r="D2280">
        <v>44.033757812499999</v>
      </c>
      <c r="E2280" s="5">
        <f t="shared" si="255"/>
        <v>44033.7578125</v>
      </c>
      <c r="F2280" s="5">
        <v>1.9629814196377999</v>
      </c>
      <c r="G2280">
        <f t="shared" si="256"/>
        <v>880.67515624999999</v>
      </c>
      <c r="H2280">
        <f t="shared" si="257"/>
        <v>0.19629814196377998</v>
      </c>
      <c r="I2280">
        <f t="shared" si="258"/>
        <v>0.181231907041112</v>
      </c>
      <c r="K2280" s="5">
        <f t="shared" si="259"/>
        <v>1053.5500530955364</v>
      </c>
      <c r="L2280" s="5">
        <f t="shared" si="260"/>
        <v>0.179231907041112</v>
      </c>
    </row>
    <row r="2281" spans="2:12">
      <c r="B2281">
        <v>22.201171875</v>
      </c>
      <c r="C2281">
        <v>3.7050924729555801</v>
      </c>
      <c r="D2281">
        <v>44.043683593750004</v>
      </c>
      <c r="E2281" s="5">
        <f t="shared" si="255"/>
        <v>44043.68359375</v>
      </c>
      <c r="F2281" s="5">
        <v>1.9648112356662799</v>
      </c>
      <c r="G2281">
        <f t="shared" si="256"/>
        <v>880.87367187500001</v>
      </c>
      <c r="H2281">
        <f t="shared" si="257"/>
        <v>0.196481123566628</v>
      </c>
      <c r="I2281">
        <f t="shared" si="258"/>
        <v>0.18138485186627051</v>
      </c>
      <c r="K2281" s="5">
        <f t="shared" si="259"/>
        <v>1053.9487206452611</v>
      </c>
      <c r="L2281" s="5">
        <f t="shared" si="260"/>
        <v>0.17938485186627051</v>
      </c>
    </row>
    <row r="2282" spans="2:12">
      <c r="B2282">
        <v>22.2109375</v>
      </c>
      <c r="C2282">
        <v>3.7054566200822601</v>
      </c>
      <c r="D2282">
        <v>44.042355468750003</v>
      </c>
      <c r="E2282" s="5">
        <f t="shared" si="255"/>
        <v>44042.35546875</v>
      </c>
      <c r="F2282" s="5">
        <v>1.9667015876620999</v>
      </c>
      <c r="G2282">
        <f t="shared" si="256"/>
        <v>880.84710937499995</v>
      </c>
      <c r="H2282">
        <f t="shared" si="257"/>
        <v>0.19667015876621</v>
      </c>
      <c r="I2282">
        <f t="shared" si="258"/>
        <v>0.18154283201685339</v>
      </c>
      <c r="K2282" s="5">
        <f t="shared" si="259"/>
        <v>1054.0834502245384</v>
      </c>
      <c r="L2282" s="5">
        <f t="shared" si="260"/>
        <v>0.17954283201685339</v>
      </c>
    </row>
    <row r="2283" spans="2:12">
      <c r="B2283">
        <v>22.220703125</v>
      </c>
      <c r="C2283">
        <v>3.7073777057230499</v>
      </c>
      <c r="D2283">
        <v>44.027156249999997</v>
      </c>
      <c r="E2283" s="5">
        <f t="shared" si="255"/>
        <v>44027.15625</v>
      </c>
      <c r="F2283" s="5">
        <v>1.96854211390018</v>
      </c>
      <c r="G2283">
        <f t="shared" si="256"/>
        <v>880.54312500000003</v>
      </c>
      <c r="H2283">
        <f t="shared" si="257"/>
        <v>0.19685421139001799</v>
      </c>
      <c r="I2283">
        <f t="shared" si="258"/>
        <v>0.18169662416241547</v>
      </c>
      <c r="K2283" s="5">
        <f t="shared" si="259"/>
        <v>1053.8817474667771</v>
      </c>
      <c r="L2283" s="5">
        <f t="shared" si="260"/>
        <v>0.17969662416241547</v>
      </c>
    </row>
    <row r="2284" spans="2:12">
      <c r="B2284">
        <v>22.23046875</v>
      </c>
      <c r="C2284">
        <v>3.7096501328051099</v>
      </c>
      <c r="D2284">
        <v>44.018636718750003</v>
      </c>
      <c r="E2284" s="5">
        <f t="shared" si="255"/>
        <v>44018.63671875</v>
      </c>
      <c r="F2284" s="5">
        <v>1.9704054575413501</v>
      </c>
      <c r="G2284">
        <f t="shared" si="256"/>
        <v>880.37273437500005</v>
      </c>
      <c r="H2284">
        <f t="shared" si="257"/>
        <v>0.19704054575413502</v>
      </c>
      <c r="I2284">
        <f t="shared" si="258"/>
        <v>0.18185229881263751</v>
      </c>
      <c r="K2284" s="5">
        <f t="shared" si="259"/>
        <v>1053.8418584233102</v>
      </c>
      <c r="L2284" s="5">
        <f t="shared" si="260"/>
        <v>0.17985229881263751</v>
      </c>
    </row>
    <row r="2285" spans="2:12">
      <c r="B2285">
        <v>22.240234375</v>
      </c>
      <c r="C2285">
        <v>3.7103630602359798</v>
      </c>
      <c r="D2285">
        <v>43.969187499999997</v>
      </c>
      <c r="E2285" s="5">
        <f t="shared" si="255"/>
        <v>43969.1875</v>
      </c>
      <c r="F2285" s="5">
        <v>1.9721959251910399</v>
      </c>
      <c r="G2285">
        <f t="shared" si="256"/>
        <v>879.38374999999996</v>
      </c>
      <c r="H2285">
        <f t="shared" si="257"/>
        <v>0.19721959251910398</v>
      </c>
      <c r="I2285">
        <f t="shared" si="258"/>
        <v>0.18200186214741518</v>
      </c>
      <c r="K2285" s="5">
        <f t="shared" si="259"/>
        <v>1052.8154548429216</v>
      </c>
      <c r="L2285" s="5">
        <f t="shared" si="260"/>
        <v>0.18000186214741518</v>
      </c>
    </row>
    <row r="2286" spans="2:12">
      <c r="B2286">
        <v>22.25</v>
      </c>
      <c r="C2286">
        <v>3.7114084698259799</v>
      </c>
      <c r="D2286">
        <v>43.955105468749998</v>
      </c>
      <c r="E2286" s="5">
        <f t="shared" si="255"/>
        <v>43955.10546875</v>
      </c>
      <c r="F2286" s="5">
        <v>1.9739079289138299</v>
      </c>
      <c r="G2286">
        <f t="shared" si="256"/>
        <v>879.10210937500005</v>
      </c>
      <c r="H2286">
        <f t="shared" si="257"/>
        <v>0.197390792891383</v>
      </c>
      <c r="I2286">
        <f t="shared" si="258"/>
        <v>0.1821448502289951</v>
      </c>
      <c r="K2286" s="5">
        <f t="shared" si="259"/>
        <v>1052.6287717770185</v>
      </c>
      <c r="L2286" s="5">
        <f t="shared" si="260"/>
        <v>0.1801448502289951</v>
      </c>
    </row>
    <row r="2287" spans="2:12">
      <c r="B2287">
        <v>22.259765625</v>
      </c>
      <c r="C2287">
        <v>3.7130170967429899</v>
      </c>
      <c r="D2287">
        <v>43.937910156249998</v>
      </c>
      <c r="E2287" s="5">
        <f t="shared" si="255"/>
        <v>43937.91015625</v>
      </c>
      <c r="F2287" s="5">
        <v>1.9756006076932</v>
      </c>
      <c r="G2287">
        <f t="shared" si="256"/>
        <v>878.75820312500002</v>
      </c>
      <c r="H2287">
        <f t="shared" si="257"/>
        <v>0.19756006076932001</v>
      </c>
      <c r="I2287">
        <f t="shared" si="258"/>
        <v>0.18228620417616287</v>
      </c>
      <c r="K2287" s="5">
        <f t="shared" si="259"/>
        <v>1052.3657271359134</v>
      </c>
      <c r="L2287" s="5">
        <f t="shared" si="260"/>
        <v>0.18028620417616287</v>
      </c>
    </row>
    <row r="2288" spans="2:12">
      <c r="B2288">
        <v>22.26953125</v>
      </c>
      <c r="C2288">
        <v>3.71559406630695</v>
      </c>
      <c r="D2288">
        <v>43.9347109375</v>
      </c>
      <c r="E2288" s="5">
        <f t="shared" si="255"/>
        <v>43934.7109375</v>
      </c>
      <c r="F2288" s="5">
        <v>1.97735149413347</v>
      </c>
      <c r="G2288">
        <f t="shared" si="256"/>
        <v>878.69421875</v>
      </c>
      <c r="H2288">
        <f t="shared" si="257"/>
        <v>0.19773514941334699</v>
      </c>
      <c r="I2288">
        <f t="shared" si="258"/>
        <v>0.18243239796772107</v>
      </c>
      <c r="K2288" s="5">
        <f t="shared" si="259"/>
        <v>1052.4429513831756</v>
      </c>
      <c r="L2288" s="5">
        <f t="shared" si="260"/>
        <v>0.18043239796772106</v>
      </c>
    </row>
    <row r="2289" spans="2:12">
      <c r="B2289">
        <v>22.279296875</v>
      </c>
      <c r="C2289">
        <v>3.7170106079429401</v>
      </c>
      <c r="D2289">
        <v>43.9193984375</v>
      </c>
      <c r="E2289" s="5">
        <f t="shared" si="255"/>
        <v>43919.3984375</v>
      </c>
      <c r="F2289" s="5">
        <v>1.97899248450994</v>
      </c>
      <c r="G2289">
        <f t="shared" si="256"/>
        <v>878.38796875000003</v>
      </c>
      <c r="H2289">
        <f t="shared" si="257"/>
        <v>0.19789924845099399</v>
      </c>
      <c r="I2289">
        <f t="shared" si="258"/>
        <v>0.18256939636618283</v>
      </c>
      <c r="K2289" s="5">
        <f t="shared" si="259"/>
        <v>1052.2202876140202</v>
      </c>
      <c r="L2289" s="5">
        <f t="shared" si="260"/>
        <v>0.18056939636618283</v>
      </c>
    </row>
    <row r="2290" spans="2:12">
      <c r="B2290">
        <v>22.2890625</v>
      </c>
      <c r="C2290">
        <v>3.71796498075128</v>
      </c>
      <c r="D2290">
        <v>43.905136718750001</v>
      </c>
      <c r="E2290" s="5">
        <f t="shared" si="255"/>
        <v>43905.13671875</v>
      </c>
      <c r="F2290" s="5">
        <v>1.98082439601421</v>
      </c>
      <c r="G2290">
        <f t="shared" si="256"/>
        <v>878.10273437499995</v>
      </c>
      <c r="H2290">
        <f t="shared" si="257"/>
        <v>0.198082439601421</v>
      </c>
      <c r="I2290">
        <f t="shared" si="258"/>
        <v>0.18272231168410644</v>
      </c>
      <c r="K2290" s="5">
        <f t="shared" si="259"/>
        <v>1052.0394662206784</v>
      </c>
      <c r="L2290" s="5">
        <f t="shared" si="260"/>
        <v>0.18072231168410643</v>
      </c>
    </row>
    <row r="2291" spans="2:12">
      <c r="B2291">
        <v>22.298828125</v>
      </c>
      <c r="C2291">
        <v>3.7189766298979499</v>
      </c>
      <c r="D2291">
        <v>43.894753906250003</v>
      </c>
      <c r="E2291" s="5">
        <f t="shared" si="255"/>
        <v>43894.75390625</v>
      </c>
      <c r="F2291" s="5">
        <v>1.9826677162200199</v>
      </c>
      <c r="G2291">
        <f t="shared" si="256"/>
        <v>877.89507812500005</v>
      </c>
      <c r="H2291">
        <f t="shared" si="257"/>
        <v>0.19826677162200199</v>
      </c>
      <c r="I2291">
        <f t="shared" si="258"/>
        <v>0.18287615572326502</v>
      </c>
      <c r="K2291" s="5">
        <f t="shared" si="259"/>
        <v>1051.9525010876889</v>
      </c>
      <c r="L2291" s="5">
        <f t="shared" si="260"/>
        <v>0.18087615572326501</v>
      </c>
    </row>
    <row r="2292" spans="2:12">
      <c r="B2292">
        <v>22.30859375</v>
      </c>
      <c r="C2292">
        <v>3.7216364871710499</v>
      </c>
      <c r="D2292">
        <v>43.89135546875</v>
      </c>
      <c r="E2292" s="5">
        <f t="shared" si="255"/>
        <v>43891.35546875</v>
      </c>
      <c r="F2292" s="5">
        <v>1.98440044187009</v>
      </c>
      <c r="G2292">
        <f t="shared" si="256"/>
        <v>877.82710937499996</v>
      </c>
      <c r="H2292">
        <f t="shared" si="257"/>
        <v>0.198440044187009</v>
      </c>
      <c r="I2292">
        <f t="shared" si="258"/>
        <v>0.18302074793134482</v>
      </c>
      <c r="K2292" s="5">
        <f t="shared" si="259"/>
        <v>1052.0231597479292</v>
      </c>
      <c r="L2292" s="5">
        <f t="shared" si="260"/>
        <v>0.18102074793134482</v>
      </c>
    </row>
    <row r="2293" spans="2:12">
      <c r="B2293">
        <v>22.318359375</v>
      </c>
      <c r="C2293">
        <v>3.7222669925540699</v>
      </c>
      <c r="D2293">
        <v>43.888910156249999</v>
      </c>
      <c r="E2293" s="5">
        <f t="shared" si="255"/>
        <v>43888.91015625</v>
      </c>
      <c r="F2293" s="5">
        <v>1.9861527252942299</v>
      </c>
      <c r="G2293">
        <f t="shared" si="256"/>
        <v>877.778203125</v>
      </c>
      <c r="H2293">
        <f t="shared" si="257"/>
        <v>0.19861527252942299</v>
      </c>
      <c r="I2293">
        <f t="shared" si="258"/>
        <v>0.18316695093425783</v>
      </c>
      <c r="K2293" s="5">
        <f t="shared" si="259"/>
        <v>1052.1183601590592</v>
      </c>
      <c r="L2293" s="5">
        <f t="shared" si="260"/>
        <v>0.18116695093425783</v>
      </c>
    </row>
    <row r="2294" spans="2:12">
      <c r="B2294">
        <v>22.328125</v>
      </c>
      <c r="C2294">
        <v>3.7245021667331502</v>
      </c>
      <c r="D2294">
        <v>43.880765625000002</v>
      </c>
      <c r="E2294" s="5">
        <f t="shared" si="255"/>
        <v>43880.765625</v>
      </c>
      <c r="F2294" s="5">
        <v>1.9878803286701401</v>
      </c>
      <c r="G2294">
        <f t="shared" si="256"/>
        <v>877.61531249999996</v>
      </c>
      <c r="H2294">
        <f t="shared" si="257"/>
        <v>0.19878803286701402</v>
      </c>
      <c r="I2294">
        <f t="shared" si="258"/>
        <v>0.18331107381712958</v>
      </c>
      <c r="K2294" s="5">
        <f t="shared" si="259"/>
        <v>1052.0747340858447</v>
      </c>
      <c r="L2294" s="5">
        <f t="shared" si="260"/>
        <v>0.18131107381712958</v>
      </c>
    </row>
    <row r="2295" spans="2:12">
      <c r="B2295">
        <v>22.337890625</v>
      </c>
      <c r="C2295">
        <v>3.72613803483546</v>
      </c>
      <c r="D2295">
        <v>43.877796875000001</v>
      </c>
      <c r="E2295" s="5">
        <f t="shared" si="255"/>
        <v>43877.796875</v>
      </c>
      <c r="F2295" s="5">
        <v>1.98963843286037</v>
      </c>
      <c r="G2295">
        <f t="shared" si="256"/>
        <v>877.55593750000003</v>
      </c>
      <c r="H2295">
        <f t="shared" si="257"/>
        <v>0.198963843286037</v>
      </c>
      <c r="I2295">
        <f t="shared" si="258"/>
        <v>0.18345771986594439</v>
      </c>
      <c r="K2295" s="5">
        <f t="shared" si="259"/>
        <v>1052.1578395234812</v>
      </c>
      <c r="L2295" s="5">
        <f t="shared" si="260"/>
        <v>0.18145771986594439</v>
      </c>
    </row>
    <row r="2296" spans="2:12">
      <c r="B2296">
        <v>22.34765625</v>
      </c>
      <c r="C2296">
        <v>3.7289336323738098</v>
      </c>
      <c r="D2296">
        <v>43.857382812499999</v>
      </c>
      <c r="E2296" s="5">
        <f t="shared" si="255"/>
        <v>43857.3828125</v>
      </c>
      <c r="F2296" s="5">
        <v>1.9914994481951001</v>
      </c>
      <c r="G2296">
        <f t="shared" si="256"/>
        <v>877.14765624999995</v>
      </c>
      <c r="H2296">
        <f t="shared" si="257"/>
        <v>0.19914994481951001</v>
      </c>
      <c r="I2296">
        <f t="shared" si="258"/>
        <v>0.18361292645769967</v>
      </c>
      <c r="K2296" s="5">
        <f t="shared" si="259"/>
        <v>1051.83156359075</v>
      </c>
      <c r="L2296" s="5">
        <f t="shared" si="260"/>
        <v>0.18161292645769966</v>
      </c>
    </row>
    <row r="2297" spans="2:12">
      <c r="B2297">
        <v>22.357421875</v>
      </c>
      <c r="C2297">
        <v>3.7289143074303901</v>
      </c>
      <c r="D2297">
        <v>43.854914062500001</v>
      </c>
      <c r="E2297" s="5">
        <f t="shared" si="255"/>
        <v>43854.9140625</v>
      </c>
      <c r="F2297" s="5">
        <v>1.9933199509978301</v>
      </c>
      <c r="G2297">
        <f t="shared" si="256"/>
        <v>877.09828125000001</v>
      </c>
      <c r="H2297">
        <f t="shared" si="257"/>
        <v>0.199331995099783</v>
      </c>
      <c r="I2297">
        <f t="shared" si="258"/>
        <v>0.18376473104508687</v>
      </c>
      <c r="K2297" s="5">
        <f t="shared" si="259"/>
        <v>1051.9320315501532</v>
      </c>
      <c r="L2297" s="5">
        <f t="shared" si="260"/>
        <v>0.18176473104508686</v>
      </c>
    </row>
    <row r="2298" spans="2:12">
      <c r="B2298">
        <v>22.3671875</v>
      </c>
      <c r="C2298">
        <v>3.7319501861929898</v>
      </c>
      <c r="D2298">
        <v>43.825839843750003</v>
      </c>
      <c r="E2298" s="5">
        <f t="shared" si="255"/>
        <v>43825.83984375</v>
      </c>
      <c r="F2298" s="5">
        <v>1.99507898651063</v>
      </c>
      <c r="G2298">
        <f t="shared" si="256"/>
        <v>876.51679687499995</v>
      </c>
      <c r="H2298">
        <f t="shared" si="257"/>
        <v>0.199507898651063</v>
      </c>
      <c r="I2298">
        <f t="shared" si="258"/>
        <v>0.18391138822888106</v>
      </c>
      <c r="K2298" s="5">
        <f t="shared" si="259"/>
        <v>1051.3888211518918</v>
      </c>
      <c r="L2298" s="5">
        <f t="shared" si="260"/>
        <v>0.18191138822888106</v>
      </c>
    </row>
    <row r="2299" spans="2:12">
      <c r="B2299">
        <v>22.376953125</v>
      </c>
      <c r="C2299">
        <v>3.7329343613237098</v>
      </c>
      <c r="D2299">
        <v>43.815285156249999</v>
      </c>
      <c r="E2299" s="5">
        <f t="shared" si="255"/>
        <v>43815.28515625</v>
      </c>
      <c r="F2299" s="5">
        <v>1.9967127591371501</v>
      </c>
      <c r="G2299">
        <f t="shared" si="256"/>
        <v>876.30570312500004</v>
      </c>
      <c r="H2299">
        <f t="shared" si="257"/>
        <v>0.199671275913715</v>
      </c>
      <c r="I2299">
        <f t="shared" si="258"/>
        <v>0.18404758252786177</v>
      </c>
      <c r="K2299" s="5">
        <f t="shared" si="259"/>
        <v>1051.2787809584338</v>
      </c>
      <c r="L2299" s="5">
        <f t="shared" si="260"/>
        <v>0.18204758252786177</v>
      </c>
    </row>
    <row r="2300" spans="2:12">
      <c r="B2300">
        <v>22.38671875</v>
      </c>
      <c r="C2300">
        <v>3.7349886260926701</v>
      </c>
      <c r="D2300">
        <v>43.814617187499998</v>
      </c>
      <c r="E2300" s="5">
        <f t="shared" si="255"/>
        <v>43814.6171875</v>
      </c>
      <c r="F2300" s="5">
        <v>1.9983453676104499</v>
      </c>
      <c r="G2300">
        <f t="shared" si="256"/>
        <v>876.29234374999999</v>
      </c>
      <c r="H2300">
        <f t="shared" si="257"/>
        <v>0.19983453676104498</v>
      </c>
      <c r="I2300">
        <f t="shared" si="258"/>
        <v>0.18418366125433921</v>
      </c>
      <c r="K2300" s="5">
        <f t="shared" si="259"/>
        <v>1051.4058183305317</v>
      </c>
      <c r="L2300" s="5">
        <f t="shared" si="260"/>
        <v>0.18218366125433921</v>
      </c>
    </row>
    <row r="2301" spans="2:12">
      <c r="B2301">
        <v>22.396484375</v>
      </c>
      <c r="C2301">
        <v>3.7365993484854698</v>
      </c>
      <c r="D2301">
        <v>43.787558593749999</v>
      </c>
      <c r="E2301" s="5">
        <f t="shared" si="255"/>
        <v>43787.55859375</v>
      </c>
      <c r="F2301" s="5">
        <v>1.9999905489385099</v>
      </c>
      <c r="G2301">
        <f t="shared" si="256"/>
        <v>875.75117187499995</v>
      </c>
      <c r="H2301">
        <f t="shared" si="257"/>
        <v>0.199999054893851</v>
      </c>
      <c r="I2301">
        <f t="shared" si="258"/>
        <v>0.18432076920518703</v>
      </c>
      <c r="K2301" s="5">
        <f t="shared" si="259"/>
        <v>1050.9005785721824</v>
      </c>
      <c r="L2301" s="5">
        <f t="shared" si="260"/>
        <v>0.18232076920518703</v>
      </c>
    </row>
    <row r="2302" spans="2:12">
      <c r="B2302">
        <v>22.40625</v>
      </c>
      <c r="C2302">
        <v>3.7386089097708499</v>
      </c>
      <c r="D2302">
        <v>43.812105468749998</v>
      </c>
      <c r="E2302" s="5">
        <f t="shared" si="255"/>
        <v>43812.10546875</v>
      </c>
      <c r="F2302" s="5">
        <v>2.00191838666797</v>
      </c>
      <c r="G2302">
        <f t="shared" si="256"/>
        <v>876.24210937500004</v>
      </c>
      <c r="H2302">
        <f t="shared" si="257"/>
        <v>0.20019183866679699</v>
      </c>
      <c r="I2302">
        <f t="shared" si="258"/>
        <v>0.18448140957248249</v>
      </c>
      <c r="K2302" s="5">
        <f t="shared" si="259"/>
        <v>1051.6586283680538</v>
      </c>
      <c r="L2302" s="5">
        <f t="shared" si="260"/>
        <v>0.18248140957248249</v>
      </c>
    </row>
    <row r="2303" spans="2:12">
      <c r="B2303">
        <v>22.416015625</v>
      </c>
      <c r="C2303">
        <v>3.7390748038888</v>
      </c>
      <c r="D2303">
        <v>43.795511718749999</v>
      </c>
      <c r="E2303" s="5">
        <f t="shared" si="255"/>
        <v>43795.51171875</v>
      </c>
      <c r="F2303" s="5">
        <v>2.0037530921399598</v>
      </c>
      <c r="G2303">
        <f t="shared" si="256"/>
        <v>875.91023437499996</v>
      </c>
      <c r="H2303">
        <f t="shared" si="257"/>
        <v>0.20037530921399599</v>
      </c>
      <c r="I2303">
        <f t="shared" si="258"/>
        <v>0.18463426557379722</v>
      </c>
      <c r="K2303" s="5">
        <f t="shared" si="259"/>
        <v>1051.4210184315941</v>
      </c>
      <c r="L2303" s="5">
        <f t="shared" si="260"/>
        <v>0.18263426557379722</v>
      </c>
    </row>
    <row r="2304" spans="2:12">
      <c r="B2304">
        <v>22.42578125</v>
      </c>
      <c r="C2304">
        <v>3.7410848308354598</v>
      </c>
      <c r="D2304">
        <v>43.794249999999998</v>
      </c>
      <c r="E2304" s="5">
        <f t="shared" si="255"/>
        <v>43794.25</v>
      </c>
      <c r="F2304" s="5">
        <v>2.0056501962244502</v>
      </c>
      <c r="G2304">
        <f t="shared" si="256"/>
        <v>875.88499999999999</v>
      </c>
      <c r="H2304">
        <f t="shared" si="257"/>
        <v>0.20056501962244502</v>
      </c>
      <c r="I2304">
        <f t="shared" si="258"/>
        <v>0.18479229566439587</v>
      </c>
      <c r="K2304" s="5">
        <f t="shared" si="259"/>
        <v>1051.5568922120053</v>
      </c>
      <c r="L2304" s="5">
        <f t="shared" si="260"/>
        <v>0.18279229566439587</v>
      </c>
    </row>
    <row r="2305" spans="2:12">
      <c r="B2305">
        <v>22.435546875</v>
      </c>
      <c r="C2305">
        <v>3.74221871607006</v>
      </c>
      <c r="D2305">
        <v>43.782546875000001</v>
      </c>
      <c r="E2305" s="5">
        <f t="shared" si="255"/>
        <v>43782.546875</v>
      </c>
      <c r="F2305" s="5">
        <v>2.0073594059795101</v>
      </c>
      <c r="G2305">
        <f t="shared" si="256"/>
        <v>875.65093750000005</v>
      </c>
      <c r="H2305">
        <f t="shared" si="257"/>
        <v>0.20073594059795102</v>
      </c>
      <c r="I2305">
        <f t="shared" si="258"/>
        <v>0.18493465264390485</v>
      </c>
      <c r="K2305" s="5">
        <f t="shared" si="259"/>
        <v>1051.4255520745401</v>
      </c>
      <c r="L2305" s="5">
        <f t="shared" si="260"/>
        <v>0.18293465264390485</v>
      </c>
    </row>
    <row r="2306" spans="2:12">
      <c r="B2306">
        <v>22.4453125</v>
      </c>
      <c r="C2306">
        <v>3.7459202576428701</v>
      </c>
      <c r="D2306">
        <v>43.771632812500002</v>
      </c>
      <c r="E2306" s="5">
        <f t="shared" si="255"/>
        <v>43771.6328125</v>
      </c>
      <c r="F2306" s="5">
        <v>2.00909469276667</v>
      </c>
      <c r="G2306">
        <f t="shared" si="256"/>
        <v>875.43265625000004</v>
      </c>
      <c r="H2306">
        <f t="shared" si="257"/>
        <v>0.200909469276667</v>
      </c>
      <c r="I2306">
        <f t="shared" si="258"/>
        <v>0.18507916080343967</v>
      </c>
      <c r="K2306" s="5">
        <f t="shared" si="259"/>
        <v>1051.3153666046505</v>
      </c>
      <c r="L2306" s="5">
        <f t="shared" si="260"/>
        <v>0.18307916080343967</v>
      </c>
    </row>
    <row r="2307" spans="2:12">
      <c r="B2307">
        <v>22.455078125</v>
      </c>
      <c r="C2307">
        <v>3.7471174728125298</v>
      </c>
      <c r="D2307">
        <v>43.758261718749999</v>
      </c>
      <c r="E2307" s="5">
        <f t="shared" si="255"/>
        <v>43758.26171875</v>
      </c>
      <c r="F2307" s="5">
        <v>2.0108451135456602</v>
      </c>
      <c r="G2307">
        <f t="shared" si="256"/>
        <v>875.16523437499995</v>
      </c>
      <c r="H2307">
        <f t="shared" si="257"/>
        <v>0.20108451135456601</v>
      </c>
      <c r="I2307">
        <f t="shared" si="258"/>
        <v>0.18522490811140155</v>
      </c>
      <c r="K2307" s="5">
        <f t="shared" si="259"/>
        <v>1051.1474078838012</v>
      </c>
      <c r="L2307" s="5">
        <f t="shared" si="260"/>
        <v>0.18322490811140155</v>
      </c>
    </row>
    <row r="2308" spans="2:12">
      <c r="B2308">
        <v>22.46484375</v>
      </c>
      <c r="C2308">
        <v>3.7500255275517702</v>
      </c>
      <c r="D2308">
        <v>43.761363281249999</v>
      </c>
      <c r="E2308" s="5">
        <f t="shared" si="255"/>
        <v>43761.36328125</v>
      </c>
      <c r="F2308" s="5">
        <v>2.0125864539295399</v>
      </c>
      <c r="G2308">
        <f t="shared" si="256"/>
        <v>875.22726562499997</v>
      </c>
      <c r="H2308">
        <f t="shared" si="257"/>
        <v>0.20125864539295399</v>
      </c>
      <c r="I2308">
        <f t="shared" si="258"/>
        <v>0.18536987827372306</v>
      </c>
      <c r="K2308" s="5">
        <f t="shared" si="259"/>
        <v>1051.3743195156665</v>
      </c>
      <c r="L2308" s="5">
        <f t="shared" si="260"/>
        <v>0.18336987827372306</v>
      </c>
    </row>
    <row r="2309" spans="2:12">
      <c r="B2309">
        <v>22.474609375</v>
      </c>
      <c r="C2309">
        <v>3.74781107529998</v>
      </c>
      <c r="D2309">
        <v>43.724738281249998</v>
      </c>
      <c r="E2309" s="5">
        <f t="shared" si="255"/>
        <v>43724.73828125</v>
      </c>
      <c r="F2309" s="5">
        <v>2.0144029986113301</v>
      </c>
      <c r="G2309">
        <f t="shared" si="256"/>
        <v>874.49476562500001</v>
      </c>
      <c r="H2309">
        <f t="shared" si="257"/>
        <v>0.20144029986113302</v>
      </c>
      <c r="I2309">
        <f t="shared" si="258"/>
        <v>0.18552108695418143</v>
      </c>
      <c r="K2309" s="5">
        <f t="shared" si="259"/>
        <v>1050.6532534394914</v>
      </c>
      <c r="L2309" s="5">
        <f t="shared" si="260"/>
        <v>0.18352108695418143</v>
      </c>
    </row>
    <row r="2310" spans="2:12">
      <c r="B2310">
        <v>22.484375</v>
      </c>
      <c r="C2310">
        <v>3.7515363655984402</v>
      </c>
      <c r="D2310">
        <v>43.727042968749998</v>
      </c>
      <c r="E2310" s="5">
        <f t="shared" si="255"/>
        <v>43727.04296875</v>
      </c>
      <c r="F2310" s="5">
        <v>2.0161895081400898</v>
      </c>
      <c r="G2310">
        <f t="shared" si="256"/>
        <v>874.54085937499997</v>
      </c>
      <c r="H2310">
        <f t="shared" si="257"/>
        <v>0.20161895081400899</v>
      </c>
      <c r="I2310">
        <f t="shared" si="258"/>
        <v>0.18566977321995268</v>
      </c>
      <c r="K2310" s="5">
        <f t="shared" si="259"/>
        <v>1050.8648698861691</v>
      </c>
      <c r="L2310" s="5">
        <f t="shared" si="260"/>
        <v>0.18366977321995268</v>
      </c>
    </row>
    <row r="2311" spans="2:12">
      <c r="B2311">
        <v>22.494140625</v>
      </c>
      <c r="C2311">
        <v>3.7529661785811199</v>
      </c>
      <c r="D2311">
        <v>43.715066406250003</v>
      </c>
      <c r="E2311" s="5">
        <f t="shared" si="255"/>
        <v>43715.06640625</v>
      </c>
      <c r="F2311" s="5">
        <v>2.0179827697575101</v>
      </c>
      <c r="G2311">
        <f t="shared" si="256"/>
        <v>874.30132812500005</v>
      </c>
      <c r="H2311">
        <f t="shared" si="257"/>
        <v>0.20179827697575101</v>
      </c>
      <c r="I2311">
        <f t="shared" si="258"/>
        <v>0.18581899921367634</v>
      </c>
      <c r="K2311" s="5">
        <f t="shared" si="259"/>
        <v>1050.7338296982357</v>
      </c>
      <c r="L2311" s="5">
        <f t="shared" si="260"/>
        <v>0.18381899921367634</v>
      </c>
    </row>
    <row r="2312" spans="2:12">
      <c r="B2312">
        <v>22.50390625</v>
      </c>
      <c r="C2312">
        <v>3.7538781762123099</v>
      </c>
      <c r="D2312">
        <v>43.689988281250002</v>
      </c>
      <c r="E2312" s="5">
        <f t="shared" si="255"/>
        <v>43689.98828125</v>
      </c>
      <c r="F2312" s="5">
        <v>2.0197178237140201</v>
      </c>
      <c r="G2312">
        <f t="shared" si="256"/>
        <v>873.79976562499996</v>
      </c>
      <c r="H2312">
        <f t="shared" si="257"/>
        <v>0.20197178237140201</v>
      </c>
      <c r="I2312">
        <f t="shared" si="258"/>
        <v>0.18596336027290306</v>
      </c>
      <c r="K2312" s="5">
        <f t="shared" si="259"/>
        <v>1050.2826617239946</v>
      </c>
      <c r="L2312" s="5">
        <f t="shared" si="260"/>
        <v>0.18396336027290305</v>
      </c>
    </row>
    <row r="2313" spans="2:12">
      <c r="B2313">
        <v>22.513671875</v>
      </c>
      <c r="C2313">
        <v>3.7555152084678398</v>
      </c>
      <c r="D2313">
        <v>43.665878906250001</v>
      </c>
      <c r="E2313" s="5">
        <f t="shared" ref="E2313:E2376" si="261" xml:space="preserve"> D2313*R$3</f>
        <v>43665.87890625</v>
      </c>
      <c r="F2313" s="5">
        <v>2.0213094539940402</v>
      </c>
      <c r="G2313">
        <f t="shared" ref="G2313:G2376" si="262" xml:space="preserve"> E2313/C$3</f>
        <v>873.31757812499995</v>
      </c>
      <c r="H2313">
        <f t="shared" ref="H2313:H2376" si="263" xml:space="preserve"> F2313/C$4</f>
        <v>0.20213094539940402</v>
      </c>
      <c r="I2313">
        <f t="shared" ref="I2313:I2376" si="264">L2313+0.002</f>
        <v>0.18609576977969824</v>
      </c>
      <c r="K2313" s="5">
        <f t="shared" ref="K2313:K2376" si="265" xml:space="preserve"> G2313 * (1 + H2313)</f>
        <v>1049.8420858253241</v>
      </c>
      <c r="L2313" s="5">
        <f t="shared" ref="L2313:L2376" si="266">LN(1 + H2313)</f>
        <v>0.18409576977969824</v>
      </c>
    </row>
    <row r="2314" spans="2:12">
      <c r="B2314">
        <v>22.5234375</v>
      </c>
      <c r="C2314">
        <v>3.7574216257780799</v>
      </c>
      <c r="D2314">
        <v>43.660316406249997</v>
      </c>
      <c r="E2314" s="5">
        <f t="shared" si="261"/>
        <v>43660.31640625</v>
      </c>
      <c r="F2314" s="5">
        <v>2.0229732617735898</v>
      </c>
      <c r="G2314">
        <f t="shared" si="262"/>
        <v>873.20632812500003</v>
      </c>
      <c r="H2314">
        <f t="shared" si="263"/>
        <v>0.20229732617735899</v>
      </c>
      <c r="I2314">
        <f t="shared" si="264"/>
        <v>0.18623416507323845</v>
      </c>
      <c r="K2314" s="5">
        <f t="shared" si="265"/>
        <v>1049.8536335058373</v>
      </c>
      <c r="L2314" s="5">
        <f t="shared" si="266"/>
        <v>0.18423416507323845</v>
      </c>
    </row>
    <row r="2315" spans="2:12">
      <c r="B2315">
        <v>22.533203125</v>
      </c>
      <c r="C2315">
        <v>3.7578553892672102</v>
      </c>
      <c r="D2315">
        <v>43.6671328125</v>
      </c>
      <c r="E2315" s="5">
        <f t="shared" si="261"/>
        <v>43667.1328125</v>
      </c>
      <c r="F2315" s="5">
        <v>2.0247942302376001</v>
      </c>
      <c r="G2315">
        <f t="shared" si="262"/>
        <v>873.34265625</v>
      </c>
      <c r="H2315">
        <f t="shared" si="263"/>
        <v>0.20247942302376001</v>
      </c>
      <c r="I2315">
        <f t="shared" si="264"/>
        <v>0.18638561102081722</v>
      </c>
      <c r="K2315" s="5">
        <f t="shared" si="265"/>
        <v>1050.1765733895381</v>
      </c>
      <c r="L2315" s="5">
        <f t="shared" si="266"/>
        <v>0.18438561102081721</v>
      </c>
    </row>
    <row r="2316" spans="2:12">
      <c r="B2316">
        <v>22.54296875</v>
      </c>
      <c r="C2316">
        <v>3.76020884141326</v>
      </c>
      <c r="D2316">
        <v>43.668972656249998</v>
      </c>
      <c r="E2316" s="5">
        <f t="shared" si="261"/>
        <v>43668.97265625</v>
      </c>
      <c r="F2316" s="5">
        <v>2.0265695638954599</v>
      </c>
      <c r="G2316">
        <f t="shared" si="262"/>
        <v>873.37945312500005</v>
      </c>
      <c r="H2316">
        <f t="shared" si="263"/>
        <v>0.20265695638954601</v>
      </c>
      <c r="I2316">
        <f t="shared" si="264"/>
        <v>0.18653323954419568</v>
      </c>
      <c r="K2316" s="5">
        <f t="shared" si="265"/>
        <v>1050.3758748684786</v>
      </c>
      <c r="L2316" s="5">
        <f t="shared" si="266"/>
        <v>0.18453323954419568</v>
      </c>
    </row>
    <row r="2317" spans="2:12">
      <c r="B2317">
        <v>22.552734375</v>
      </c>
      <c r="C2317">
        <v>3.7620470393449099</v>
      </c>
      <c r="D2317">
        <v>43.646597656250002</v>
      </c>
      <c r="E2317" s="5">
        <f t="shared" si="261"/>
        <v>43646.59765625</v>
      </c>
      <c r="F2317" s="5">
        <v>2.02841637656093</v>
      </c>
      <c r="G2317">
        <f t="shared" si="262"/>
        <v>872.93195312499995</v>
      </c>
      <c r="H2317">
        <f t="shared" si="263"/>
        <v>0.202841637656093</v>
      </c>
      <c r="I2317">
        <f t="shared" si="264"/>
        <v>0.18668678880617998</v>
      </c>
      <c r="K2317" s="5">
        <f t="shared" si="265"/>
        <v>1049.9989000592068</v>
      </c>
      <c r="L2317" s="5">
        <f t="shared" si="266"/>
        <v>0.18468678880617997</v>
      </c>
    </row>
    <row r="2318" spans="2:12">
      <c r="B2318">
        <v>22.5625</v>
      </c>
      <c r="C2318">
        <v>3.7633120082318801</v>
      </c>
      <c r="D2318">
        <v>43.637351562500001</v>
      </c>
      <c r="E2318" s="5">
        <f t="shared" si="261"/>
        <v>43637.3515625</v>
      </c>
      <c r="F2318" s="5">
        <v>2.0301570184528801</v>
      </c>
      <c r="G2318">
        <f t="shared" si="262"/>
        <v>872.74703124999996</v>
      </c>
      <c r="H2318">
        <f t="shared" si="263"/>
        <v>0.203015701845288</v>
      </c>
      <c r="I2318">
        <f t="shared" si="264"/>
        <v>0.18683148914783426</v>
      </c>
      <c r="K2318" s="5">
        <f t="shared" si="265"/>
        <v>1049.9283823326102</v>
      </c>
      <c r="L2318" s="5">
        <f t="shared" si="266"/>
        <v>0.18483148914783426</v>
      </c>
    </row>
    <row r="2319" spans="2:12">
      <c r="B2319">
        <v>22.572265625</v>
      </c>
      <c r="C2319">
        <v>3.7659725639969102</v>
      </c>
      <c r="D2319">
        <v>43.644468750000001</v>
      </c>
      <c r="E2319" s="5">
        <f t="shared" si="261"/>
        <v>43644.46875</v>
      </c>
      <c r="F2319" s="5">
        <v>2.03193933703005</v>
      </c>
      <c r="G2319">
        <f t="shared" si="262"/>
        <v>872.88937499999997</v>
      </c>
      <c r="H2319">
        <f t="shared" si="263"/>
        <v>0.20319393370300501</v>
      </c>
      <c r="I2319">
        <f t="shared" si="264"/>
        <v>0.1869796323980398</v>
      </c>
      <c r="K2319" s="5">
        <f t="shared" si="265"/>
        <v>1050.2552007938075</v>
      </c>
      <c r="L2319" s="5">
        <f t="shared" si="266"/>
        <v>0.1849796323980398</v>
      </c>
    </row>
    <row r="2320" spans="2:12">
      <c r="B2320">
        <v>22.58203125</v>
      </c>
      <c r="C2320">
        <v>3.7678412627428801</v>
      </c>
      <c r="D2320">
        <v>43.631359375000002</v>
      </c>
      <c r="E2320" s="5">
        <f t="shared" si="261"/>
        <v>43631.359375</v>
      </c>
      <c r="F2320" s="5">
        <v>2.0337128080427598</v>
      </c>
      <c r="G2320">
        <f t="shared" si="262"/>
        <v>872.62718749999999</v>
      </c>
      <c r="H2320">
        <f t="shared" si="263"/>
        <v>0.20337128080427597</v>
      </c>
      <c r="I2320">
        <f t="shared" si="264"/>
        <v>0.18712701847386512</v>
      </c>
      <c r="K2320" s="5">
        <f t="shared" si="265"/>
        <v>1050.094496286508</v>
      </c>
      <c r="L2320" s="5">
        <f t="shared" si="266"/>
        <v>0.18512701847386512</v>
      </c>
    </row>
    <row r="2321" spans="2:12">
      <c r="B2321">
        <v>22.591796875</v>
      </c>
      <c r="C2321">
        <v>3.76897514797747</v>
      </c>
      <c r="D2321">
        <v>43.629343749999997</v>
      </c>
      <c r="E2321" s="5">
        <f t="shared" si="261"/>
        <v>43629.34375</v>
      </c>
      <c r="F2321" s="5">
        <v>2.0354494918137802</v>
      </c>
      <c r="G2321">
        <f t="shared" si="262"/>
        <v>872.58687499999996</v>
      </c>
      <c r="H2321">
        <f t="shared" si="263"/>
        <v>0.20354494918137803</v>
      </c>
      <c r="I2321">
        <f t="shared" si="264"/>
        <v>0.18727132626093299</v>
      </c>
      <c r="K2321" s="5">
        <f t="shared" si="265"/>
        <v>1050.1975261282125</v>
      </c>
      <c r="L2321" s="5">
        <f t="shared" si="266"/>
        <v>0.18527132626093298</v>
      </c>
    </row>
    <row r="2322" spans="2:12">
      <c r="B2322">
        <v>22.6015625</v>
      </c>
      <c r="C2322">
        <v>3.7696561776101598</v>
      </c>
      <c r="D2322">
        <v>43.597484375000001</v>
      </c>
      <c r="E2322" s="5">
        <f t="shared" si="261"/>
        <v>43597.484375</v>
      </c>
      <c r="F2322" s="5">
        <v>2.0371782593429102</v>
      </c>
      <c r="G2322">
        <f t="shared" si="262"/>
        <v>871.94968749999998</v>
      </c>
      <c r="H2322">
        <f t="shared" si="263"/>
        <v>0.20371782593429102</v>
      </c>
      <c r="I2322">
        <f t="shared" si="264"/>
        <v>0.18741495557718152</v>
      </c>
      <c r="K2322" s="5">
        <f t="shared" si="265"/>
        <v>1049.5813821615845</v>
      </c>
      <c r="L2322" s="5">
        <f t="shared" si="266"/>
        <v>0.18541495557718152</v>
      </c>
    </row>
    <row r="2323" spans="2:12">
      <c r="B2323">
        <v>22.611328125</v>
      </c>
      <c r="C2323">
        <v>3.7718825042247799</v>
      </c>
      <c r="D2323">
        <v>43.590101562500003</v>
      </c>
      <c r="E2323" s="5">
        <f t="shared" si="261"/>
        <v>43590.1015625</v>
      </c>
      <c r="F2323" s="5">
        <v>2.03898246400058</v>
      </c>
      <c r="G2323">
        <f t="shared" si="262"/>
        <v>871.80203125000003</v>
      </c>
      <c r="H2323">
        <f t="shared" si="263"/>
        <v>0.20389824640005799</v>
      </c>
      <c r="I2323">
        <f t="shared" si="264"/>
        <v>0.18756483035844573</v>
      </c>
      <c r="K2323" s="5">
        <f t="shared" si="265"/>
        <v>1049.5609366298836</v>
      </c>
      <c r="L2323" s="5">
        <f t="shared" si="266"/>
        <v>0.18556483035844573</v>
      </c>
    </row>
    <row r="2324" spans="2:12">
      <c r="B2324">
        <v>22.62109375</v>
      </c>
      <c r="C2324">
        <v>3.77282639965415</v>
      </c>
      <c r="D2324">
        <v>43.581324218749998</v>
      </c>
      <c r="E2324" s="5">
        <f t="shared" si="261"/>
        <v>43581.32421875</v>
      </c>
      <c r="F2324" s="5">
        <v>2.04075430519879</v>
      </c>
      <c r="G2324">
        <f t="shared" si="262"/>
        <v>871.62648437500002</v>
      </c>
      <c r="H2324">
        <f t="shared" si="263"/>
        <v>0.204075430519879</v>
      </c>
      <c r="I2324">
        <f t="shared" si="264"/>
        <v>0.18771199485765858</v>
      </c>
      <c r="K2324" s="5">
        <f t="shared" si="265"/>
        <v>1049.5040344263568</v>
      </c>
      <c r="L2324" s="5">
        <f t="shared" si="266"/>
        <v>0.18571199485765857</v>
      </c>
    </row>
    <row r="2325" spans="2:12">
      <c r="B2325">
        <v>22.630859375</v>
      </c>
      <c r="C2325">
        <v>3.7747889291495098</v>
      </c>
      <c r="D2325">
        <v>43.576718749999998</v>
      </c>
      <c r="E2325" s="5">
        <f t="shared" si="261"/>
        <v>43576.71875</v>
      </c>
      <c r="F2325" s="5">
        <v>2.0426125265657902</v>
      </c>
      <c r="G2325">
        <f t="shared" si="262"/>
        <v>871.53437499999995</v>
      </c>
      <c r="H2325">
        <f t="shared" si="263"/>
        <v>0.20426125265657902</v>
      </c>
      <c r="I2325">
        <f t="shared" si="264"/>
        <v>0.18786631060459441</v>
      </c>
      <c r="K2325" s="5">
        <f t="shared" si="265"/>
        <v>1049.5550781707686</v>
      </c>
      <c r="L2325" s="5">
        <f t="shared" si="266"/>
        <v>0.18586631060459441</v>
      </c>
    </row>
    <row r="2326" spans="2:12">
      <c r="B2326">
        <v>22.640625</v>
      </c>
      <c r="C2326">
        <v>3.77736822701991</v>
      </c>
      <c r="D2326">
        <v>43.590359374999998</v>
      </c>
      <c r="E2326" s="5">
        <f t="shared" si="261"/>
        <v>43590.359375</v>
      </c>
      <c r="F2326" s="5">
        <v>2.0445289555937101</v>
      </c>
      <c r="G2326">
        <f t="shared" si="262"/>
        <v>871.80718750000005</v>
      </c>
      <c r="H2326">
        <f t="shared" si="263"/>
        <v>0.20445289555937102</v>
      </c>
      <c r="I2326">
        <f t="shared" si="264"/>
        <v>0.18802543525899831</v>
      </c>
      <c r="K2326" s="5">
        <f t="shared" si="265"/>
        <v>1050.0506913538466</v>
      </c>
      <c r="L2326" s="5">
        <f t="shared" si="266"/>
        <v>0.18602543525899831</v>
      </c>
    </row>
    <row r="2327" spans="2:12">
      <c r="B2327">
        <v>22.650390625</v>
      </c>
      <c r="C2327">
        <v>3.7780257407575801</v>
      </c>
      <c r="D2327">
        <v>43.586332031250002</v>
      </c>
      <c r="E2327" s="5">
        <f t="shared" si="261"/>
        <v>43586.33203125</v>
      </c>
      <c r="F2327" s="5">
        <v>2.0463089458644399</v>
      </c>
      <c r="G2327">
        <f t="shared" si="262"/>
        <v>871.72664062499996</v>
      </c>
      <c r="H2327">
        <f t="shared" si="263"/>
        <v>0.20463089458644398</v>
      </c>
      <c r="I2327">
        <f t="shared" si="264"/>
        <v>0.18817320847313471</v>
      </c>
      <c r="K2327" s="5">
        <f t="shared" si="265"/>
        <v>1050.1088429309291</v>
      </c>
      <c r="L2327" s="5">
        <f t="shared" si="266"/>
        <v>0.1861732084731347</v>
      </c>
    </row>
    <row r="2328" spans="2:12">
      <c r="B2328">
        <v>22.66015625</v>
      </c>
      <c r="C2328">
        <v>3.7807039916515399</v>
      </c>
      <c r="D2328">
        <v>43.564300781249997</v>
      </c>
      <c r="E2328" s="5">
        <f t="shared" si="261"/>
        <v>43564.30078125</v>
      </c>
      <c r="F2328" s="5">
        <v>2.0481247920543</v>
      </c>
      <c r="G2328">
        <f t="shared" si="262"/>
        <v>871.286015625</v>
      </c>
      <c r="H2328">
        <f t="shared" si="263"/>
        <v>0.20481247920543</v>
      </c>
      <c r="I2328">
        <f t="shared" si="264"/>
        <v>0.18832393591608274</v>
      </c>
      <c r="K2328" s="5">
        <f t="shared" si="265"/>
        <v>1049.7362645821772</v>
      </c>
      <c r="L2328" s="5">
        <f t="shared" si="266"/>
        <v>0.18632393591608273</v>
      </c>
    </row>
    <row r="2329" spans="2:12">
      <c r="B2329">
        <v>22.669921875</v>
      </c>
      <c r="C2329">
        <v>3.7829913198947902</v>
      </c>
      <c r="D2329">
        <v>43.559902343749997</v>
      </c>
      <c r="E2329" s="5">
        <f t="shared" si="261"/>
        <v>43559.90234375</v>
      </c>
      <c r="F2329" s="5">
        <v>2.04994832165539</v>
      </c>
      <c r="G2329">
        <f t="shared" si="262"/>
        <v>871.19804687500005</v>
      </c>
      <c r="H2329">
        <f t="shared" si="263"/>
        <v>0.20499483216553899</v>
      </c>
      <c r="I2329">
        <f t="shared" si="264"/>
        <v>0.18847527827411831</v>
      </c>
      <c r="K2329" s="5">
        <f t="shared" si="265"/>
        <v>1049.7891442770861</v>
      </c>
      <c r="L2329" s="5">
        <f t="shared" si="266"/>
        <v>0.18647527827411831</v>
      </c>
    </row>
    <row r="2330" spans="2:12">
      <c r="B2330">
        <v>22.6796875</v>
      </c>
      <c r="C2330">
        <v>3.78398760221899</v>
      </c>
      <c r="D2330">
        <v>43.523011718749999</v>
      </c>
      <c r="E2330" s="5">
        <f t="shared" si="261"/>
        <v>43523.01171875</v>
      </c>
      <c r="F2330" s="5">
        <v>2.0517136435955798</v>
      </c>
      <c r="G2330">
        <f t="shared" si="262"/>
        <v>870.46023437500003</v>
      </c>
      <c r="H2330">
        <f t="shared" si="263"/>
        <v>0.20517136435955799</v>
      </c>
      <c r="I2330">
        <f t="shared" si="264"/>
        <v>0.1886217679183505</v>
      </c>
      <c r="K2330" s="5">
        <f t="shared" si="265"/>
        <v>1049.0537482824595</v>
      </c>
      <c r="L2330" s="5">
        <f t="shared" si="266"/>
        <v>0.1866217679183505</v>
      </c>
    </row>
    <row r="2331" spans="2:12">
      <c r="B2331">
        <v>22.689453125</v>
      </c>
      <c r="C2331">
        <v>3.7846006453037302</v>
      </c>
      <c r="D2331">
        <v>43.483105468749997</v>
      </c>
      <c r="E2331" s="5">
        <f t="shared" si="261"/>
        <v>43483.10546875</v>
      </c>
      <c r="F2331" s="5">
        <v>2.05354066565633</v>
      </c>
      <c r="G2331">
        <f t="shared" si="262"/>
        <v>869.662109375</v>
      </c>
      <c r="H2331">
        <f t="shared" si="263"/>
        <v>0.20535406656563299</v>
      </c>
      <c r="I2331">
        <f t="shared" si="264"/>
        <v>0.18877335495749217</v>
      </c>
      <c r="K2331" s="5">
        <f t="shared" si="265"/>
        <v>1048.2507600732026</v>
      </c>
      <c r="L2331" s="5">
        <f t="shared" si="266"/>
        <v>0.18677335495749217</v>
      </c>
    </row>
    <row r="2332" spans="2:12">
      <c r="B2332">
        <v>22.69921875</v>
      </c>
      <c r="C2332">
        <v>3.7865422200411598</v>
      </c>
      <c r="D2332">
        <v>43.506957031250003</v>
      </c>
      <c r="E2332" s="5">
        <f t="shared" si="261"/>
        <v>43506.95703125</v>
      </c>
      <c r="F2332" s="5">
        <v>2.0553770009428298</v>
      </c>
      <c r="G2332">
        <f t="shared" si="262"/>
        <v>870.13914062499998</v>
      </c>
      <c r="H2332">
        <f t="shared" si="263"/>
        <v>0.20553770009428299</v>
      </c>
      <c r="I2332">
        <f t="shared" si="264"/>
        <v>0.18892569155886482</v>
      </c>
      <c r="K2332" s="5">
        <f t="shared" si="265"/>
        <v>1048.9855383510785</v>
      </c>
      <c r="L2332" s="5">
        <f t="shared" si="266"/>
        <v>0.18692569155886482</v>
      </c>
    </row>
    <row r="2333" spans="2:12">
      <c r="B2333">
        <v>22.708984375</v>
      </c>
      <c r="C2333">
        <v>3.7891969550400999</v>
      </c>
      <c r="D2333">
        <v>43.515796874999999</v>
      </c>
      <c r="E2333" s="5">
        <f t="shared" si="261"/>
        <v>43515.796875</v>
      </c>
      <c r="F2333" s="5">
        <v>2.0572545472532502</v>
      </c>
      <c r="G2333">
        <f t="shared" si="262"/>
        <v>870.31593750000002</v>
      </c>
      <c r="H2333">
        <f t="shared" si="263"/>
        <v>0.20572545472532502</v>
      </c>
      <c r="I2333">
        <f t="shared" si="264"/>
        <v>0.18908142290742894</v>
      </c>
      <c r="K2333" s="5">
        <f t="shared" si="265"/>
        <v>1049.3620794968851</v>
      </c>
      <c r="L2333" s="5">
        <f t="shared" si="266"/>
        <v>0.18708142290742893</v>
      </c>
    </row>
    <row r="2334" spans="2:12">
      <c r="B2334">
        <v>22.71875</v>
      </c>
      <c r="C2334">
        <v>3.7895932327956001</v>
      </c>
      <c r="D2334">
        <v>43.511671874999998</v>
      </c>
      <c r="E2334" s="5">
        <f t="shared" si="261"/>
        <v>43511.671875</v>
      </c>
      <c r="F2334" s="5">
        <v>2.0589879713952501</v>
      </c>
      <c r="G2334">
        <f t="shared" si="262"/>
        <v>870.23343750000004</v>
      </c>
      <c r="H2334">
        <f t="shared" si="263"/>
        <v>0.20589879713952502</v>
      </c>
      <c r="I2334">
        <f t="shared" si="264"/>
        <v>0.18922517864745711</v>
      </c>
      <c r="K2334" s="5">
        <f t="shared" si="265"/>
        <v>1049.4134555118439</v>
      </c>
      <c r="L2334" s="5">
        <f t="shared" si="266"/>
        <v>0.18722517864745711</v>
      </c>
    </row>
    <row r="2335" spans="2:12">
      <c r="B2335">
        <v>22.728515625</v>
      </c>
      <c r="C2335">
        <v>3.7911401595920302</v>
      </c>
      <c r="D2335">
        <v>43.498078124999999</v>
      </c>
      <c r="E2335" s="5">
        <f t="shared" si="261"/>
        <v>43498.078125</v>
      </c>
      <c r="F2335" s="5">
        <v>2.06082640215755</v>
      </c>
      <c r="G2335">
        <f t="shared" si="262"/>
        <v>869.96156250000001</v>
      </c>
      <c r="H2335">
        <f t="shared" si="263"/>
        <v>0.20608264021575501</v>
      </c>
      <c r="I2335">
        <f t="shared" si="264"/>
        <v>0.189377620182652</v>
      </c>
      <c r="K2335" s="5">
        <f t="shared" si="265"/>
        <v>1049.2455381862235</v>
      </c>
      <c r="L2335" s="5">
        <f t="shared" si="266"/>
        <v>0.187377620182652</v>
      </c>
    </row>
    <row r="2336" spans="2:12">
      <c r="B2336">
        <v>22.73828125</v>
      </c>
      <c r="C2336">
        <v>3.7911660037934798</v>
      </c>
      <c r="D2336">
        <v>43.474542968750001</v>
      </c>
      <c r="E2336" s="5">
        <f t="shared" si="261"/>
        <v>43474.54296875</v>
      </c>
      <c r="F2336" s="5">
        <v>2.0627046469599</v>
      </c>
      <c r="G2336">
        <f t="shared" si="262"/>
        <v>869.49085937500001</v>
      </c>
      <c r="H2336">
        <f t="shared" si="263"/>
        <v>0.20627046469599</v>
      </c>
      <c r="I2336">
        <f t="shared" si="264"/>
        <v>0.18953333907822517</v>
      </c>
      <c r="K2336" s="5">
        <f t="shared" si="265"/>
        <v>1048.8411429871971</v>
      </c>
      <c r="L2336" s="5">
        <f t="shared" si="266"/>
        <v>0.18753333907822517</v>
      </c>
    </row>
    <row r="2337" spans="2:12">
      <c r="B2337">
        <v>22.748046875</v>
      </c>
      <c r="C2337">
        <v>3.7971518468111798</v>
      </c>
      <c r="D2337">
        <v>43.471222656249999</v>
      </c>
      <c r="E2337" s="5">
        <f t="shared" si="261"/>
        <v>43471.22265625</v>
      </c>
      <c r="F2337" s="5">
        <v>2.06458405591547</v>
      </c>
      <c r="G2337">
        <f t="shared" si="262"/>
        <v>869.42445312500001</v>
      </c>
      <c r="H2337">
        <f t="shared" si="263"/>
        <v>0.20645840559154699</v>
      </c>
      <c r="I2337">
        <f t="shared" si="264"/>
        <v>0.18968913022264389</v>
      </c>
      <c r="K2337" s="5">
        <f t="shared" si="265"/>
        <v>1048.9244394994903</v>
      </c>
      <c r="L2337" s="5">
        <f t="shared" si="266"/>
        <v>0.18768913022264389</v>
      </c>
    </row>
    <row r="2338" spans="2:12">
      <c r="B2338">
        <v>22.7578125</v>
      </c>
      <c r="C2338">
        <v>3.7990226410329302</v>
      </c>
      <c r="D2338">
        <v>43.450675781249998</v>
      </c>
      <c r="E2338" s="5">
        <f t="shared" si="261"/>
        <v>43450.67578125</v>
      </c>
      <c r="F2338" s="5">
        <v>2.0663652103394301</v>
      </c>
      <c r="G2338">
        <f t="shared" si="262"/>
        <v>869.01351562499997</v>
      </c>
      <c r="H2338">
        <f t="shared" si="263"/>
        <v>0.206636521033943</v>
      </c>
      <c r="I2338">
        <f t="shared" si="264"/>
        <v>0.18983675428894484</v>
      </c>
      <c r="K2338" s="5">
        <f t="shared" si="265"/>
        <v>1048.5834452252259</v>
      </c>
      <c r="L2338" s="5">
        <f t="shared" si="266"/>
        <v>0.18783675428894483</v>
      </c>
    </row>
    <row r="2339" spans="2:12">
      <c r="B2339">
        <v>22.767578125</v>
      </c>
      <c r="C2339">
        <v>3.7976966705173298</v>
      </c>
      <c r="D2339">
        <v>43.432433593749998</v>
      </c>
      <c r="E2339" s="5">
        <f t="shared" si="261"/>
        <v>43432.43359375</v>
      </c>
      <c r="F2339" s="5">
        <v>2.06821947358549</v>
      </c>
      <c r="G2339">
        <f t="shared" si="262"/>
        <v>868.64867187499999</v>
      </c>
      <c r="H2339">
        <f t="shared" si="263"/>
        <v>0.206821947358549</v>
      </c>
      <c r="I2339">
        <f t="shared" si="264"/>
        <v>0.18999041454653737</v>
      </c>
      <c r="K2339" s="5">
        <f t="shared" si="265"/>
        <v>1048.3042817626049</v>
      </c>
      <c r="L2339" s="5">
        <f t="shared" si="266"/>
        <v>0.18799041454653737</v>
      </c>
    </row>
    <row r="2340" spans="2:12">
      <c r="B2340">
        <v>22.77734375</v>
      </c>
      <c r="C2340">
        <v>3.8002394139766702</v>
      </c>
      <c r="D2340">
        <v>43.434890625000001</v>
      </c>
      <c r="E2340" s="5">
        <f t="shared" si="261"/>
        <v>43434.890625</v>
      </c>
      <c r="F2340" s="5">
        <v>2.07000318914652</v>
      </c>
      <c r="G2340">
        <f t="shared" si="262"/>
        <v>868.69781250000005</v>
      </c>
      <c r="H2340">
        <f t="shared" si="263"/>
        <v>0.20700031891465201</v>
      </c>
      <c r="I2340">
        <f t="shared" si="264"/>
        <v>0.19013820633628092</v>
      </c>
      <c r="K2340" s="5">
        <f t="shared" si="265"/>
        <v>1048.5185367279607</v>
      </c>
      <c r="L2340" s="5">
        <f t="shared" si="266"/>
        <v>0.18813820633628092</v>
      </c>
    </row>
    <row r="2341" spans="2:12">
      <c r="B2341">
        <v>22.787109375</v>
      </c>
      <c r="C2341">
        <v>3.8012994918972298</v>
      </c>
      <c r="D2341">
        <v>43.401062500000002</v>
      </c>
      <c r="E2341" s="5">
        <f t="shared" si="261"/>
        <v>43401.0625</v>
      </c>
      <c r="F2341" s="5">
        <v>2.0717759616673002</v>
      </c>
      <c r="G2341">
        <f t="shared" si="262"/>
        <v>868.02125000000001</v>
      </c>
      <c r="H2341">
        <f t="shared" si="263"/>
        <v>0.20717759616673001</v>
      </c>
      <c r="I2341">
        <f t="shared" si="264"/>
        <v>0.19028506978929241</v>
      </c>
      <c r="K2341" s="5">
        <f t="shared" si="265"/>
        <v>1047.8558059966401</v>
      </c>
      <c r="L2341" s="5">
        <f t="shared" si="266"/>
        <v>0.18828506978929241</v>
      </c>
    </row>
    <row r="2342" spans="2:12">
      <c r="B2342">
        <v>22.796875</v>
      </c>
      <c r="C2342">
        <v>3.80212883464992</v>
      </c>
      <c r="D2342">
        <v>43.371664062500003</v>
      </c>
      <c r="E2342" s="5">
        <f t="shared" si="261"/>
        <v>43371.6640625</v>
      </c>
      <c r="F2342" s="5">
        <v>2.0734372083097701</v>
      </c>
      <c r="G2342">
        <f t="shared" si="262"/>
        <v>867.43328125000005</v>
      </c>
      <c r="H2342">
        <f t="shared" si="263"/>
        <v>0.20734372083097702</v>
      </c>
      <c r="I2342">
        <f t="shared" si="264"/>
        <v>0.19042267442615329</v>
      </c>
      <c r="K2342" s="5">
        <f t="shared" si="265"/>
        <v>1047.2901253569985</v>
      </c>
      <c r="L2342" s="5">
        <f t="shared" si="266"/>
        <v>0.18842267442615329</v>
      </c>
    </row>
    <row r="2343" spans="2:12">
      <c r="B2343">
        <v>22.806640625</v>
      </c>
      <c r="C2343">
        <v>3.80399753339589</v>
      </c>
      <c r="D2343">
        <v>43.377742187499997</v>
      </c>
      <c r="E2343" s="5">
        <f t="shared" si="261"/>
        <v>43377.7421875</v>
      </c>
      <c r="F2343" s="5">
        <v>2.07517785020173</v>
      </c>
      <c r="G2343">
        <f t="shared" si="262"/>
        <v>867.55484375000003</v>
      </c>
      <c r="H2343">
        <f t="shared" si="263"/>
        <v>0.20751778502017298</v>
      </c>
      <c r="I2343">
        <f t="shared" si="264"/>
        <v>0.19056683523129742</v>
      </c>
      <c r="K2343" s="5">
        <f t="shared" si="265"/>
        <v>1047.5879033085223</v>
      </c>
      <c r="L2343" s="5">
        <f t="shared" si="266"/>
        <v>0.18856683523129741</v>
      </c>
    </row>
    <row r="2344" spans="2:12">
      <c r="B2344">
        <v>22.81640625</v>
      </c>
      <c r="C2344">
        <v>3.8056499324739002</v>
      </c>
      <c r="D2344">
        <v>43.357464843750002</v>
      </c>
      <c r="E2344" s="5">
        <f t="shared" si="261"/>
        <v>43357.46484375</v>
      </c>
      <c r="F2344" s="5">
        <v>2.0769045222550599</v>
      </c>
      <c r="G2344">
        <f t="shared" si="262"/>
        <v>867.149296875</v>
      </c>
      <c r="H2344">
        <f t="shared" si="263"/>
        <v>0.207690452225506</v>
      </c>
      <c r="I2344">
        <f t="shared" si="264"/>
        <v>0.19070981851776064</v>
      </c>
      <c r="K2344" s="5">
        <f t="shared" si="265"/>
        <v>1047.2479264899985</v>
      </c>
      <c r="L2344" s="5">
        <f t="shared" si="266"/>
        <v>0.18870981851776064</v>
      </c>
    </row>
    <row r="2345" spans="2:12">
      <c r="B2345">
        <v>22.826171875</v>
      </c>
      <c r="C2345">
        <v>3.8081898819655202</v>
      </c>
      <c r="D2345">
        <v>43.365535156249997</v>
      </c>
      <c r="E2345" s="5">
        <f t="shared" si="261"/>
        <v>43365.53515625</v>
      </c>
      <c r="F2345" s="5">
        <v>2.07877228967845</v>
      </c>
      <c r="G2345">
        <f t="shared" si="262"/>
        <v>867.31070312500003</v>
      </c>
      <c r="H2345">
        <f t="shared" si="263"/>
        <v>0.207877228967845</v>
      </c>
      <c r="I2345">
        <f t="shared" si="264"/>
        <v>0.19086446269864227</v>
      </c>
      <c r="K2345" s="5">
        <f t="shared" si="265"/>
        <v>1047.6048487447783</v>
      </c>
      <c r="L2345" s="5">
        <f t="shared" si="266"/>
        <v>0.18886446269864227</v>
      </c>
    </row>
    <row r="2346" spans="2:12">
      <c r="B2346">
        <v>22.8359375</v>
      </c>
      <c r="C2346">
        <v>3.8099773228168501</v>
      </c>
      <c r="D2346">
        <v>43.351417968749999</v>
      </c>
      <c r="E2346" s="5">
        <f t="shared" si="261"/>
        <v>43351.41796875</v>
      </c>
      <c r="F2346" s="5">
        <v>2.08053225651383</v>
      </c>
      <c r="G2346">
        <f t="shared" si="262"/>
        <v>867.02835937500004</v>
      </c>
      <c r="H2346">
        <f t="shared" si="263"/>
        <v>0.20805322565138301</v>
      </c>
      <c r="I2346">
        <f t="shared" si="264"/>
        <v>0.19101015951165506</v>
      </c>
      <c r="K2346" s="5">
        <f t="shared" si="265"/>
        <v>1047.4164062741952</v>
      </c>
      <c r="L2346" s="5">
        <f t="shared" si="266"/>
        <v>0.18901015951165506</v>
      </c>
    </row>
    <row r="2347" spans="2:12">
      <c r="B2347">
        <v>22.845703125</v>
      </c>
      <c r="C2347">
        <v>3.8113251794129601</v>
      </c>
      <c r="D2347">
        <v>43.345960937500003</v>
      </c>
      <c r="E2347" s="5">
        <f t="shared" si="261"/>
        <v>43345.9609375</v>
      </c>
      <c r="F2347" s="5">
        <v>2.0823145750909999</v>
      </c>
      <c r="G2347">
        <f t="shared" si="262"/>
        <v>866.91921875000003</v>
      </c>
      <c r="H2347">
        <f t="shared" si="263"/>
        <v>0.20823145750909999</v>
      </c>
      <c r="I2347">
        <f t="shared" si="264"/>
        <v>0.19115768505720226</v>
      </c>
      <c r="K2347" s="5">
        <f t="shared" si="265"/>
        <v>1047.4390712129627</v>
      </c>
      <c r="L2347" s="5">
        <f t="shared" si="266"/>
        <v>0.18915768505720226</v>
      </c>
    </row>
    <row r="2348" spans="2:12">
      <c r="B2348">
        <v>22.85546875</v>
      </c>
      <c r="C2348">
        <v>3.81326954811811</v>
      </c>
      <c r="D2348">
        <v>43.338914062500002</v>
      </c>
      <c r="E2348" s="5">
        <f t="shared" si="261"/>
        <v>43338.9140625</v>
      </c>
      <c r="F2348" s="5">
        <v>2.0840838551521301</v>
      </c>
      <c r="G2348">
        <f t="shared" si="262"/>
        <v>866.77828124999996</v>
      </c>
      <c r="H2348">
        <f t="shared" si="263"/>
        <v>0.20840838551521301</v>
      </c>
      <c r="I2348">
        <f t="shared" si="264"/>
        <v>0.19130410986016977</v>
      </c>
      <c r="K2348" s="5">
        <f t="shared" si="265"/>
        <v>1047.4221434449637</v>
      </c>
      <c r="L2348" s="5">
        <f t="shared" si="266"/>
        <v>0.18930410986016977</v>
      </c>
    </row>
    <row r="2349" spans="2:12">
      <c r="B2349">
        <v>22.865234375</v>
      </c>
      <c r="C2349">
        <v>3.8137026131153098</v>
      </c>
      <c r="D2349">
        <v>43.308781250000003</v>
      </c>
      <c r="E2349" s="5">
        <f t="shared" si="261"/>
        <v>43308.78125</v>
      </c>
      <c r="F2349" s="5">
        <v>2.0858359057456299</v>
      </c>
      <c r="G2349">
        <f t="shared" si="262"/>
        <v>866.17562499999997</v>
      </c>
      <c r="H2349">
        <f t="shared" si="263"/>
        <v>0.20858359057456299</v>
      </c>
      <c r="I2349">
        <f t="shared" si="264"/>
        <v>0.1914490876353466</v>
      </c>
      <c r="K2349" s="5">
        <f t="shared" si="265"/>
        <v>1046.8456469306661</v>
      </c>
      <c r="L2349" s="5">
        <f t="shared" si="266"/>
        <v>0.1894490876353466</v>
      </c>
    </row>
    <row r="2350" spans="2:12">
      <c r="B2350">
        <v>22.875</v>
      </c>
      <c r="C2350">
        <v>3.8154930807650098</v>
      </c>
      <c r="D2350">
        <v>43.312796874999997</v>
      </c>
      <c r="E2350" s="5">
        <f t="shared" si="261"/>
        <v>43312.796875</v>
      </c>
      <c r="F2350" s="5">
        <v>2.0876536145806299</v>
      </c>
      <c r="G2350">
        <f t="shared" si="262"/>
        <v>866.25593749999996</v>
      </c>
      <c r="H2350">
        <f t="shared" si="263"/>
        <v>0.20876536145806299</v>
      </c>
      <c r="I2350">
        <f t="shared" si="264"/>
        <v>0.19159947625316667</v>
      </c>
      <c r="K2350" s="5">
        <f t="shared" si="265"/>
        <v>1047.1001714073807</v>
      </c>
      <c r="L2350" s="5">
        <f t="shared" si="266"/>
        <v>0.18959947625316667</v>
      </c>
    </row>
    <row r="2351" spans="2:12">
      <c r="B2351">
        <v>22.884765625</v>
      </c>
      <c r="C2351">
        <v>3.81786446087062</v>
      </c>
      <c r="D2351">
        <v>43.292796875000001</v>
      </c>
      <c r="E2351" s="5">
        <f t="shared" si="261"/>
        <v>43292.796875</v>
      </c>
      <c r="F2351" s="5">
        <v>2.0894056651741302</v>
      </c>
      <c r="G2351">
        <f t="shared" si="262"/>
        <v>865.85593749999998</v>
      </c>
      <c r="H2351">
        <f t="shared" si="263"/>
        <v>0.20894056651741302</v>
      </c>
      <c r="I2351">
        <f t="shared" si="264"/>
        <v>0.19174441121620711</v>
      </c>
      <c r="K2351" s="5">
        <f t="shared" si="265"/>
        <v>1046.7683676037159</v>
      </c>
      <c r="L2351" s="5">
        <f t="shared" si="266"/>
        <v>0.18974441121620711</v>
      </c>
    </row>
    <row r="2352" spans="2:12">
      <c r="B2352">
        <v>22.89453125</v>
      </c>
      <c r="C2352">
        <v>3.82144516333938</v>
      </c>
      <c r="D2352">
        <v>43.287289062500001</v>
      </c>
      <c r="E2352" s="5">
        <f t="shared" si="261"/>
        <v>43287.2890625</v>
      </c>
      <c r="F2352" s="5">
        <v>2.09118658676744</v>
      </c>
      <c r="G2352">
        <f t="shared" si="262"/>
        <v>865.74578125000005</v>
      </c>
      <c r="H2352">
        <f t="shared" si="263"/>
        <v>0.20911865867674401</v>
      </c>
      <c r="I2352">
        <f t="shared" si="264"/>
        <v>0.19189171295124924</v>
      </c>
      <c r="K2352" s="5">
        <f t="shared" si="265"/>
        <v>1046.7893777800498</v>
      </c>
      <c r="L2352" s="5">
        <f t="shared" si="266"/>
        <v>0.18989171295124924</v>
      </c>
    </row>
    <row r="2353" spans="2:12">
      <c r="B2353">
        <v>22.904296875</v>
      </c>
      <c r="C2353">
        <v>3.8178318645805098</v>
      </c>
      <c r="D2353">
        <v>43.29038671875</v>
      </c>
      <c r="E2353" s="5">
        <f t="shared" si="261"/>
        <v>43290.38671875</v>
      </c>
      <c r="F2353" s="5">
        <v>2.09296168759465</v>
      </c>
      <c r="G2353">
        <f t="shared" si="262"/>
        <v>865.807734375</v>
      </c>
      <c r="H2353">
        <f t="shared" si="263"/>
        <v>0.209296168759465</v>
      </c>
      <c r="I2353">
        <f t="shared" si="264"/>
        <v>0.19203851165676991</v>
      </c>
      <c r="K2353" s="5">
        <f t="shared" si="265"/>
        <v>1047.0179760620001</v>
      </c>
      <c r="L2353" s="5">
        <f t="shared" si="266"/>
        <v>0.19003851165676991</v>
      </c>
    </row>
    <row r="2354" spans="2:12">
      <c r="B2354">
        <v>22.9140625</v>
      </c>
      <c r="C2354">
        <v>3.82149661891162</v>
      </c>
      <c r="D2354">
        <v>43.287398437500002</v>
      </c>
      <c r="E2354" s="5">
        <f t="shared" si="261"/>
        <v>43287.3984375</v>
      </c>
      <c r="F2354" s="5">
        <v>2.0948033779859498</v>
      </c>
      <c r="G2354">
        <f t="shared" si="262"/>
        <v>865.74796875000004</v>
      </c>
      <c r="H2354">
        <f t="shared" si="263"/>
        <v>0.20948033779859498</v>
      </c>
      <c r="I2354">
        <f t="shared" si="264"/>
        <v>0.19219079446502985</v>
      </c>
      <c r="K2354" s="5">
        <f t="shared" si="265"/>
        <v>1047.1051456921975</v>
      </c>
      <c r="L2354" s="5">
        <f t="shared" si="266"/>
        <v>0.19019079446502984</v>
      </c>
    </row>
    <row r="2355" spans="2:12">
      <c r="B2355">
        <v>22.923828125</v>
      </c>
      <c r="C2355">
        <v>3.82374064065516</v>
      </c>
      <c r="D2355">
        <v>43.263609375000001</v>
      </c>
      <c r="E2355" s="5">
        <f t="shared" si="261"/>
        <v>43263.609375</v>
      </c>
      <c r="F2355" s="5">
        <v>2.0964897703379402</v>
      </c>
      <c r="G2355">
        <f t="shared" si="262"/>
        <v>865.27218749999997</v>
      </c>
      <c r="H2355">
        <f t="shared" si="263"/>
        <v>0.20964897703379401</v>
      </c>
      <c r="I2355">
        <f t="shared" si="264"/>
        <v>0.19233021589606963</v>
      </c>
      <c r="K2355" s="5">
        <f t="shared" si="265"/>
        <v>1046.6756164651681</v>
      </c>
      <c r="L2355" s="5">
        <f t="shared" si="266"/>
        <v>0.19033021589606963</v>
      </c>
    </row>
    <row r="2356" spans="2:12">
      <c r="B2356">
        <v>22.93359375</v>
      </c>
      <c r="C2356">
        <v>3.8255618419498201</v>
      </c>
      <c r="D2356">
        <v>43.255640624999998</v>
      </c>
      <c r="E2356" s="5">
        <f t="shared" si="261"/>
        <v>43255.640625</v>
      </c>
      <c r="F2356" s="5">
        <v>2.0982811693102099</v>
      </c>
      <c r="G2356">
        <f t="shared" si="262"/>
        <v>865.11281250000002</v>
      </c>
      <c r="H2356">
        <f t="shared" si="263"/>
        <v>0.20982811693102099</v>
      </c>
      <c r="I2356">
        <f t="shared" si="264"/>
        <v>0.19247829739516814</v>
      </c>
      <c r="K2356" s="5">
        <f t="shared" si="265"/>
        <v>1046.6378048797744</v>
      </c>
      <c r="L2356" s="5">
        <f t="shared" si="266"/>
        <v>0.19047829739516814</v>
      </c>
    </row>
    <row r="2357" spans="2:12">
      <c r="B2357">
        <v>22.943359375</v>
      </c>
      <c r="C2357">
        <v>3.8274594116956</v>
      </c>
      <c r="D2357">
        <v>43.230695312500004</v>
      </c>
      <c r="E2357" s="5">
        <f t="shared" si="261"/>
        <v>43230.6953125</v>
      </c>
      <c r="F2357" s="5">
        <v>2.1000073757022601</v>
      </c>
      <c r="G2357">
        <f t="shared" si="262"/>
        <v>864.61390625000001</v>
      </c>
      <c r="H2357">
        <f t="shared" si="263"/>
        <v>0.21000073757022603</v>
      </c>
      <c r="I2357">
        <f t="shared" si="264"/>
        <v>0.19262096917063415</v>
      </c>
      <c r="K2357" s="5">
        <f t="shared" si="265"/>
        <v>1046.1834642759743</v>
      </c>
      <c r="L2357" s="5">
        <f t="shared" si="266"/>
        <v>0.19062096917063415</v>
      </c>
    </row>
    <row r="2358" spans="2:12">
      <c r="B2358">
        <v>22.953125</v>
      </c>
      <c r="C2358">
        <v>3.8291355594992602</v>
      </c>
      <c r="D2358">
        <v>43.234804687500002</v>
      </c>
      <c r="E2358" s="5">
        <f t="shared" si="261"/>
        <v>43234.8046875</v>
      </c>
      <c r="F2358" s="5">
        <v>2.10191169753671</v>
      </c>
      <c r="G2358">
        <f t="shared" si="262"/>
        <v>864.69609375000005</v>
      </c>
      <c r="H2358">
        <f t="shared" si="263"/>
        <v>0.210191169753671</v>
      </c>
      <c r="I2358">
        <f t="shared" si="264"/>
        <v>0.19277833866126148</v>
      </c>
      <c r="K2358" s="5">
        <f t="shared" si="265"/>
        <v>1046.4475771767425</v>
      </c>
      <c r="L2358" s="5">
        <f t="shared" si="266"/>
        <v>0.19077833866126148</v>
      </c>
    </row>
    <row r="2359" spans="2:12">
      <c r="B2359">
        <v>22.962890625</v>
      </c>
      <c r="C2359">
        <v>3.8313367404043701</v>
      </c>
      <c r="D2359">
        <v>43.243816406249998</v>
      </c>
      <c r="E2359" s="5">
        <f t="shared" si="261"/>
        <v>43243.81640625</v>
      </c>
      <c r="F2359" s="5">
        <v>2.1036807447671899</v>
      </c>
      <c r="G2359">
        <f t="shared" si="262"/>
        <v>864.87632812499999</v>
      </c>
      <c r="H2359">
        <f t="shared" si="263"/>
        <v>0.21036807447671899</v>
      </c>
      <c r="I2359">
        <f t="shared" si="264"/>
        <v>0.192924507133514</v>
      </c>
      <c r="K2359" s="5">
        <f t="shared" si="265"/>
        <v>1046.818695933151</v>
      </c>
      <c r="L2359" s="5">
        <f t="shared" si="266"/>
        <v>0.190924507133514</v>
      </c>
    </row>
    <row r="2360" spans="2:12">
      <c r="B2360">
        <v>22.97265625</v>
      </c>
      <c r="C2360">
        <v>3.83302266709507</v>
      </c>
      <c r="D2360">
        <v>43.22426171875</v>
      </c>
      <c r="E2360" s="5">
        <f t="shared" si="261"/>
        <v>43224.26171875</v>
      </c>
      <c r="F2360" s="5">
        <v>2.1054390817880599</v>
      </c>
      <c r="G2360">
        <f t="shared" si="262"/>
        <v>864.485234375</v>
      </c>
      <c r="H2360">
        <f t="shared" si="263"/>
        <v>0.210543908178806</v>
      </c>
      <c r="I2360">
        <f t="shared" si="264"/>
        <v>0.19306976950047003</v>
      </c>
      <c r="K2360" s="5">
        <f t="shared" si="265"/>
        <v>1046.4973341831837</v>
      </c>
      <c r="L2360" s="5">
        <f t="shared" si="266"/>
        <v>0.19106976950047003</v>
      </c>
    </row>
    <row r="2361" spans="2:12">
      <c r="B2361">
        <v>22.982421875</v>
      </c>
      <c r="C2361">
        <v>3.83407319895923</v>
      </c>
      <c r="D2361">
        <v>43.206117187499999</v>
      </c>
      <c r="E2361" s="5">
        <f t="shared" si="261"/>
        <v>43206.1171875</v>
      </c>
      <c r="F2361" s="5">
        <v>2.1071541123092201</v>
      </c>
      <c r="G2361">
        <f t="shared" si="262"/>
        <v>864.12234375000003</v>
      </c>
      <c r="H2361">
        <f t="shared" si="263"/>
        <v>0.21071541123092202</v>
      </c>
      <c r="I2361">
        <f t="shared" si="264"/>
        <v>0.19321143384102857</v>
      </c>
      <c r="K2361" s="5">
        <f t="shared" si="265"/>
        <v>1046.2062387671094</v>
      </c>
      <c r="L2361" s="5">
        <f t="shared" si="266"/>
        <v>0.19121143384102857</v>
      </c>
    </row>
    <row r="2362" spans="2:12">
      <c r="B2362">
        <v>22.9921875</v>
      </c>
      <c r="C2362">
        <v>3.8351952098309998</v>
      </c>
      <c r="D2362">
        <v>43.188886718749998</v>
      </c>
      <c r="E2362" s="5">
        <f t="shared" si="261"/>
        <v>43188.88671875</v>
      </c>
      <c r="F2362" s="5">
        <v>2.10897834040225</v>
      </c>
      <c r="G2362">
        <f t="shared" si="262"/>
        <v>863.77773437500002</v>
      </c>
      <c r="H2362">
        <f t="shared" si="263"/>
        <v>0.210897834040225</v>
      </c>
      <c r="I2362">
        <f t="shared" si="264"/>
        <v>0.19336209605763507</v>
      </c>
      <c r="K2362" s="5">
        <f t="shared" si="265"/>
        <v>1045.9465876468603</v>
      </c>
      <c r="L2362" s="5">
        <f t="shared" si="266"/>
        <v>0.19136209605763507</v>
      </c>
    </row>
    <row r="2363" spans="2:12">
      <c r="B2363">
        <v>23.001953125</v>
      </c>
      <c r="C2363">
        <v>3.8366178050637201</v>
      </c>
      <c r="D2363">
        <v>43.183531250000001</v>
      </c>
      <c r="E2363" s="5">
        <f t="shared" si="261"/>
        <v>43183.53125</v>
      </c>
      <c r="F2363" s="5">
        <v>2.1108554210513799</v>
      </c>
      <c r="G2363">
        <f t="shared" si="262"/>
        <v>863.67062499999997</v>
      </c>
      <c r="H2363">
        <f t="shared" si="263"/>
        <v>0.211085542105138</v>
      </c>
      <c r="I2363">
        <f t="shared" si="264"/>
        <v>0.19351709965273625</v>
      </c>
      <c r="K2363" s="5">
        <f t="shared" si="265"/>
        <v>1045.9790070784084</v>
      </c>
      <c r="L2363" s="5">
        <f t="shared" si="266"/>
        <v>0.19151709965273625</v>
      </c>
    </row>
    <row r="2364" spans="2:12">
      <c r="B2364">
        <v>23.01171875</v>
      </c>
      <c r="C2364">
        <v>3.8390546105802099</v>
      </c>
      <c r="D2364">
        <v>43.178144531249998</v>
      </c>
      <c r="E2364" s="5">
        <f t="shared" si="261"/>
        <v>43178.14453125</v>
      </c>
      <c r="F2364" s="5">
        <v>2.1126815117895599</v>
      </c>
      <c r="G2364">
        <f t="shared" si="262"/>
        <v>863.56289062500002</v>
      </c>
      <c r="H2364">
        <f t="shared" si="263"/>
        <v>0.21126815117895598</v>
      </c>
      <c r="I2364">
        <f t="shared" si="264"/>
        <v>0.19366786960401972</v>
      </c>
      <c r="K2364" s="5">
        <f t="shared" si="265"/>
        <v>1046.0062259540989</v>
      </c>
      <c r="L2364" s="5">
        <f t="shared" si="266"/>
        <v>0.19166786960401971</v>
      </c>
    </row>
    <row r="2365" spans="2:12">
      <c r="B2365">
        <v>23.021484375</v>
      </c>
      <c r="C2365">
        <v>3.84070421569049</v>
      </c>
      <c r="D2365">
        <v>43.15600390625</v>
      </c>
      <c r="E2365" s="5">
        <f t="shared" si="261"/>
        <v>43156.00390625</v>
      </c>
      <c r="F2365" s="5">
        <v>2.11445963941514</v>
      </c>
      <c r="G2365">
        <f t="shared" si="262"/>
        <v>863.12007812499996</v>
      </c>
      <c r="H2365">
        <f t="shared" si="263"/>
        <v>0.21144596394151399</v>
      </c>
      <c r="I2365">
        <f t="shared" si="264"/>
        <v>0.19381465767263048</v>
      </c>
      <c r="K2365" s="5">
        <f t="shared" si="265"/>
        <v>1045.6233350414154</v>
      </c>
      <c r="L2365" s="5">
        <f t="shared" si="266"/>
        <v>0.19181465767263048</v>
      </c>
    </row>
    <row r="2366" spans="2:12">
      <c r="B2366">
        <v>23.03125</v>
      </c>
      <c r="C2366">
        <v>3.84267559275031</v>
      </c>
      <c r="D2366">
        <v>43.161769531250002</v>
      </c>
      <c r="E2366" s="5">
        <f t="shared" si="261"/>
        <v>43161.76953125</v>
      </c>
      <c r="F2366" s="5">
        <v>2.1163090132176898</v>
      </c>
      <c r="G2366">
        <f t="shared" si="262"/>
        <v>863.23539062500004</v>
      </c>
      <c r="H2366">
        <f t="shared" si="263"/>
        <v>0.21163090132176898</v>
      </c>
      <c r="I2366">
        <f t="shared" si="264"/>
        <v>0.19396730440312859</v>
      </c>
      <c r="K2366" s="5">
        <f t="shared" si="265"/>
        <v>1045.9226743958181</v>
      </c>
      <c r="L2366" s="5">
        <f t="shared" si="266"/>
        <v>0.19196730440312859</v>
      </c>
    </row>
    <row r="2367" spans="2:12">
      <c r="B2367">
        <v>23.041015625</v>
      </c>
      <c r="C2367">
        <v>3.84334614500403</v>
      </c>
      <c r="D2367">
        <v>43.151140624999996</v>
      </c>
      <c r="E2367" s="5">
        <f t="shared" si="261"/>
        <v>43151.140625</v>
      </c>
      <c r="F2367" s="5">
        <v>2.11806921288371</v>
      </c>
      <c r="G2367">
        <f t="shared" si="262"/>
        <v>863.02281249999999</v>
      </c>
      <c r="H2367">
        <f t="shared" si="263"/>
        <v>0.211806921288371</v>
      </c>
      <c r="I2367">
        <f t="shared" si="264"/>
        <v>0.19411256908891455</v>
      </c>
      <c r="K2367" s="5">
        <f t="shared" si="265"/>
        <v>1045.817017417256</v>
      </c>
      <c r="L2367" s="5">
        <f t="shared" si="266"/>
        <v>0.19211256908891455</v>
      </c>
    </row>
    <row r="2368" spans="2:12">
      <c r="B2368">
        <v>23.05078125</v>
      </c>
      <c r="C2368">
        <v>3.8449086714536</v>
      </c>
      <c r="D2368">
        <v>43.120437500000001</v>
      </c>
      <c r="E2368" s="5">
        <f t="shared" si="261"/>
        <v>43120.4375</v>
      </c>
      <c r="F2368" s="5">
        <v>2.1198091562837398</v>
      </c>
      <c r="G2368">
        <f t="shared" si="262"/>
        <v>862.40875000000005</v>
      </c>
      <c r="H2368">
        <f t="shared" si="263"/>
        <v>0.21198091562837398</v>
      </c>
      <c r="I2368">
        <f t="shared" si="264"/>
        <v>0.19425614134194077</v>
      </c>
      <c r="K2368" s="5">
        <f t="shared" si="265"/>
        <v>1045.2229464709217</v>
      </c>
      <c r="L2368" s="5">
        <f t="shared" si="266"/>
        <v>0.19225614134194077</v>
      </c>
    </row>
    <row r="2369" spans="2:12">
      <c r="B2369">
        <v>23.060546875</v>
      </c>
      <c r="C2369">
        <v>3.8466050755232599</v>
      </c>
      <c r="D2369">
        <v>43.100687499999999</v>
      </c>
      <c r="E2369" s="5">
        <f t="shared" si="261"/>
        <v>43100.6875</v>
      </c>
      <c r="F2369" s="5">
        <v>2.1215467713773299</v>
      </c>
      <c r="G2369">
        <f t="shared" si="262"/>
        <v>862.01374999999996</v>
      </c>
      <c r="H2369">
        <f t="shared" si="263"/>
        <v>0.21215467713773301</v>
      </c>
      <c r="I2369">
        <f t="shared" si="264"/>
        <v>0.19439950090497429</v>
      </c>
      <c r="K2369" s="5">
        <f t="shared" si="265"/>
        <v>1044.8939988195364</v>
      </c>
      <c r="L2369" s="5">
        <f t="shared" si="266"/>
        <v>0.19239950090497429</v>
      </c>
    </row>
    <row r="2370" spans="2:12">
      <c r="B2370">
        <v>23.0703125</v>
      </c>
      <c r="C2370">
        <v>3.84850357659161</v>
      </c>
      <c r="D2370">
        <v>43.093074218749997</v>
      </c>
      <c r="E2370" s="5">
        <f t="shared" si="261"/>
        <v>43093.07421875</v>
      </c>
      <c r="F2370" s="5">
        <v>2.1233106963336499</v>
      </c>
      <c r="G2370">
        <f t="shared" si="262"/>
        <v>861.86148437500003</v>
      </c>
      <c r="H2370">
        <f t="shared" si="263"/>
        <v>0.21233106963336498</v>
      </c>
      <c r="I2370">
        <f t="shared" si="264"/>
        <v>0.19454501010928957</v>
      </c>
      <c r="K2370" s="5">
        <f t="shared" si="265"/>
        <v>1044.8614552281433</v>
      </c>
      <c r="L2370" s="5">
        <f t="shared" si="266"/>
        <v>0.19254501010928957</v>
      </c>
    </row>
    <row r="2371" spans="2:12">
      <c r="B2371">
        <v>23.080078125</v>
      </c>
      <c r="C2371">
        <v>3.8500637747347399</v>
      </c>
      <c r="D2371">
        <v>43.085578124999998</v>
      </c>
      <c r="E2371" s="5">
        <f t="shared" si="261"/>
        <v>43085.578125</v>
      </c>
      <c r="F2371" s="5">
        <v>2.1251270081847902</v>
      </c>
      <c r="G2371">
        <f t="shared" si="262"/>
        <v>861.71156250000001</v>
      </c>
      <c r="H2371">
        <f t="shared" si="263"/>
        <v>0.21251270081847901</v>
      </c>
      <c r="I2371">
        <f t="shared" si="264"/>
        <v>0.1946948186764782</v>
      </c>
      <c r="K2371" s="5">
        <f t="shared" si="265"/>
        <v>1044.8362139733867</v>
      </c>
      <c r="L2371" s="5">
        <f t="shared" si="266"/>
        <v>0.1926948186764782</v>
      </c>
    </row>
    <row r="2372" spans="2:12">
      <c r="B2372">
        <v>23.08984375</v>
      </c>
      <c r="C2372">
        <v>3.8517720531672199</v>
      </c>
      <c r="D2372">
        <v>43.089226562500002</v>
      </c>
      <c r="E2372" s="5">
        <f t="shared" si="261"/>
        <v>43089.2265625</v>
      </c>
      <c r="F2372" s="5">
        <v>2.1268860436976</v>
      </c>
      <c r="G2372">
        <f t="shared" si="262"/>
        <v>861.78453124999999</v>
      </c>
      <c r="H2372">
        <f t="shared" si="263"/>
        <v>0.21268860436976</v>
      </c>
      <c r="I2372">
        <f t="shared" si="264"/>
        <v>0.19483988172853339</v>
      </c>
      <c r="K2372" s="5">
        <f t="shared" si="265"/>
        <v>1045.0762804690103</v>
      </c>
      <c r="L2372" s="5">
        <f t="shared" si="266"/>
        <v>0.19283988172853339</v>
      </c>
    </row>
    <row r="2373" spans="2:12">
      <c r="B2373">
        <v>23.099609375</v>
      </c>
      <c r="C2373">
        <v>3.85302747599781</v>
      </c>
      <c r="D2373">
        <v>43.077171874999998</v>
      </c>
      <c r="E2373" s="5">
        <f t="shared" si="261"/>
        <v>43077.171875</v>
      </c>
      <c r="F2373" s="5">
        <v>2.1286394912749498</v>
      </c>
      <c r="G2373">
        <f t="shared" si="262"/>
        <v>861.54343749999998</v>
      </c>
      <c r="H2373">
        <f t="shared" si="263"/>
        <v>0.21286394912749498</v>
      </c>
      <c r="I2373">
        <f t="shared" si="264"/>
        <v>0.19498446301809375</v>
      </c>
      <c r="K2373" s="5">
        <f t="shared" si="265"/>
        <v>1044.9349759511272</v>
      </c>
      <c r="L2373" s="5">
        <f t="shared" si="266"/>
        <v>0.19298446301809374</v>
      </c>
    </row>
    <row r="2374" spans="2:12">
      <c r="B2374">
        <v>23.109375</v>
      </c>
      <c r="C2374">
        <v>3.8548193406313702</v>
      </c>
      <c r="D2374">
        <v>43.071191406250001</v>
      </c>
      <c r="E2374" s="5">
        <f t="shared" si="261"/>
        <v>43071.19140625</v>
      </c>
      <c r="F2374" s="5">
        <v>2.1304686088114999</v>
      </c>
      <c r="G2374">
        <f t="shared" si="262"/>
        <v>861.423828125</v>
      </c>
      <c r="H2374">
        <f t="shared" si="263"/>
        <v>0.21304686088114999</v>
      </c>
      <c r="I2374">
        <f t="shared" si="264"/>
        <v>0.19513526143429841</v>
      </c>
      <c r="K2374" s="5">
        <f t="shared" si="265"/>
        <v>1044.9474705952546</v>
      </c>
      <c r="L2374" s="5">
        <f t="shared" si="266"/>
        <v>0.19313526143429841</v>
      </c>
    </row>
    <row r="2375" spans="2:12">
      <c r="B2375">
        <v>23.119140625</v>
      </c>
      <c r="C2375">
        <v>3.85670806281269</v>
      </c>
      <c r="D2375">
        <v>43.0631640625</v>
      </c>
      <c r="E2375" s="5">
        <f t="shared" si="261"/>
        <v>43063.1640625</v>
      </c>
      <c r="F2375" s="5">
        <v>2.1322837565094201</v>
      </c>
      <c r="G2375">
        <f t="shared" si="262"/>
        <v>861.26328124999998</v>
      </c>
      <c r="H2375">
        <f t="shared" si="263"/>
        <v>0.21322837565094202</v>
      </c>
      <c r="I2375">
        <f t="shared" si="264"/>
        <v>0.19528488565450039</v>
      </c>
      <c r="K2375" s="5">
        <f t="shared" si="265"/>
        <v>1044.9090517187381</v>
      </c>
      <c r="L2375" s="5">
        <f t="shared" si="266"/>
        <v>0.19328488565450039</v>
      </c>
    </row>
    <row r="2376" spans="2:12">
      <c r="B2376">
        <v>23.12890625</v>
      </c>
      <c r="C2376">
        <v>3.8583353161811802</v>
      </c>
      <c r="D2376">
        <v>43.043773437500001</v>
      </c>
      <c r="E2376" s="5">
        <f t="shared" si="261"/>
        <v>43043.7734375</v>
      </c>
      <c r="F2376" s="5">
        <v>2.1340129896998401</v>
      </c>
      <c r="G2376">
        <f t="shared" si="262"/>
        <v>860.87546874999998</v>
      </c>
      <c r="H2376">
        <f t="shared" si="263"/>
        <v>0.213401298969984</v>
      </c>
      <c r="I2376">
        <f t="shared" si="264"/>
        <v>0.19542740704632477</v>
      </c>
      <c r="K2376" s="5">
        <f t="shared" si="265"/>
        <v>1044.5874120326439</v>
      </c>
      <c r="L2376" s="5">
        <f t="shared" si="266"/>
        <v>0.19342740704632477</v>
      </c>
    </row>
    <row r="2377" spans="2:12">
      <c r="B2377">
        <v>23.138671875</v>
      </c>
      <c r="C2377">
        <v>3.86185711249709</v>
      </c>
      <c r="D2377">
        <v>43.028226562500002</v>
      </c>
      <c r="E2377" s="5">
        <f t="shared" ref="E2377:E2440" si="267" xml:space="preserve"> D2377*R$3</f>
        <v>43028.2265625</v>
      </c>
      <c r="F2377" s="5">
        <v>2.1358176600187999</v>
      </c>
      <c r="G2377">
        <f t="shared" ref="G2377:G2440" si="268" xml:space="preserve"> E2377/C$3</f>
        <v>860.56453124999996</v>
      </c>
      <c r="H2377">
        <f t="shared" ref="H2377:H2440" si="269" xml:space="preserve"> F2377/C$4</f>
        <v>0.21358176600188</v>
      </c>
      <c r="I2377">
        <f t="shared" ref="I2377:I2440" si="270">L2377+0.002</f>
        <v>0.1955761242210205</v>
      </c>
      <c r="K2377" s="5">
        <f t="shared" ref="K2377:K2440" si="271" xml:space="preserve"> G2377 * (1 + H2377)</f>
        <v>1044.365423592955</v>
      </c>
      <c r="L2377" s="5">
        <f t="shared" ref="L2377:L2440" si="272">LN(1 + H2377)</f>
        <v>0.1935761242210205</v>
      </c>
    </row>
    <row r="2378" spans="2:12">
      <c r="B2378">
        <v>23.1484375</v>
      </c>
      <c r="C2378">
        <v>3.8617691025137901</v>
      </c>
      <c r="D2378">
        <v>43.006269531249998</v>
      </c>
      <c r="E2378" s="5">
        <f t="shared" si="267"/>
        <v>43006.26953125</v>
      </c>
      <c r="F2378" s="5">
        <v>2.1375212818384202</v>
      </c>
      <c r="G2378">
        <f t="shared" si="268"/>
        <v>860.12539062500002</v>
      </c>
      <c r="H2378">
        <f t="shared" si="269"/>
        <v>0.21375212818384201</v>
      </c>
      <c r="I2378">
        <f t="shared" si="270"/>
        <v>0.19571649401740474</v>
      </c>
      <c r="K2378" s="5">
        <f t="shared" si="271"/>
        <v>1043.9790233760521</v>
      </c>
      <c r="L2378" s="5">
        <f t="shared" si="272"/>
        <v>0.19371649401740473</v>
      </c>
    </row>
    <row r="2379" spans="2:12">
      <c r="B2379">
        <v>23.158203125</v>
      </c>
      <c r="C2379">
        <v>3.8606033194810201</v>
      </c>
      <c r="D2379">
        <v>43.000039062500001</v>
      </c>
      <c r="E2379" s="5">
        <f t="shared" si="267"/>
        <v>43000.0390625</v>
      </c>
      <c r="F2379" s="5">
        <v>2.1393031347543001</v>
      </c>
      <c r="G2379">
        <f t="shared" si="268"/>
        <v>860.00078125000005</v>
      </c>
      <c r="H2379">
        <f t="shared" si="269"/>
        <v>0.21393031347543001</v>
      </c>
      <c r="I2379">
        <f t="shared" si="270"/>
        <v>0.19586328858068897</v>
      </c>
      <c r="K2379" s="5">
        <f t="shared" si="271"/>
        <v>1043.9810179719273</v>
      </c>
      <c r="L2379" s="5">
        <f t="shared" si="272"/>
        <v>0.19386328858068896</v>
      </c>
    </row>
    <row r="2380" spans="2:12">
      <c r="B2380">
        <v>23.16796875</v>
      </c>
      <c r="C2380">
        <v>3.8631611969322002</v>
      </c>
      <c r="D2380">
        <v>43.010507812500002</v>
      </c>
      <c r="E2380" s="5">
        <f t="shared" si="267"/>
        <v>43010.5078125</v>
      </c>
      <c r="F2380" s="5">
        <v>2.1411057095974702</v>
      </c>
      <c r="G2380">
        <f t="shared" si="268"/>
        <v>860.21015624999995</v>
      </c>
      <c r="H2380">
        <f t="shared" si="269"/>
        <v>0.214110570959747</v>
      </c>
      <c r="I2380">
        <f t="shared" si="270"/>
        <v>0.19601176835778311</v>
      </c>
      <c r="K2380" s="5">
        <f t="shared" si="271"/>
        <v>1044.3902439500607</v>
      </c>
      <c r="L2380" s="5">
        <f t="shared" si="272"/>
        <v>0.19401176835778311</v>
      </c>
    </row>
    <row r="2381" spans="2:12">
      <c r="B2381">
        <v>23.177734375</v>
      </c>
      <c r="C2381">
        <v>3.8679719436913702</v>
      </c>
      <c r="D2381">
        <v>42.988546874999997</v>
      </c>
      <c r="E2381" s="5">
        <f t="shared" si="267"/>
        <v>42988.546875</v>
      </c>
      <c r="F2381" s="5">
        <v>2.1428475156426399</v>
      </c>
      <c r="G2381">
        <f t="shared" si="268"/>
        <v>859.77093749999995</v>
      </c>
      <c r="H2381">
        <f t="shared" si="269"/>
        <v>0.21428475156426399</v>
      </c>
      <c r="I2381">
        <f t="shared" si="270"/>
        <v>0.1961552216112136</v>
      </c>
      <c r="K2381" s="5">
        <f t="shared" si="271"/>
        <v>1044.0067392443618</v>
      </c>
      <c r="L2381" s="5">
        <f t="shared" si="272"/>
        <v>0.1941552216112136</v>
      </c>
    </row>
    <row r="2382" spans="2:12">
      <c r="B2382">
        <v>23.1875</v>
      </c>
      <c r="C2382">
        <v>3.8678243290632999</v>
      </c>
      <c r="D2382">
        <v>42.960175781250001</v>
      </c>
      <c r="E2382" s="5">
        <f t="shared" si="267"/>
        <v>42960.17578125</v>
      </c>
      <c r="F2382" s="5">
        <v>2.1445588208734998</v>
      </c>
      <c r="G2382">
        <f t="shared" si="268"/>
        <v>859.20351562500002</v>
      </c>
      <c r="H2382">
        <f t="shared" si="269"/>
        <v>0.21445588208734997</v>
      </c>
      <c r="I2382">
        <f t="shared" si="270"/>
        <v>0.19629614281210092</v>
      </c>
      <c r="K2382" s="5">
        <f t="shared" si="271"/>
        <v>1043.4647634609116</v>
      </c>
      <c r="L2382" s="5">
        <f t="shared" si="272"/>
        <v>0.19429614281210092</v>
      </c>
    </row>
    <row r="2383" spans="2:12">
      <c r="B2383">
        <v>23.197265625</v>
      </c>
      <c r="C2383">
        <v>3.8708308711648001</v>
      </c>
      <c r="D2383">
        <v>42.97087890625</v>
      </c>
      <c r="E2383" s="5">
        <f t="shared" si="267"/>
        <v>42970.87890625</v>
      </c>
      <c r="F2383" s="5">
        <v>2.1463884040713301</v>
      </c>
      <c r="G2383">
        <f t="shared" si="268"/>
        <v>859.41757812499998</v>
      </c>
      <c r="H2383">
        <f t="shared" si="269"/>
        <v>0.21463884040713302</v>
      </c>
      <c r="I2383">
        <f t="shared" si="270"/>
        <v>0.19644678191104994</v>
      </c>
      <c r="K2383" s="5">
        <f t="shared" si="271"/>
        <v>1043.8819705192566</v>
      </c>
      <c r="L2383" s="5">
        <f t="shared" si="272"/>
        <v>0.19444678191104994</v>
      </c>
    </row>
    <row r="2384" spans="2:12">
      <c r="B2384">
        <v>23.20703125</v>
      </c>
      <c r="C2384">
        <v>3.8715898990631099</v>
      </c>
      <c r="D2384">
        <v>42.953011718749998</v>
      </c>
      <c r="E2384" s="5">
        <f t="shared" si="267"/>
        <v>42953.01171875</v>
      </c>
      <c r="F2384" s="5">
        <v>2.1482328884303601</v>
      </c>
      <c r="G2384">
        <f t="shared" si="268"/>
        <v>859.06023437500005</v>
      </c>
      <c r="H2384">
        <f t="shared" si="269"/>
        <v>0.214823288843036</v>
      </c>
      <c r="I2384">
        <f t="shared" si="270"/>
        <v>0.19659862493345107</v>
      </c>
      <c r="K2384" s="5">
        <f t="shared" si="271"/>
        <v>1043.6063792377067</v>
      </c>
      <c r="L2384" s="5">
        <f t="shared" si="272"/>
        <v>0.19459862493345106</v>
      </c>
    </row>
    <row r="2385" spans="2:12">
      <c r="B2385">
        <v>23.216796875</v>
      </c>
      <c r="C2385">
        <v>3.8732977118343102</v>
      </c>
      <c r="D2385">
        <v>42.962949218749998</v>
      </c>
      <c r="E2385" s="5">
        <f t="shared" si="267"/>
        <v>42962.94921875</v>
      </c>
      <c r="F2385" s="5">
        <v>2.1501306910067801</v>
      </c>
      <c r="G2385">
        <f t="shared" si="268"/>
        <v>859.25898437499995</v>
      </c>
      <c r="H2385">
        <f t="shared" si="269"/>
        <v>0.21501306910067802</v>
      </c>
      <c r="I2385">
        <f t="shared" si="270"/>
        <v>0.1967548331961248</v>
      </c>
      <c r="K2385" s="5">
        <f t="shared" si="271"/>
        <v>1044.0108957578002</v>
      </c>
      <c r="L2385" s="5">
        <f t="shared" si="272"/>
        <v>0.1947548331961248</v>
      </c>
    </row>
    <row r="2386" spans="2:12">
      <c r="B2386">
        <v>23.2265625</v>
      </c>
      <c r="C2386">
        <v>3.8744315970689098</v>
      </c>
      <c r="D2386">
        <v>42.942992187500003</v>
      </c>
      <c r="E2386" s="5">
        <f t="shared" si="267"/>
        <v>42942.9921875</v>
      </c>
      <c r="F2386" s="5">
        <v>2.1518366411328298</v>
      </c>
      <c r="G2386">
        <f t="shared" si="268"/>
        <v>858.85984374999998</v>
      </c>
      <c r="H2386">
        <f t="shared" si="269"/>
        <v>0.21518366411328299</v>
      </c>
      <c r="I2386">
        <f t="shared" si="270"/>
        <v>0.19689522924764907</v>
      </c>
      <c r="K2386" s="5">
        <f t="shared" si="271"/>
        <v>1043.6724518878866</v>
      </c>
      <c r="L2386" s="5">
        <f t="shared" si="272"/>
        <v>0.19489522924764907</v>
      </c>
    </row>
    <row r="2387" spans="2:12">
      <c r="B2387">
        <v>23.236328125</v>
      </c>
      <c r="C2387">
        <v>3.8759105373174001</v>
      </c>
      <c r="D2387">
        <v>42.922847656249999</v>
      </c>
      <c r="E2387" s="5">
        <f t="shared" si="267"/>
        <v>42922.84765625</v>
      </c>
      <c r="F2387" s="5">
        <v>2.1535423584282398</v>
      </c>
      <c r="G2387">
        <f t="shared" si="268"/>
        <v>858.45695312500004</v>
      </c>
      <c r="H2387">
        <f t="shared" si="269"/>
        <v>0.21535423584282398</v>
      </c>
      <c r="I2387">
        <f t="shared" si="270"/>
        <v>0.19703558643345895</v>
      </c>
      <c r="K2387" s="5">
        <f t="shared" si="271"/>
        <v>1043.3292942691935</v>
      </c>
      <c r="L2387" s="5">
        <f t="shared" si="272"/>
        <v>0.19503558643345895</v>
      </c>
    </row>
    <row r="2388" spans="2:12">
      <c r="B2388">
        <v>23.24609375</v>
      </c>
      <c r="C2388">
        <v>3.8777976296842098</v>
      </c>
      <c r="D2388">
        <v>42.908382812500001</v>
      </c>
      <c r="E2388" s="5">
        <f t="shared" si="267"/>
        <v>42908.3828125</v>
      </c>
      <c r="F2388" s="5">
        <v>2.1552885882556398</v>
      </c>
      <c r="G2388">
        <f t="shared" si="268"/>
        <v>858.16765625000005</v>
      </c>
      <c r="H2388">
        <f t="shared" si="269"/>
        <v>0.215528858825564</v>
      </c>
      <c r="I2388">
        <f t="shared" si="270"/>
        <v>0.19717925684148749</v>
      </c>
      <c r="K2388" s="5">
        <f t="shared" si="271"/>
        <v>1043.1275518825714</v>
      </c>
      <c r="L2388" s="5">
        <f t="shared" si="272"/>
        <v>0.19517925684148749</v>
      </c>
    </row>
    <row r="2389" spans="2:12">
      <c r="B2389">
        <v>23.255859375</v>
      </c>
      <c r="C2389">
        <v>3.87892941944301</v>
      </c>
      <c r="D2389">
        <v>42.879785156250001</v>
      </c>
      <c r="E2389" s="5">
        <f t="shared" si="267"/>
        <v>42879.78515625</v>
      </c>
      <c r="F2389" s="5">
        <v>2.1570534445345402</v>
      </c>
      <c r="G2389">
        <f t="shared" si="268"/>
        <v>857.595703125</v>
      </c>
      <c r="H2389">
        <f t="shared" si="269"/>
        <v>0.21570534445345402</v>
      </c>
      <c r="I2389">
        <f t="shared" si="270"/>
        <v>0.19732443876428377</v>
      </c>
      <c r="K2389" s="5">
        <f t="shared" si="271"/>
        <v>1042.5836796693802</v>
      </c>
      <c r="L2389" s="5">
        <f t="shared" si="272"/>
        <v>0.19532443876428376</v>
      </c>
    </row>
    <row r="2390" spans="2:12">
      <c r="B2390">
        <v>23.265625</v>
      </c>
      <c r="C2390">
        <v>3.8804861251264802</v>
      </c>
      <c r="D2390">
        <v>42.889558593750003</v>
      </c>
      <c r="E2390" s="5">
        <f t="shared" si="267"/>
        <v>42889.55859375</v>
      </c>
      <c r="F2390" s="5">
        <v>2.1588841918855901</v>
      </c>
      <c r="G2390">
        <f t="shared" si="268"/>
        <v>857.79117187500003</v>
      </c>
      <c r="H2390">
        <f t="shared" si="269"/>
        <v>0.215888419188559</v>
      </c>
      <c r="I2390">
        <f t="shared" si="270"/>
        <v>0.19747501879799528</v>
      </c>
      <c r="K2390" s="5">
        <f t="shared" si="271"/>
        <v>1042.9783519649955</v>
      </c>
      <c r="L2390" s="5">
        <f t="shared" si="272"/>
        <v>0.19547501879799528</v>
      </c>
    </row>
    <row r="2391" spans="2:12">
      <c r="B2391">
        <v>23.275390625</v>
      </c>
      <c r="C2391">
        <v>3.8811489939689601</v>
      </c>
      <c r="D2391">
        <v>42.89990234375</v>
      </c>
      <c r="E2391" s="5">
        <f t="shared" si="267"/>
        <v>42899.90234375</v>
      </c>
      <c r="F2391" s="5">
        <v>2.1607405506074402</v>
      </c>
      <c r="G2391">
        <f t="shared" si="268"/>
        <v>857.998046875</v>
      </c>
      <c r="H2391">
        <f t="shared" si="269"/>
        <v>0.21607405506074401</v>
      </c>
      <c r="I2391">
        <f t="shared" si="270"/>
        <v>0.19762768223298752</v>
      </c>
      <c r="K2391" s="5">
        <f t="shared" si="271"/>
        <v>1043.3891640974796</v>
      </c>
      <c r="L2391" s="5">
        <f t="shared" si="272"/>
        <v>0.19562768223298752</v>
      </c>
    </row>
    <row r="2392" spans="2:12">
      <c r="B2392">
        <v>23.28515625</v>
      </c>
      <c r="C2392">
        <v>3.8823783397674601</v>
      </c>
      <c r="D2392">
        <v>42.899058593749999</v>
      </c>
      <c r="E2392" s="5">
        <f t="shared" si="267"/>
        <v>42899.05859375</v>
      </c>
      <c r="F2392" s="5">
        <v>2.16254568658769</v>
      </c>
      <c r="G2392">
        <f t="shared" si="268"/>
        <v>857.98117187499997</v>
      </c>
      <c r="H2392">
        <f t="shared" si="269"/>
        <v>0.21625456865876899</v>
      </c>
      <c r="I2392">
        <f t="shared" si="270"/>
        <v>0.19777611085944524</v>
      </c>
      <c r="K2392" s="5">
        <f t="shared" si="271"/>
        <v>1043.5235201161731</v>
      </c>
      <c r="L2392" s="5">
        <f t="shared" si="272"/>
        <v>0.19577611085944524</v>
      </c>
    </row>
    <row r="2393" spans="2:12">
      <c r="B2393">
        <v>23.294921875</v>
      </c>
      <c r="C2393">
        <v>3.88512015342712</v>
      </c>
      <c r="D2393">
        <v>42.886871093750003</v>
      </c>
      <c r="E2393" s="5">
        <f t="shared" si="267"/>
        <v>42886.87109375</v>
      </c>
      <c r="F2393" s="5">
        <v>2.1642942447215301</v>
      </c>
      <c r="G2393">
        <f t="shared" si="268"/>
        <v>857.737421875</v>
      </c>
      <c r="H2393">
        <f t="shared" si="269"/>
        <v>0.21642942447215302</v>
      </c>
      <c r="I2393">
        <f t="shared" si="270"/>
        <v>0.1979198663280379</v>
      </c>
      <c r="K2393" s="5">
        <f t="shared" si="271"/>
        <v>1043.3770384396346</v>
      </c>
      <c r="L2393" s="5">
        <f t="shared" si="272"/>
        <v>0.1959198663280379</v>
      </c>
    </row>
    <row r="2394" spans="2:12">
      <c r="B2394">
        <v>23.3046875</v>
      </c>
      <c r="C2394">
        <v>3.88759979978204</v>
      </c>
      <c r="D2394">
        <v>42.885964843750003</v>
      </c>
      <c r="E2394" s="5">
        <f t="shared" si="267"/>
        <v>42885.96484375</v>
      </c>
      <c r="F2394" s="5">
        <v>2.1661517675966002</v>
      </c>
      <c r="G2394">
        <f t="shared" si="268"/>
        <v>857.71929687500005</v>
      </c>
      <c r="H2394">
        <f t="shared" si="269"/>
        <v>0.21661517675966002</v>
      </c>
      <c r="I2394">
        <f t="shared" si="270"/>
        <v>0.19807255755924172</v>
      </c>
      <c r="K2394" s="5">
        <f t="shared" si="271"/>
        <v>1043.5143139777495</v>
      </c>
      <c r="L2394" s="5">
        <f t="shared" si="272"/>
        <v>0.19607255755924172</v>
      </c>
    </row>
    <row r="2395" spans="2:12">
      <c r="B2395">
        <v>23.314453125</v>
      </c>
      <c r="C2395">
        <v>3.8879944477230302</v>
      </c>
      <c r="D2395">
        <v>42.879843749999999</v>
      </c>
      <c r="E2395" s="5">
        <f t="shared" si="267"/>
        <v>42879.84375</v>
      </c>
      <c r="F2395" s="5">
        <v>2.16807168908417</v>
      </c>
      <c r="G2395">
        <f t="shared" si="268"/>
        <v>857.59687499999995</v>
      </c>
      <c r="H2395">
        <f t="shared" si="269"/>
        <v>0.216807168908417</v>
      </c>
      <c r="I2395">
        <f t="shared" si="270"/>
        <v>0.19823035355342836</v>
      </c>
      <c r="K2395" s="5">
        <f t="shared" si="271"/>
        <v>1043.5300255334555</v>
      </c>
      <c r="L2395" s="5">
        <f t="shared" si="272"/>
        <v>0.19623035355342835</v>
      </c>
    </row>
    <row r="2396" spans="2:12">
      <c r="B2396">
        <v>23.32421875</v>
      </c>
      <c r="C2396">
        <v>3.8911483716219699</v>
      </c>
      <c r="D2396">
        <v>42.862503906249998</v>
      </c>
      <c r="E2396" s="5">
        <f t="shared" si="267"/>
        <v>42862.50390625</v>
      </c>
      <c r="F2396" s="5">
        <v>2.16996297240257</v>
      </c>
      <c r="G2396">
        <f t="shared" si="268"/>
        <v>857.25007812499996</v>
      </c>
      <c r="H2396">
        <f t="shared" si="269"/>
        <v>0.21699629724025699</v>
      </c>
      <c r="I2396">
        <f t="shared" si="270"/>
        <v>0.19838577147015934</v>
      </c>
      <c r="K2396" s="5">
        <f t="shared" si="271"/>
        <v>1043.2701708870461</v>
      </c>
      <c r="L2396" s="5">
        <f t="shared" si="272"/>
        <v>0.19638577147015934</v>
      </c>
    </row>
    <row r="2397" spans="2:12">
      <c r="B2397">
        <v>23.333984375</v>
      </c>
      <c r="C2397">
        <v>3.8929490838199898</v>
      </c>
      <c r="D2397">
        <v>42.848695312499999</v>
      </c>
      <c r="E2397" s="5">
        <f t="shared" si="267"/>
        <v>42848.6953125</v>
      </c>
      <c r="F2397" s="5">
        <v>2.1718244533985902</v>
      </c>
      <c r="G2397">
        <f t="shared" si="268"/>
        <v>856.97390625000003</v>
      </c>
      <c r="H2397">
        <f t="shared" si="269"/>
        <v>0.21718244533985903</v>
      </c>
      <c r="I2397">
        <f t="shared" si="270"/>
        <v>0.19853871677093665</v>
      </c>
      <c r="K2397" s="5">
        <f t="shared" si="271"/>
        <v>1043.0935948018262</v>
      </c>
      <c r="L2397" s="5">
        <f t="shared" si="272"/>
        <v>0.19653871677093665</v>
      </c>
    </row>
    <row r="2398" spans="2:12">
      <c r="B2398">
        <v>23.34375</v>
      </c>
      <c r="C2398">
        <v>3.89426667243242</v>
      </c>
      <c r="D2398">
        <v>42.829511718749998</v>
      </c>
      <c r="E2398" s="5">
        <f t="shared" si="267"/>
        <v>42829.51171875</v>
      </c>
      <c r="F2398" s="5">
        <v>2.1736528724432</v>
      </c>
      <c r="G2398">
        <f t="shared" si="268"/>
        <v>856.59023437500002</v>
      </c>
      <c r="H2398">
        <f t="shared" si="269"/>
        <v>0.21736528724432</v>
      </c>
      <c r="I2398">
        <f t="shared" si="270"/>
        <v>0.19868892282552128</v>
      </c>
      <c r="K2398" s="5">
        <f t="shared" si="271"/>
        <v>1042.7832167206013</v>
      </c>
      <c r="L2398" s="5">
        <f t="shared" si="272"/>
        <v>0.19668892282552128</v>
      </c>
    </row>
    <row r="2399" spans="2:12">
      <c r="B2399">
        <v>23.353515625</v>
      </c>
      <c r="C2399">
        <v>3.8961642421781999</v>
      </c>
      <c r="D2399">
        <v>42.827097656249997</v>
      </c>
      <c r="E2399" s="5">
        <f t="shared" si="267"/>
        <v>42827.09765625</v>
      </c>
      <c r="F2399" s="5">
        <v>2.1755255293101099</v>
      </c>
      <c r="G2399">
        <f t="shared" si="268"/>
        <v>856.54195312499996</v>
      </c>
      <c r="H2399">
        <f t="shared" si="269"/>
        <v>0.217552552931011</v>
      </c>
      <c r="I2399">
        <f t="shared" si="270"/>
        <v>0.19884273966810251</v>
      </c>
      <c r="K2399" s="5">
        <f t="shared" si="271"/>
        <v>1042.8848417198581</v>
      </c>
      <c r="L2399" s="5">
        <f t="shared" si="272"/>
        <v>0.19684273966810251</v>
      </c>
    </row>
    <row r="2400" spans="2:12">
      <c r="B2400">
        <v>23.36328125</v>
      </c>
      <c r="C2400">
        <v>3.8965821731835599</v>
      </c>
      <c r="D2400">
        <v>42.811003906250001</v>
      </c>
      <c r="E2400" s="5">
        <f t="shared" si="267"/>
        <v>42811.00390625</v>
      </c>
      <c r="F2400" s="5">
        <v>2.1773912012577101</v>
      </c>
      <c r="G2400">
        <f t="shared" si="268"/>
        <v>856.22007812499999</v>
      </c>
      <c r="H2400">
        <f t="shared" si="269"/>
        <v>0.21773912012577101</v>
      </c>
      <c r="I2400">
        <f t="shared" si="270"/>
        <v>0.19899595925751692</v>
      </c>
      <c r="K2400" s="5">
        <f t="shared" si="271"/>
        <v>1042.6526845699564</v>
      </c>
      <c r="L2400" s="5">
        <f t="shared" si="272"/>
        <v>0.19699595925751692</v>
      </c>
    </row>
    <row r="2401" spans="2:12">
      <c r="B2401">
        <v>23.373046875</v>
      </c>
      <c r="C2401">
        <v>3.8999654352664899</v>
      </c>
      <c r="D2401">
        <v>42.801945312500003</v>
      </c>
      <c r="E2401" s="5">
        <f t="shared" si="267"/>
        <v>42801.9453125</v>
      </c>
      <c r="F2401" s="5">
        <v>2.1792366169393098</v>
      </c>
      <c r="G2401">
        <f t="shared" si="268"/>
        <v>856.03890624999997</v>
      </c>
      <c r="H2401">
        <f t="shared" si="269"/>
        <v>0.21792366169393099</v>
      </c>
      <c r="I2401">
        <f t="shared" si="270"/>
        <v>0.19914749219540195</v>
      </c>
      <c r="K2401" s="5">
        <f t="shared" si="271"/>
        <v>1042.5900392524677</v>
      </c>
      <c r="L2401" s="5">
        <f t="shared" si="272"/>
        <v>0.19714749219540195</v>
      </c>
    </row>
    <row r="2402" spans="2:12">
      <c r="B2402">
        <v>23.3828125</v>
      </c>
      <c r="C2402">
        <v>3.9009132888168101</v>
      </c>
      <c r="D2402">
        <v>42.785019531250001</v>
      </c>
      <c r="E2402" s="5">
        <f t="shared" si="267"/>
        <v>42785.01953125</v>
      </c>
      <c r="F2402" s="5">
        <v>2.18111858703196</v>
      </c>
      <c r="G2402">
        <f t="shared" si="268"/>
        <v>855.70039062499995</v>
      </c>
      <c r="H2402">
        <f t="shared" si="269"/>
        <v>0.21811185870319599</v>
      </c>
      <c r="I2402">
        <f t="shared" si="270"/>
        <v>0.19930200308661319</v>
      </c>
      <c r="K2402" s="5">
        <f t="shared" si="271"/>
        <v>1042.3387933172696</v>
      </c>
      <c r="L2402" s="5">
        <f t="shared" si="272"/>
        <v>0.19730200308661319</v>
      </c>
    </row>
    <row r="2403" spans="2:12">
      <c r="B2403">
        <v>23.392578125</v>
      </c>
      <c r="C2403">
        <v>3.90248443000019</v>
      </c>
      <c r="D2403">
        <v>42.769281249999999</v>
      </c>
      <c r="E2403" s="5">
        <f t="shared" si="267"/>
        <v>42769.28125</v>
      </c>
      <c r="F2403" s="5">
        <v>2.18295049853623</v>
      </c>
      <c r="G2403">
        <f t="shared" si="268"/>
        <v>855.385625</v>
      </c>
      <c r="H2403">
        <f t="shared" si="269"/>
        <v>0.218295049853623</v>
      </c>
      <c r="I2403">
        <f t="shared" si="270"/>
        <v>0.19945238121116102</v>
      </c>
      <c r="K2403" s="5">
        <f t="shared" si="271"/>
        <v>1042.1120726534475</v>
      </c>
      <c r="L2403" s="5">
        <f t="shared" si="272"/>
        <v>0.19745238121116102</v>
      </c>
    </row>
    <row r="2404" spans="2:12">
      <c r="B2404">
        <v>23.40234375</v>
      </c>
      <c r="C2404">
        <v>3.90434544533491</v>
      </c>
      <c r="D2404">
        <v>42.743562500000003</v>
      </c>
      <c r="E2404" s="5">
        <f t="shared" si="267"/>
        <v>42743.5625</v>
      </c>
      <c r="F2404" s="5">
        <v>2.1846990566700701</v>
      </c>
      <c r="G2404">
        <f t="shared" si="268"/>
        <v>854.87125000000003</v>
      </c>
      <c r="H2404">
        <f t="shared" si="269"/>
        <v>0.21846990566700702</v>
      </c>
      <c r="I2404">
        <f t="shared" si="270"/>
        <v>0.19959589592585522</v>
      </c>
      <c r="K2404" s="5">
        <f t="shared" si="271"/>
        <v>1041.6348913449365</v>
      </c>
      <c r="L2404" s="5">
        <f t="shared" si="272"/>
        <v>0.19759589592585522</v>
      </c>
    </row>
    <row r="2405" spans="2:12">
      <c r="B2405">
        <v>23.412109375</v>
      </c>
      <c r="C2405">
        <v>3.90516733750701</v>
      </c>
      <c r="D2405">
        <v>42.725367187499998</v>
      </c>
      <c r="E2405" s="5">
        <f t="shared" si="267"/>
        <v>42725.3671875</v>
      </c>
      <c r="F2405" s="5">
        <v>2.1865356247872101</v>
      </c>
      <c r="G2405">
        <f t="shared" si="268"/>
        <v>854.50734375000002</v>
      </c>
      <c r="H2405">
        <f t="shared" si="269"/>
        <v>0.218653562478721</v>
      </c>
      <c r="I2405">
        <f t="shared" si="270"/>
        <v>0.19974661197652896</v>
      </c>
      <c r="K2405" s="5">
        <f t="shared" si="271"/>
        <v>1041.3484186251665</v>
      </c>
      <c r="L2405" s="5">
        <f t="shared" si="272"/>
        <v>0.19774661197652896</v>
      </c>
    </row>
    <row r="2406" spans="2:12">
      <c r="B2406">
        <v>23.421875</v>
      </c>
      <c r="C2406">
        <v>3.90665931627154</v>
      </c>
      <c r="D2406">
        <v>42.713523437500001</v>
      </c>
      <c r="E2406" s="5">
        <f t="shared" si="267"/>
        <v>42713.5234375</v>
      </c>
      <c r="F2406" s="5">
        <v>2.1883307490497801</v>
      </c>
      <c r="G2406">
        <f t="shared" si="268"/>
        <v>854.27046874999996</v>
      </c>
      <c r="H2406">
        <f t="shared" si="269"/>
        <v>0.218833074904978</v>
      </c>
      <c r="I2406">
        <f t="shared" si="270"/>
        <v>0.19989390503145571</v>
      </c>
      <c r="K2406" s="5">
        <f t="shared" si="271"/>
        <v>1041.2131022270794</v>
      </c>
      <c r="L2406" s="5">
        <f t="shared" si="272"/>
        <v>0.19789390503145571</v>
      </c>
    </row>
    <row r="2407" spans="2:12">
      <c r="B2407">
        <v>23.431640625</v>
      </c>
      <c r="C2407">
        <v>3.9082248695194699</v>
      </c>
      <c r="D2407">
        <v>42.71616796875</v>
      </c>
      <c r="E2407" s="5">
        <f t="shared" si="267"/>
        <v>42716.16796875</v>
      </c>
      <c r="F2407" s="5">
        <v>2.1901328582316602</v>
      </c>
      <c r="G2407">
        <f t="shared" si="268"/>
        <v>854.323359375</v>
      </c>
      <c r="H2407">
        <f t="shared" si="269"/>
        <v>0.21901328582316601</v>
      </c>
      <c r="I2407">
        <f t="shared" si="270"/>
        <v>0.20004174939229746</v>
      </c>
      <c r="K2407" s="5">
        <f t="shared" si="271"/>
        <v>1041.4315254672042</v>
      </c>
      <c r="L2407" s="5">
        <f t="shared" si="272"/>
        <v>0.19804174939229746</v>
      </c>
    </row>
    <row r="2408" spans="2:12">
      <c r="B2408">
        <v>23.44140625</v>
      </c>
      <c r="C2408">
        <v>3.90985235571861</v>
      </c>
      <c r="D2408">
        <v>42.686785156249996</v>
      </c>
      <c r="E2408" s="5">
        <f t="shared" si="267"/>
        <v>42686.78515625</v>
      </c>
      <c r="F2408" s="5">
        <v>2.1919249556958702</v>
      </c>
      <c r="G2408">
        <f t="shared" si="268"/>
        <v>853.73570312499999</v>
      </c>
      <c r="H2408">
        <f t="shared" si="269"/>
        <v>0.21919249556958703</v>
      </c>
      <c r="I2408">
        <f t="shared" si="270"/>
        <v>0.20018875072262932</v>
      </c>
      <c r="K2408" s="5">
        <f t="shared" si="271"/>
        <v>1040.8681624498247</v>
      </c>
      <c r="L2408" s="5">
        <f t="shared" si="272"/>
        <v>0.19818875072262931</v>
      </c>
    </row>
    <row r="2409" spans="2:12">
      <c r="B2409">
        <v>23.451171875</v>
      </c>
      <c r="C2409">
        <v>3.9126230403780902</v>
      </c>
      <c r="D2409">
        <v>42.690621093750003</v>
      </c>
      <c r="E2409" s="5">
        <f t="shared" si="267"/>
        <v>42690.62109375</v>
      </c>
      <c r="F2409" s="5">
        <v>2.1936586126685098</v>
      </c>
      <c r="G2409">
        <f t="shared" si="268"/>
        <v>853.81242187500004</v>
      </c>
      <c r="H2409">
        <f t="shared" si="269"/>
        <v>0.21936586126685098</v>
      </c>
      <c r="I2409">
        <f t="shared" si="270"/>
        <v>0.20033093776282873</v>
      </c>
      <c r="K2409" s="5">
        <f t="shared" si="271"/>
        <v>1041.1097191599454</v>
      </c>
      <c r="L2409" s="5">
        <f t="shared" si="272"/>
        <v>0.19833093776282873</v>
      </c>
    </row>
    <row r="2410" spans="2:12">
      <c r="B2410">
        <v>23.4609375</v>
      </c>
      <c r="C2410">
        <v>3.9141252636909498</v>
      </c>
      <c r="D2410">
        <v>42.682054687499999</v>
      </c>
      <c r="E2410" s="5">
        <f t="shared" si="267"/>
        <v>42682.0546875</v>
      </c>
      <c r="F2410" s="5">
        <v>2.1954455878585599</v>
      </c>
      <c r="G2410">
        <f t="shared" si="268"/>
        <v>853.64109374999998</v>
      </c>
      <c r="H2410">
        <f t="shared" si="269"/>
        <v>0.21954455878585599</v>
      </c>
      <c r="I2410">
        <f t="shared" si="270"/>
        <v>0.20047747657610826</v>
      </c>
      <c r="K2410" s="5">
        <f t="shared" si="271"/>
        <v>1041.0533510388193</v>
      </c>
      <c r="L2410" s="5">
        <f t="shared" si="272"/>
        <v>0.19847747657610826</v>
      </c>
    </row>
    <row r="2411" spans="2:12">
      <c r="B2411">
        <v>23.470703125</v>
      </c>
      <c r="C2411">
        <v>3.9166347123682499</v>
      </c>
      <c r="D2411">
        <v>42.684582031250002</v>
      </c>
      <c r="E2411" s="5">
        <f t="shared" si="267"/>
        <v>42684.58203125</v>
      </c>
      <c r="F2411" s="5">
        <v>2.1973147522658101</v>
      </c>
      <c r="G2411">
        <f t="shared" si="268"/>
        <v>853.69164062499999</v>
      </c>
      <c r="H2411">
        <f t="shared" si="269"/>
        <v>0.21973147522658101</v>
      </c>
      <c r="I2411">
        <f t="shared" si="270"/>
        <v>0.20063073224581079</v>
      </c>
      <c r="K2411" s="5">
        <f t="shared" si="271"/>
        <v>1041.2745642081316</v>
      </c>
      <c r="L2411" s="5">
        <f t="shared" si="272"/>
        <v>0.19863073224581079</v>
      </c>
    </row>
    <row r="2412" spans="2:12">
      <c r="B2412">
        <v>23.48046875</v>
      </c>
      <c r="C2412">
        <v>3.9169816300272902</v>
      </c>
      <c r="D2412">
        <v>42.675695312499997</v>
      </c>
      <c r="E2412" s="5">
        <f t="shared" si="267"/>
        <v>42675.6953125</v>
      </c>
      <c r="F2412" s="5">
        <v>2.1991909015923699</v>
      </c>
      <c r="G2412">
        <f t="shared" si="268"/>
        <v>853.51390624999999</v>
      </c>
      <c r="H2412">
        <f t="shared" si="269"/>
        <v>0.219919090159237</v>
      </c>
      <c r="I2412">
        <f t="shared" si="270"/>
        <v>0.20078453700431809</v>
      </c>
      <c r="K2412" s="5">
        <f t="shared" si="271"/>
        <v>1041.2179079507562</v>
      </c>
      <c r="L2412" s="5">
        <f t="shared" si="272"/>
        <v>0.19878453700431808</v>
      </c>
    </row>
    <row r="2413" spans="2:12">
      <c r="B2413">
        <v>23.490234375</v>
      </c>
      <c r="C2413">
        <v>3.9198212325572999</v>
      </c>
      <c r="D2413">
        <v>42.662546874999997</v>
      </c>
      <c r="E2413" s="5">
        <f t="shared" si="267"/>
        <v>42662.546875</v>
      </c>
      <c r="F2413" s="5">
        <v>2.2010651882737902</v>
      </c>
      <c r="G2413">
        <f t="shared" si="268"/>
        <v>853.25093749999996</v>
      </c>
      <c r="H2413">
        <f t="shared" si="269"/>
        <v>0.22010651882737903</v>
      </c>
      <c r="I2413">
        <f t="shared" si="270"/>
        <v>0.20093816544806914</v>
      </c>
      <c r="K2413" s="5">
        <f t="shared" si="271"/>
        <v>1041.0570310393225</v>
      </c>
      <c r="L2413" s="5">
        <f t="shared" si="272"/>
        <v>0.19893816544806914</v>
      </c>
    </row>
    <row r="2414" spans="2:12">
      <c r="B2414">
        <v>23.5</v>
      </c>
      <c r="C2414">
        <v>3.91992460936308</v>
      </c>
      <c r="D2414">
        <v>42.621597656250003</v>
      </c>
      <c r="E2414" s="5">
        <f t="shared" si="267"/>
        <v>42621.59765625</v>
      </c>
      <c r="F2414" s="5">
        <v>2.2027872037142502</v>
      </c>
      <c r="G2414">
        <f t="shared" si="268"/>
        <v>852.43195312499995</v>
      </c>
      <c r="H2414">
        <f t="shared" si="269"/>
        <v>0.22027872037142501</v>
      </c>
      <c r="I2414">
        <f t="shared" si="270"/>
        <v>0.20107929197314869</v>
      </c>
      <c r="K2414" s="5">
        <f t="shared" si="271"/>
        <v>1040.2045729630895</v>
      </c>
      <c r="L2414" s="5">
        <f t="shared" si="272"/>
        <v>0.19907929197314869</v>
      </c>
    </row>
    <row r="2415" spans="2:12">
      <c r="B2415">
        <v>23.509765625</v>
      </c>
      <c r="C2415">
        <v>3.9216689765453299</v>
      </c>
      <c r="D2415">
        <v>42.602249999999998</v>
      </c>
      <c r="E2415" s="5">
        <f t="shared" si="267"/>
        <v>42602.25</v>
      </c>
      <c r="F2415" s="5">
        <v>2.2045064251869899</v>
      </c>
      <c r="G2415">
        <f t="shared" si="268"/>
        <v>852.04499999999996</v>
      </c>
      <c r="H2415">
        <f t="shared" si="269"/>
        <v>0.220450642518699</v>
      </c>
      <c r="I2415">
        <f t="shared" si="270"/>
        <v>0.20122016965518286</v>
      </c>
      <c r="K2415" s="5">
        <f t="shared" si="271"/>
        <v>1039.8788677048449</v>
      </c>
      <c r="L2415" s="5">
        <f t="shared" si="272"/>
        <v>0.19922016965518285</v>
      </c>
    </row>
    <row r="2416" spans="2:12">
      <c r="B2416">
        <v>23.51953125</v>
      </c>
      <c r="C2416">
        <v>3.92303336411715</v>
      </c>
      <c r="D2416">
        <v>42.598550781249997</v>
      </c>
      <c r="E2416" s="5">
        <f t="shared" si="267"/>
        <v>42598.55078125</v>
      </c>
      <c r="F2416" s="5">
        <v>2.2063320502638799</v>
      </c>
      <c r="G2416">
        <f t="shared" si="268"/>
        <v>851.97101562499995</v>
      </c>
      <c r="H2416">
        <f t="shared" si="269"/>
        <v>0.220633205026388</v>
      </c>
      <c r="I2416">
        <f t="shared" si="270"/>
        <v>0.20136974461403809</v>
      </c>
      <c r="K2416" s="5">
        <f t="shared" si="271"/>
        <v>1039.9441113919306</v>
      </c>
      <c r="L2416" s="5">
        <f t="shared" si="272"/>
        <v>0.19936974461403809</v>
      </c>
    </row>
    <row r="2417" spans="2:12">
      <c r="B2417">
        <v>23.529296875</v>
      </c>
      <c r="C2417">
        <v>3.92462685704231</v>
      </c>
      <c r="D2417">
        <v>42.605601562499999</v>
      </c>
      <c r="E2417" s="5">
        <f t="shared" si="267"/>
        <v>42605.6015625</v>
      </c>
      <c r="F2417" s="5">
        <v>2.20811739563942</v>
      </c>
      <c r="G2417">
        <f t="shared" si="268"/>
        <v>852.11203124999997</v>
      </c>
      <c r="H2417">
        <f t="shared" si="269"/>
        <v>0.22081173956394201</v>
      </c>
      <c r="I2417">
        <f t="shared" si="270"/>
        <v>0.20151599778945198</v>
      </c>
      <c r="K2417" s="5">
        <f t="shared" si="271"/>
        <v>1040.2683711736765</v>
      </c>
      <c r="L2417" s="5">
        <f t="shared" si="272"/>
        <v>0.19951599778945198</v>
      </c>
    </row>
    <row r="2418" spans="2:12">
      <c r="B2418">
        <v>23.5390625</v>
      </c>
      <c r="C2418">
        <v>3.92729928717017</v>
      </c>
      <c r="D2418">
        <v>42.622812500000002</v>
      </c>
      <c r="E2418" s="5">
        <f t="shared" si="267"/>
        <v>42622.8125</v>
      </c>
      <c r="F2418" s="5">
        <v>2.21000309102237</v>
      </c>
      <c r="G2418">
        <f t="shared" si="268"/>
        <v>852.45624999999995</v>
      </c>
      <c r="H2418">
        <f t="shared" si="269"/>
        <v>0.221000309102237</v>
      </c>
      <c r="I2418">
        <f t="shared" si="270"/>
        <v>0.20167044828352085</v>
      </c>
      <c r="K2418" s="5">
        <f t="shared" si="271"/>
        <v>1040.8493447461337</v>
      </c>
      <c r="L2418" s="5">
        <f t="shared" si="272"/>
        <v>0.19967044828352085</v>
      </c>
    </row>
    <row r="2419" spans="2:12">
      <c r="B2419">
        <v>23.548828125</v>
      </c>
      <c r="C2419">
        <v>3.9283493533730498</v>
      </c>
      <c r="D2419">
        <v>42.589800781249998</v>
      </c>
      <c r="E2419" s="5">
        <f t="shared" si="267"/>
        <v>42589.80078125</v>
      </c>
      <c r="F2419" s="5">
        <v>2.2118033375591</v>
      </c>
      <c r="G2419">
        <f t="shared" si="268"/>
        <v>851.796015625</v>
      </c>
      <c r="H2419">
        <f t="shared" si="269"/>
        <v>0.22118033375591001</v>
      </c>
      <c r="I2419">
        <f t="shared" si="270"/>
        <v>0.20181787771674109</v>
      </c>
      <c r="K2419" s="5">
        <f t="shared" si="271"/>
        <v>1040.1965426528918</v>
      </c>
      <c r="L2419" s="5">
        <f t="shared" si="272"/>
        <v>0.19981787771674109</v>
      </c>
    </row>
    <row r="2420" spans="2:12">
      <c r="B2420">
        <v>23.55859375</v>
      </c>
      <c r="C2420">
        <v>3.9288089610636199</v>
      </c>
      <c r="D2420">
        <v>42.581398437499999</v>
      </c>
      <c r="E2420" s="5">
        <f t="shared" si="267"/>
        <v>42581.3984375</v>
      </c>
      <c r="F2420" s="5">
        <v>2.2136536426842199</v>
      </c>
      <c r="G2420">
        <f t="shared" si="268"/>
        <v>851.62796875000004</v>
      </c>
      <c r="H2420">
        <f t="shared" si="269"/>
        <v>0.22136536426842199</v>
      </c>
      <c r="I2420">
        <f t="shared" si="270"/>
        <v>0.20196938400218384</v>
      </c>
      <c r="K2420" s="5">
        <f t="shared" si="271"/>
        <v>1040.14890427352</v>
      </c>
      <c r="L2420" s="5">
        <f t="shared" si="272"/>
        <v>0.19996938400218384</v>
      </c>
    </row>
    <row r="2421" spans="2:12">
      <c r="B2421">
        <v>23.568359375</v>
      </c>
      <c r="C2421">
        <v>3.9316746406257201</v>
      </c>
      <c r="D2421">
        <v>42.56033984375</v>
      </c>
      <c r="E2421" s="5">
        <f t="shared" si="267"/>
        <v>42560.33984375</v>
      </c>
      <c r="F2421" s="5">
        <v>2.2154825273901202</v>
      </c>
      <c r="G2421">
        <f t="shared" si="268"/>
        <v>851.20679687500001</v>
      </c>
      <c r="H2421">
        <f t="shared" si="269"/>
        <v>0.22154825273901202</v>
      </c>
      <c r="I2421">
        <f t="shared" si="270"/>
        <v>0.20211911379177486</v>
      </c>
      <c r="K2421" s="5">
        <f t="shared" si="271"/>
        <v>1039.7901754422273</v>
      </c>
      <c r="L2421" s="5">
        <f t="shared" si="272"/>
        <v>0.20011911379177486</v>
      </c>
    </row>
    <row r="2422" spans="2:12">
      <c r="B2422">
        <v>23.578125</v>
      </c>
      <c r="C2422">
        <v>3.9321104995906402</v>
      </c>
      <c r="D2422">
        <v>42.544335937500001</v>
      </c>
      <c r="E2422" s="5">
        <f t="shared" si="267"/>
        <v>42544.3359375</v>
      </c>
      <c r="F2422" s="5">
        <v>2.21720454283059</v>
      </c>
      <c r="G2422">
        <f t="shared" si="268"/>
        <v>850.88671875</v>
      </c>
      <c r="H2422">
        <f t="shared" si="269"/>
        <v>0.221720454283059</v>
      </c>
      <c r="I2422">
        <f t="shared" si="270"/>
        <v>0.20226007376382973</v>
      </c>
      <c r="K2422" s="5">
        <f t="shared" si="271"/>
        <v>1039.5457085746716</v>
      </c>
      <c r="L2422" s="5">
        <f t="shared" si="272"/>
        <v>0.20026007376382973</v>
      </c>
    </row>
    <row r="2423" spans="2:12">
      <c r="B2423">
        <v>23.587890625</v>
      </c>
      <c r="C2423">
        <v>3.9367862045764901</v>
      </c>
      <c r="D2423">
        <v>42.525039062499999</v>
      </c>
      <c r="E2423" s="5">
        <f t="shared" si="267"/>
        <v>42525.0390625</v>
      </c>
      <c r="F2423" s="5">
        <v>2.2188609000295401</v>
      </c>
      <c r="G2423">
        <f t="shared" si="268"/>
        <v>850.50078125000005</v>
      </c>
      <c r="H2423">
        <f t="shared" si="269"/>
        <v>0.22188609000295401</v>
      </c>
      <c r="I2423">
        <f t="shared" si="270"/>
        <v>0.20239564036765628</v>
      </c>
      <c r="K2423" s="5">
        <f t="shared" si="271"/>
        <v>1039.2150741460202</v>
      </c>
      <c r="L2423" s="5">
        <f t="shared" si="272"/>
        <v>0.20039564036765628</v>
      </c>
    </row>
    <row r="2424" spans="2:12">
      <c r="B2424">
        <v>23.59765625</v>
      </c>
      <c r="C2424">
        <v>3.9357775822281802</v>
      </c>
      <c r="D2424">
        <v>42.511988281249998</v>
      </c>
      <c r="E2424" s="5">
        <f t="shared" si="267"/>
        <v>42511.98828125</v>
      </c>
      <c r="F2424" s="5">
        <v>2.22062482498586</v>
      </c>
      <c r="G2424">
        <f t="shared" si="268"/>
        <v>850.23976562500002</v>
      </c>
      <c r="H2424">
        <f t="shared" si="269"/>
        <v>0.22206248249858601</v>
      </c>
      <c r="I2424">
        <f t="shared" si="270"/>
        <v>0.20253999078314616</v>
      </c>
      <c r="K2424" s="5">
        <f t="shared" si="271"/>
        <v>1039.0461186987034</v>
      </c>
      <c r="L2424" s="5">
        <f t="shared" si="272"/>
        <v>0.20053999078314616</v>
      </c>
    </row>
    <row r="2425" spans="2:12">
      <c r="B2425">
        <v>23.607421875</v>
      </c>
      <c r="C2425">
        <v>3.9376397617161301</v>
      </c>
      <c r="D2425">
        <v>42.49909375</v>
      </c>
      <c r="E2425" s="5">
        <f t="shared" si="267"/>
        <v>42499.09375</v>
      </c>
      <c r="F2425" s="5">
        <v>2.2223899140954</v>
      </c>
      <c r="G2425">
        <f t="shared" si="268"/>
        <v>849.98187499999995</v>
      </c>
      <c r="H2425">
        <f t="shared" si="269"/>
        <v>0.22223899140954001</v>
      </c>
      <c r="I2425">
        <f t="shared" si="270"/>
        <v>0.20268441561219852</v>
      </c>
      <c r="K2425" s="5">
        <f t="shared" si="271"/>
        <v>1038.8809896163896</v>
      </c>
      <c r="L2425" s="5">
        <f t="shared" si="272"/>
        <v>0.20068441561219852</v>
      </c>
    </row>
    <row r="2426" spans="2:12">
      <c r="B2426">
        <v>23.6171875</v>
      </c>
      <c r="C2426">
        <v>3.93946375697851</v>
      </c>
      <c r="D2426">
        <v>42.512320312500002</v>
      </c>
      <c r="E2426" s="5">
        <f t="shared" si="267"/>
        <v>42512.3203125</v>
      </c>
      <c r="F2426" s="5">
        <v>2.2242758423089999</v>
      </c>
      <c r="G2426">
        <f t="shared" si="268"/>
        <v>850.24640624999995</v>
      </c>
      <c r="H2426">
        <f t="shared" si="269"/>
        <v>0.22242758423089998</v>
      </c>
      <c r="I2426">
        <f t="shared" si="270"/>
        <v>0.20283870480943583</v>
      </c>
      <c r="K2426" s="5">
        <f t="shared" si="271"/>
        <v>1039.3646603931918</v>
      </c>
      <c r="L2426" s="5">
        <f t="shared" si="272"/>
        <v>0.20083870480943583</v>
      </c>
    </row>
    <row r="2427" spans="2:12">
      <c r="B2427">
        <v>23.626953125</v>
      </c>
      <c r="C2427">
        <v>3.9423992857336998</v>
      </c>
      <c r="D2427">
        <v>42.493257812499998</v>
      </c>
      <c r="E2427" s="5">
        <f t="shared" si="267"/>
        <v>42493.2578125</v>
      </c>
      <c r="F2427" s="5">
        <v>2.2261925041675599</v>
      </c>
      <c r="G2427">
        <f t="shared" si="268"/>
        <v>849.86515625000004</v>
      </c>
      <c r="H2427">
        <f t="shared" si="269"/>
        <v>0.22261925041675598</v>
      </c>
      <c r="I2427">
        <f t="shared" si="270"/>
        <v>0.20299548396272846</v>
      </c>
      <c r="K2427" s="5">
        <f t="shared" si="271"/>
        <v>1039.0615002896941</v>
      </c>
      <c r="L2427" s="5">
        <f t="shared" si="272"/>
        <v>0.20099548396272846</v>
      </c>
    </row>
    <row r="2428" spans="2:12">
      <c r="B2428">
        <v>23.63671875</v>
      </c>
      <c r="C2428">
        <v>3.9432025514543101</v>
      </c>
      <c r="D2428">
        <v>42.491160156249997</v>
      </c>
      <c r="E2428" s="5">
        <f t="shared" si="267"/>
        <v>42491.16015625</v>
      </c>
      <c r="F2428" s="5">
        <v>2.2280337288975698</v>
      </c>
      <c r="G2428">
        <f t="shared" si="268"/>
        <v>849.82320312499996</v>
      </c>
      <c r="H2428">
        <f t="shared" si="269"/>
        <v>0.22280337288975699</v>
      </c>
      <c r="I2428">
        <f t="shared" si="270"/>
        <v>0.20314606936387275</v>
      </c>
      <c r="K2428" s="5">
        <f t="shared" si="271"/>
        <v>1039.166679141227</v>
      </c>
      <c r="L2428" s="5">
        <f t="shared" si="272"/>
        <v>0.20114606936387275</v>
      </c>
    </row>
    <row r="2429" spans="2:12">
      <c r="B2429">
        <v>23.646484375</v>
      </c>
      <c r="C2429">
        <v>3.9437161758542101</v>
      </c>
      <c r="D2429">
        <v>42.482500000000002</v>
      </c>
      <c r="E2429" s="5">
        <f t="shared" si="267"/>
        <v>42482.5</v>
      </c>
      <c r="F2429" s="5">
        <v>2.2298058029264198</v>
      </c>
      <c r="G2429">
        <f t="shared" si="268"/>
        <v>849.65</v>
      </c>
      <c r="H2429">
        <f t="shared" si="269"/>
        <v>0.22298058029264198</v>
      </c>
      <c r="I2429">
        <f t="shared" si="270"/>
        <v>0.20329097783214892</v>
      </c>
      <c r="K2429" s="5">
        <f t="shared" si="271"/>
        <v>1039.1054500456432</v>
      </c>
      <c r="L2429" s="5">
        <f t="shared" si="272"/>
        <v>0.20129097783214892</v>
      </c>
    </row>
    <row r="2430" spans="2:12">
      <c r="B2430">
        <v>23.65625</v>
      </c>
      <c r="C2430">
        <v>3.94647568464279</v>
      </c>
      <c r="D2430">
        <v>42.466359375000003</v>
      </c>
      <c r="E2430" s="5">
        <f t="shared" si="267"/>
        <v>42466.359375</v>
      </c>
      <c r="F2430" s="5">
        <v>2.2315026726573701</v>
      </c>
      <c r="G2430">
        <f t="shared" si="268"/>
        <v>849.32718750000004</v>
      </c>
      <c r="H2430">
        <f t="shared" si="269"/>
        <v>0.223150267265737</v>
      </c>
      <c r="I2430">
        <f t="shared" si="270"/>
        <v>0.20342971691353268</v>
      </c>
      <c r="K2430" s="5">
        <f t="shared" si="271"/>
        <v>1038.8547763866818</v>
      </c>
      <c r="L2430" s="5">
        <f t="shared" si="272"/>
        <v>0.20142971691353267</v>
      </c>
    </row>
    <row r="2431" spans="2:12">
      <c r="B2431">
        <v>23.666015625</v>
      </c>
      <c r="C2431">
        <v>3.9479681290686099</v>
      </c>
      <c r="D2431">
        <v>42.464429687500001</v>
      </c>
      <c r="E2431" s="5">
        <f t="shared" si="267"/>
        <v>42464.4296875</v>
      </c>
      <c r="F2431" s="5">
        <v>2.2332407534122498</v>
      </c>
      <c r="G2431">
        <f t="shared" si="268"/>
        <v>849.28859375000002</v>
      </c>
      <c r="H2431">
        <f t="shared" si="269"/>
        <v>0.22332407534122498</v>
      </c>
      <c r="I2431">
        <f t="shared" si="270"/>
        <v>0.20357180552877238</v>
      </c>
      <c r="K2431" s="5">
        <f t="shared" si="271"/>
        <v>1038.955183647068</v>
      </c>
      <c r="L2431" s="5">
        <f t="shared" si="272"/>
        <v>0.20157180552877238</v>
      </c>
    </row>
    <row r="2432" spans="2:12">
      <c r="B2432">
        <v>23.67578125</v>
      </c>
      <c r="C2432">
        <v>3.9491103962063798</v>
      </c>
      <c r="D2432">
        <v>42.439542968749997</v>
      </c>
      <c r="E2432" s="5">
        <f t="shared" si="267"/>
        <v>42439.54296875</v>
      </c>
      <c r="F2432" s="5">
        <v>2.2349692881107299</v>
      </c>
      <c r="G2432">
        <f t="shared" si="268"/>
        <v>848.79085937499997</v>
      </c>
      <c r="H2432">
        <f t="shared" si="269"/>
        <v>0.223496928811073</v>
      </c>
      <c r="I2432">
        <f t="shared" si="270"/>
        <v>0.20371309373076379</v>
      </c>
      <c r="K2432" s="5">
        <f t="shared" si="271"/>
        <v>1038.493009648224</v>
      </c>
      <c r="L2432" s="5">
        <f t="shared" si="272"/>
        <v>0.20171309373076379</v>
      </c>
    </row>
    <row r="2433" spans="2:12">
      <c r="B2433">
        <v>23.685546875</v>
      </c>
      <c r="C2433">
        <v>3.9500514976680301</v>
      </c>
      <c r="D2433">
        <v>42.416441406250001</v>
      </c>
      <c r="E2433" s="5">
        <f t="shared" si="267"/>
        <v>42416.44140625</v>
      </c>
      <c r="F2433" s="5">
        <v>2.2368312347680299</v>
      </c>
      <c r="G2433">
        <f t="shared" si="268"/>
        <v>848.32882812499997</v>
      </c>
      <c r="H2433">
        <f t="shared" si="269"/>
        <v>0.223683123476803</v>
      </c>
      <c r="I2433">
        <f t="shared" si="270"/>
        <v>0.20386526452499301</v>
      </c>
      <c r="K2433" s="5">
        <f t="shared" si="271"/>
        <v>1038.085670135416</v>
      </c>
      <c r="L2433" s="5">
        <f t="shared" si="272"/>
        <v>0.20186526452499301</v>
      </c>
    </row>
    <row r="2434" spans="2:12">
      <c r="B2434">
        <v>23.6953125</v>
      </c>
      <c r="C2434">
        <v>3.9522103033959901</v>
      </c>
      <c r="D2434">
        <v>42.418097656249998</v>
      </c>
      <c r="E2434" s="5">
        <f t="shared" si="267"/>
        <v>42418.09765625</v>
      </c>
      <c r="F2434" s="5">
        <v>2.2386910859495401</v>
      </c>
      <c r="G2434">
        <f t="shared" si="268"/>
        <v>848.36195312500001</v>
      </c>
      <c r="H2434">
        <f t="shared" si="269"/>
        <v>0.22386910859495401</v>
      </c>
      <c r="I2434">
        <f t="shared" si="270"/>
        <v>0.20401724094949733</v>
      </c>
      <c r="K2434" s="5">
        <f t="shared" si="271"/>
        <v>1038.283987336968</v>
      </c>
      <c r="L2434" s="5">
        <f t="shared" si="272"/>
        <v>0.20201724094949733</v>
      </c>
    </row>
    <row r="2435" spans="2:12">
      <c r="B2435">
        <v>23.705078125</v>
      </c>
      <c r="C2435">
        <v>3.95540613681078</v>
      </c>
      <c r="D2435">
        <v>42.400750000000002</v>
      </c>
      <c r="E2435" s="5">
        <f t="shared" si="267"/>
        <v>42400.75</v>
      </c>
      <c r="F2435" s="5">
        <v>2.2406119387596801</v>
      </c>
      <c r="G2435">
        <f t="shared" si="268"/>
        <v>848.01499999999999</v>
      </c>
      <c r="H2435">
        <f t="shared" si="269"/>
        <v>0.22406119387596801</v>
      </c>
      <c r="I2435">
        <f t="shared" si="270"/>
        <v>0.20417417783713204</v>
      </c>
      <c r="K2435" s="5">
        <f t="shared" si="271"/>
        <v>1038.022253324729</v>
      </c>
      <c r="L2435" s="5">
        <f t="shared" si="272"/>
        <v>0.20217417783713204</v>
      </c>
    </row>
    <row r="2436" spans="2:12">
      <c r="B2436">
        <v>23.71484375</v>
      </c>
      <c r="C2436">
        <v>3.9545521140098598</v>
      </c>
      <c r="D2436">
        <v>42.389738281249997</v>
      </c>
      <c r="E2436" s="5">
        <f t="shared" si="267"/>
        <v>42389.73828125</v>
      </c>
      <c r="F2436" s="5">
        <v>2.24232883192599</v>
      </c>
      <c r="G2436">
        <f t="shared" si="268"/>
        <v>847.79476562499997</v>
      </c>
      <c r="H2436">
        <f t="shared" si="269"/>
        <v>0.22423288319259899</v>
      </c>
      <c r="I2436">
        <f t="shared" si="270"/>
        <v>0.2043144300384673</v>
      </c>
      <c r="K2436" s="5">
        <f t="shared" si="271"/>
        <v>1037.8982302766874</v>
      </c>
      <c r="L2436" s="5">
        <f t="shared" si="272"/>
        <v>0.2023144300384673</v>
      </c>
    </row>
    <row r="2437" spans="2:12">
      <c r="B2437">
        <v>23.724609375</v>
      </c>
      <c r="C2437">
        <v>3.9580031298100899</v>
      </c>
      <c r="D2437">
        <v>42.389515625000001</v>
      </c>
      <c r="E2437" s="5">
        <f t="shared" si="267"/>
        <v>42389.515625</v>
      </c>
      <c r="F2437" s="5">
        <v>2.24411301314831</v>
      </c>
      <c r="G2437">
        <f t="shared" si="268"/>
        <v>847.79031250000003</v>
      </c>
      <c r="H2437">
        <f t="shared" si="269"/>
        <v>0.224411301314831</v>
      </c>
      <c r="I2437">
        <f t="shared" si="270"/>
        <v>0.20446015813050825</v>
      </c>
      <c r="K2437" s="5">
        <f t="shared" si="271"/>
        <v>1038.0440397702323</v>
      </c>
      <c r="L2437" s="5">
        <f t="shared" si="272"/>
        <v>0.20246015813050824</v>
      </c>
    </row>
    <row r="2438" spans="2:12">
      <c r="B2438">
        <v>23.734375</v>
      </c>
      <c r="C2438">
        <v>3.9580245502293101</v>
      </c>
      <c r="D2438">
        <v>42.366453125</v>
      </c>
      <c r="E2438" s="5">
        <f t="shared" si="267"/>
        <v>42366.453125</v>
      </c>
      <c r="F2438" s="5">
        <v>2.2459255997091501</v>
      </c>
      <c r="G2438">
        <f t="shared" si="268"/>
        <v>847.32906249999996</v>
      </c>
      <c r="H2438">
        <f t="shared" si="269"/>
        <v>0.22459255997091501</v>
      </c>
      <c r="I2438">
        <f t="shared" si="270"/>
        <v>0.20460818456630153</v>
      </c>
      <c r="K2438" s="5">
        <f t="shared" si="271"/>
        <v>1037.6328657846304</v>
      </c>
      <c r="L2438" s="5">
        <f t="shared" si="272"/>
        <v>0.20260818456630153</v>
      </c>
    </row>
    <row r="2439" spans="2:12">
      <c r="B2439">
        <v>23.744140625</v>
      </c>
      <c r="C2439">
        <v>3.9611943066120099</v>
      </c>
      <c r="D2439">
        <v>42.35669140625</v>
      </c>
      <c r="E2439" s="5">
        <f t="shared" si="267"/>
        <v>42356.69140625</v>
      </c>
      <c r="F2439" s="5">
        <v>2.2476394660770902</v>
      </c>
      <c r="G2439">
        <f t="shared" si="268"/>
        <v>847.13382812500004</v>
      </c>
      <c r="H2439">
        <f t="shared" si="269"/>
        <v>0.22476394660770901</v>
      </c>
      <c r="I2439">
        <f t="shared" si="270"/>
        <v>0.20474812878153784</v>
      </c>
      <c r="K2439" s="5">
        <f t="shared" si="271"/>
        <v>1037.5389706392716</v>
      </c>
      <c r="L2439" s="5">
        <f t="shared" si="272"/>
        <v>0.20274812878153783</v>
      </c>
    </row>
    <row r="2440" spans="2:12">
      <c r="B2440">
        <v>23.75390625</v>
      </c>
      <c r="C2440">
        <v>3.9627263322472599</v>
      </c>
      <c r="D2440">
        <v>42.350617187499999</v>
      </c>
      <c r="E2440" s="5">
        <f t="shared" si="267"/>
        <v>42350.6171875</v>
      </c>
      <c r="F2440" s="5">
        <v>2.2494466975331302</v>
      </c>
      <c r="G2440">
        <f t="shared" si="268"/>
        <v>847.01234375000001</v>
      </c>
      <c r="H2440">
        <f t="shared" si="269"/>
        <v>0.22494466975331301</v>
      </c>
      <c r="I2440">
        <f t="shared" si="270"/>
        <v>0.20489567542829001</v>
      </c>
      <c r="K2440" s="5">
        <f t="shared" si="271"/>
        <v>1037.5432556918236</v>
      </c>
      <c r="L2440" s="5">
        <f t="shared" si="272"/>
        <v>0.20289567542829001</v>
      </c>
    </row>
    <row r="2441" spans="2:12">
      <c r="B2441">
        <v>23.763671875</v>
      </c>
      <c r="C2441">
        <v>3.9648651145398599</v>
      </c>
      <c r="D2441">
        <v>42.34838671875</v>
      </c>
      <c r="E2441" s="5">
        <f t="shared" ref="E2441:E2504" si="273" xml:space="preserve"> D2441*R$3</f>
        <v>42348.38671875</v>
      </c>
      <c r="F2441" s="5">
        <v>2.2512874566018599</v>
      </c>
      <c r="G2441">
        <f t="shared" ref="G2441:G2504" si="274" xml:space="preserve"> E2441/C$3</f>
        <v>846.96773437499996</v>
      </c>
      <c r="H2441">
        <f t="shared" ref="H2441:H2504" si="275" xml:space="preserve"> F2441/C$4</f>
        <v>0.22512874566018598</v>
      </c>
      <c r="I2441">
        <f t="shared" ref="I2441:I2504" si="276">L2441+0.002</f>
        <v>0.20504593697234114</v>
      </c>
      <c r="K2441" s="5">
        <f t="shared" ref="K2441:K2504" si="277" xml:space="preserve"> G2441 * (1 + H2441)</f>
        <v>1037.6445180294934</v>
      </c>
      <c r="L2441" s="5">
        <f t="shared" ref="L2441:L2504" si="278">LN(1 + H2441)</f>
        <v>0.20304593697234113</v>
      </c>
    </row>
    <row r="2442" spans="2:12">
      <c r="B2442">
        <v>23.7734375</v>
      </c>
      <c r="C2442">
        <v>3.96597990766168</v>
      </c>
      <c r="D2442">
        <v>42.335882812500003</v>
      </c>
      <c r="E2442" s="5">
        <f t="shared" si="273"/>
        <v>42335.8828125</v>
      </c>
      <c r="F2442" s="5">
        <v>2.2530569694936302</v>
      </c>
      <c r="G2442">
        <f t="shared" si="274"/>
        <v>846.71765625</v>
      </c>
      <c r="H2442">
        <f t="shared" si="275"/>
        <v>0.22530569694936303</v>
      </c>
      <c r="I2442">
        <f t="shared" si="276"/>
        <v>0.20519036139472729</v>
      </c>
      <c r="K2442" s="5">
        <f t="shared" si="277"/>
        <v>1037.4879679107373</v>
      </c>
      <c r="L2442" s="5">
        <f t="shared" si="278"/>
        <v>0.20319036139472729</v>
      </c>
    </row>
    <row r="2443" spans="2:12">
      <c r="B2443">
        <v>23.783203125</v>
      </c>
      <c r="C2443">
        <v>3.96759295836091</v>
      </c>
      <c r="D2443">
        <v>42.335609374999997</v>
      </c>
      <c r="E2443" s="5">
        <f t="shared" si="273"/>
        <v>42335.609375</v>
      </c>
      <c r="F2443" s="5">
        <v>2.2549133282154799</v>
      </c>
      <c r="G2443">
        <f t="shared" si="274"/>
        <v>846.71218750000003</v>
      </c>
      <c r="H2443">
        <f t="shared" si="275"/>
        <v>0.22549133282154799</v>
      </c>
      <c r="I2443">
        <f t="shared" si="276"/>
        <v>0.205341851599983</v>
      </c>
      <c r="K2443" s="5">
        <f t="shared" si="277"/>
        <v>1037.6384471756235</v>
      </c>
      <c r="L2443" s="5">
        <f t="shared" si="278"/>
        <v>0.203341851599983</v>
      </c>
    </row>
    <row r="2444" spans="2:12">
      <c r="B2444">
        <v>23.79296875</v>
      </c>
      <c r="C2444">
        <v>3.9708204567432399</v>
      </c>
      <c r="D2444">
        <v>42.341910156250002</v>
      </c>
      <c r="E2444" s="5">
        <f t="shared" si="273"/>
        <v>42341.91015625</v>
      </c>
      <c r="F2444" s="5">
        <v>2.2567741107195598</v>
      </c>
      <c r="G2444">
        <f t="shared" si="274"/>
        <v>846.83820312499995</v>
      </c>
      <c r="H2444">
        <f t="shared" si="275"/>
        <v>0.22567741107195599</v>
      </c>
      <c r="I2444">
        <f t="shared" si="276"/>
        <v>0.20549367978498981</v>
      </c>
      <c r="K2444" s="5">
        <f t="shared" si="277"/>
        <v>1037.9504564030772</v>
      </c>
      <c r="L2444" s="5">
        <f t="shared" si="278"/>
        <v>0.20349367978498981</v>
      </c>
    </row>
    <row r="2445" spans="2:12">
      <c r="B2445">
        <v>23.802734375</v>
      </c>
      <c r="C2445">
        <v>3.97083954885602</v>
      </c>
      <c r="D2445">
        <v>42.318808593749999</v>
      </c>
      <c r="E2445" s="5">
        <f t="shared" si="273"/>
        <v>42318.80859375</v>
      </c>
      <c r="F2445" s="5">
        <v>2.2585673723369801</v>
      </c>
      <c r="G2445">
        <f t="shared" si="274"/>
        <v>846.37617187499995</v>
      </c>
      <c r="H2445">
        <f t="shared" si="275"/>
        <v>0.22585673723369801</v>
      </c>
      <c r="I2445">
        <f t="shared" si="276"/>
        <v>0.20563997687996258</v>
      </c>
      <c r="K2445" s="5">
        <f t="shared" si="277"/>
        <v>1037.5359325270349</v>
      </c>
      <c r="L2445" s="5">
        <f t="shared" si="278"/>
        <v>0.20363997687996258</v>
      </c>
    </row>
    <row r="2446" spans="2:12">
      <c r="B2446">
        <v>23.8125</v>
      </c>
      <c r="C2446">
        <v>3.9733881130814601</v>
      </c>
      <c r="D2446">
        <v>42.296011718750002</v>
      </c>
      <c r="E2446" s="5">
        <f t="shared" si="273"/>
        <v>42296.01171875</v>
      </c>
      <c r="F2446" s="5">
        <v>2.2604200057685402</v>
      </c>
      <c r="G2446">
        <f t="shared" si="274"/>
        <v>845.92023437499995</v>
      </c>
      <c r="H2446">
        <f t="shared" si="275"/>
        <v>0.22604200057685403</v>
      </c>
      <c r="I2446">
        <f t="shared" si="276"/>
        <v>0.20579109514651389</v>
      </c>
      <c r="K2446" s="5">
        <f t="shared" si="277"/>
        <v>1037.1337364815661</v>
      </c>
      <c r="L2446" s="5">
        <f t="shared" si="278"/>
        <v>0.20379109514651389</v>
      </c>
    </row>
    <row r="2447" spans="2:12">
      <c r="B2447">
        <v>23.822265625</v>
      </c>
      <c r="C2447">
        <v>3.9743343368172601</v>
      </c>
      <c r="D2447">
        <v>42.278226562500002</v>
      </c>
      <c r="E2447" s="5">
        <f t="shared" si="273"/>
        <v>42278.2265625</v>
      </c>
      <c r="F2447" s="5">
        <v>2.26215831935406</v>
      </c>
      <c r="G2447">
        <f t="shared" si="274"/>
        <v>845.56453124999996</v>
      </c>
      <c r="H2447">
        <f t="shared" si="275"/>
        <v>0.22621583193540601</v>
      </c>
      <c r="I2447">
        <f t="shared" si="276"/>
        <v>0.20593286764411872</v>
      </c>
      <c r="K2447" s="5">
        <f t="shared" si="277"/>
        <v>1036.8446151417902</v>
      </c>
      <c r="L2447" s="5">
        <f t="shared" si="278"/>
        <v>0.20393286764411872</v>
      </c>
    </row>
    <row r="2448" spans="2:12">
      <c r="B2448">
        <v>23.83203125</v>
      </c>
      <c r="C2448">
        <v>3.97599814459682</v>
      </c>
      <c r="D2448">
        <v>42.268472656249997</v>
      </c>
      <c r="E2448" s="5">
        <f t="shared" si="273"/>
        <v>42268.47265625</v>
      </c>
      <c r="F2448" s="5">
        <v>2.2640121169388299</v>
      </c>
      <c r="G2448">
        <f t="shared" si="274"/>
        <v>845.36945312499995</v>
      </c>
      <c r="H2448">
        <f t="shared" si="275"/>
        <v>0.226401211693883</v>
      </c>
      <c r="I2448">
        <f t="shared" si="276"/>
        <v>0.20608403658369007</v>
      </c>
      <c r="K2448" s="5">
        <f t="shared" si="277"/>
        <v>1036.762121641495</v>
      </c>
      <c r="L2448" s="5">
        <f t="shared" si="278"/>
        <v>0.20408403658369006</v>
      </c>
    </row>
    <row r="2449" spans="2:12">
      <c r="B2449">
        <v>23.841796875</v>
      </c>
      <c r="C2449">
        <v>3.97739326581359</v>
      </c>
      <c r="D2449">
        <v>42.247597656250001</v>
      </c>
      <c r="E2449" s="5">
        <f t="shared" si="273"/>
        <v>42247.59765625</v>
      </c>
      <c r="F2449" s="5">
        <v>2.2657494992017702</v>
      </c>
      <c r="G2449">
        <f t="shared" si="274"/>
        <v>844.95195312500005</v>
      </c>
      <c r="H2449">
        <f t="shared" si="275"/>
        <v>0.22657494992017702</v>
      </c>
      <c r="I2449">
        <f t="shared" si="276"/>
        <v>0.20622569163057014</v>
      </c>
      <c r="K2449" s="5">
        <f t="shared" si="277"/>
        <v>1036.3968995892526</v>
      </c>
      <c r="L2449" s="5">
        <f t="shared" si="278"/>
        <v>0.20422569163057014</v>
      </c>
    </row>
    <row r="2450" spans="2:12">
      <c r="B2450">
        <v>23.8515625</v>
      </c>
      <c r="C2450">
        <v>3.97880794480443</v>
      </c>
      <c r="D2450">
        <v>42.2365390625</v>
      </c>
      <c r="E2450" s="5">
        <f t="shared" si="273"/>
        <v>42236.5390625</v>
      </c>
      <c r="F2450" s="5">
        <v>2.2675052750855702</v>
      </c>
      <c r="G2450">
        <f t="shared" si="274"/>
        <v>844.73078124999995</v>
      </c>
      <c r="H2450">
        <f t="shared" si="275"/>
        <v>0.22675052750855701</v>
      </c>
      <c r="I2450">
        <f t="shared" si="276"/>
        <v>0.20636882599272077</v>
      </c>
      <c r="K2450" s="5">
        <f t="shared" si="277"/>
        <v>1036.2739315011529</v>
      </c>
      <c r="L2450" s="5">
        <f t="shared" si="278"/>
        <v>0.20436882599272077</v>
      </c>
    </row>
    <row r="2451" spans="2:12">
      <c r="B2451">
        <v>23.861328125</v>
      </c>
      <c r="C2451">
        <v>3.97986685857177</v>
      </c>
      <c r="D2451">
        <v>42.205687500000003</v>
      </c>
      <c r="E2451" s="5">
        <f t="shared" si="273"/>
        <v>42205.6875</v>
      </c>
      <c r="F2451" s="5">
        <v>2.2693080827593799</v>
      </c>
      <c r="G2451">
        <f t="shared" si="274"/>
        <v>844.11374999999998</v>
      </c>
      <c r="H2451">
        <f t="shared" si="275"/>
        <v>0.22693080827593798</v>
      </c>
      <c r="I2451">
        <f t="shared" si="276"/>
        <v>0.20651577316558806</v>
      </c>
      <c r="K2451" s="5">
        <f t="shared" si="277"/>
        <v>1035.6691655643331</v>
      </c>
      <c r="L2451" s="5">
        <f t="shared" si="278"/>
        <v>0.20451577316558806</v>
      </c>
    </row>
    <row r="2452" spans="2:12">
      <c r="B2452">
        <v>23.87109375</v>
      </c>
      <c r="C2452">
        <v>3.98207176476717</v>
      </c>
      <c r="D2452">
        <v>42.196925781250002</v>
      </c>
      <c r="E2452" s="5">
        <f t="shared" si="273"/>
        <v>42196.92578125</v>
      </c>
      <c r="F2452" s="5">
        <v>2.2710245102644002</v>
      </c>
      <c r="G2452">
        <f t="shared" si="274"/>
        <v>843.93851562500004</v>
      </c>
      <c r="H2452">
        <f t="shared" si="275"/>
        <v>0.22710245102644003</v>
      </c>
      <c r="I2452">
        <f t="shared" si="276"/>
        <v>0.20665565941214264</v>
      </c>
      <c r="K2452" s="5">
        <f t="shared" si="277"/>
        <v>1035.5990210390532</v>
      </c>
      <c r="L2452" s="5">
        <f t="shared" si="278"/>
        <v>0.20465565941214264</v>
      </c>
    </row>
    <row r="2453" spans="2:12">
      <c r="B2453">
        <v>23.880859375</v>
      </c>
      <c r="C2453">
        <v>3.98338912054896</v>
      </c>
      <c r="D2453">
        <v>42.166527343749998</v>
      </c>
      <c r="E2453" s="5">
        <f t="shared" si="273"/>
        <v>42166.52734375</v>
      </c>
      <c r="F2453" s="5">
        <v>2.2727584000676901</v>
      </c>
      <c r="G2453">
        <f t="shared" si="274"/>
        <v>843.33054687499998</v>
      </c>
      <c r="H2453">
        <f t="shared" si="275"/>
        <v>0.22727584000676901</v>
      </c>
      <c r="I2453">
        <f t="shared" si="276"/>
        <v>0.20679694894460854</v>
      </c>
      <c r="K2453" s="5">
        <f t="shared" si="277"/>
        <v>1034.9992053193835</v>
      </c>
      <c r="L2453" s="5">
        <f t="shared" si="278"/>
        <v>0.20479694894460854</v>
      </c>
    </row>
    <row r="2454" spans="2:12">
      <c r="B2454">
        <v>23.890625</v>
      </c>
      <c r="C2454">
        <v>3.9850375615060298</v>
      </c>
      <c r="D2454">
        <v>42.169269531250002</v>
      </c>
      <c r="E2454" s="5">
        <f t="shared" si="273"/>
        <v>42169.26953125</v>
      </c>
      <c r="F2454" s="5">
        <v>2.2745246533304502</v>
      </c>
      <c r="G2454">
        <f t="shared" si="274"/>
        <v>843.38539062500001</v>
      </c>
      <c r="H2454">
        <f t="shared" si="275"/>
        <v>0.22745246533304503</v>
      </c>
      <c r="I2454">
        <f t="shared" si="276"/>
        <v>0.20694085515711819</v>
      </c>
      <c r="K2454" s="5">
        <f t="shared" si="277"/>
        <v>1035.2154769485294</v>
      </c>
      <c r="L2454" s="5">
        <f t="shared" si="278"/>
        <v>0.20494085515711818</v>
      </c>
    </row>
    <row r="2455" spans="2:12">
      <c r="B2455">
        <v>23.900390625</v>
      </c>
      <c r="C2455">
        <v>3.9867893792688802</v>
      </c>
      <c r="D2455">
        <v>42.19039453125</v>
      </c>
      <c r="E2455" s="5">
        <f t="shared" si="273"/>
        <v>42190.39453125</v>
      </c>
      <c r="F2455" s="5">
        <v>2.2763737943023399</v>
      </c>
      <c r="G2455">
        <f t="shared" si="274"/>
        <v>843.80789062500003</v>
      </c>
      <c r="H2455">
        <f t="shared" si="275"/>
        <v>0.22763737943023399</v>
      </c>
      <c r="I2455">
        <f t="shared" si="276"/>
        <v>0.20709149249361575</v>
      </c>
      <c r="K2455" s="5">
        <f t="shared" si="277"/>
        <v>1035.8901075894285</v>
      </c>
      <c r="L2455" s="5">
        <f t="shared" si="278"/>
        <v>0.20509149249361575</v>
      </c>
    </row>
    <row r="2456" spans="2:12">
      <c r="B2456">
        <v>23.91015625</v>
      </c>
      <c r="C2456">
        <v>3.9886841550469398</v>
      </c>
      <c r="D2456">
        <v>42.187351562499998</v>
      </c>
      <c r="E2456" s="5">
        <f t="shared" si="273"/>
        <v>42187.3515625</v>
      </c>
      <c r="F2456" s="5">
        <v>2.2781374864280202</v>
      </c>
      <c r="G2456">
        <f t="shared" si="274"/>
        <v>843.74703124999996</v>
      </c>
      <c r="H2456">
        <f t="shared" si="275"/>
        <v>0.22781374864280202</v>
      </c>
      <c r="I2456">
        <f t="shared" si="276"/>
        <v>0.20723514773550181</v>
      </c>
      <c r="K2456" s="5">
        <f t="shared" si="277"/>
        <v>1035.9642053452978</v>
      </c>
      <c r="L2456" s="5">
        <f t="shared" si="278"/>
        <v>0.20523514773550181</v>
      </c>
    </row>
    <row r="2457" spans="2:12">
      <c r="B2457">
        <v>23.919921875</v>
      </c>
      <c r="C2457">
        <v>3.9906529709696801</v>
      </c>
      <c r="D2457">
        <v>42.170488281250002</v>
      </c>
      <c r="E2457" s="5">
        <f t="shared" si="273"/>
        <v>42170.48828125</v>
      </c>
      <c r="F2457" s="5">
        <v>2.2799160797148899</v>
      </c>
      <c r="G2457">
        <f t="shared" si="274"/>
        <v>843.40976562499998</v>
      </c>
      <c r="H2457">
        <f t="shared" si="275"/>
        <v>0.22799160797148899</v>
      </c>
      <c r="I2457">
        <f t="shared" si="276"/>
        <v>0.2073799958021606</v>
      </c>
      <c r="K2457" s="5">
        <f t="shared" si="277"/>
        <v>1035.7001142687004</v>
      </c>
      <c r="L2457" s="5">
        <f t="shared" si="278"/>
        <v>0.2053799958021606</v>
      </c>
    </row>
    <row r="2458" spans="2:12">
      <c r="B2458">
        <v>23.9296875</v>
      </c>
      <c r="C2458">
        <v>3.9926045574247802</v>
      </c>
      <c r="D2458">
        <v>42.162113281250001</v>
      </c>
      <c r="E2458" s="5">
        <f t="shared" si="273"/>
        <v>42162.11328125</v>
      </c>
      <c r="F2458" s="5">
        <v>2.2817135322838999</v>
      </c>
      <c r="G2458">
        <f t="shared" si="274"/>
        <v>843.24226562499996</v>
      </c>
      <c r="H2458">
        <f t="shared" si="275"/>
        <v>0.22817135322838999</v>
      </c>
      <c r="I2458">
        <f t="shared" si="276"/>
        <v>0.20752635844996639</v>
      </c>
      <c r="K2458" s="5">
        <f t="shared" si="277"/>
        <v>1035.6459944720298</v>
      </c>
      <c r="L2458" s="5">
        <f t="shared" si="278"/>
        <v>0.20552635844996639</v>
      </c>
    </row>
    <row r="2459" spans="2:12">
      <c r="B2459">
        <v>23.939453125</v>
      </c>
      <c r="C2459">
        <v>3.9923815056681602</v>
      </c>
      <c r="D2459">
        <v>42.1291484375</v>
      </c>
      <c r="E2459" s="5">
        <f t="shared" si="273"/>
        <v>42129.1484375</v>
      </c>
      <c r="F2459" s="5">
        <v>2.2835440468043098</v>
      </c>
      <c r="G2459">
        <f t="shared" si="274"/>
        <v>842.58296874999996</v>
      </c>
      <c r="H2459">
        <f t="shared" si="275"/>
        <v>0.22835440468043097</v>
      </c>
      <c r="I2459">
        <f t="shared" si="276"/>
        <v>0.20767539124702977</v>
      </c>
      <c r="K2459" s="5">
        <f t="shared" si="277"/>
        <v>1034.9905009727763</v>
      </c>
      <c r="L2459" s="5">
        <f t="shared" si="278"/>
        <v>0.20567539124702977</v>
      </c>
    </row>
    <row r="2460" spans="2:12">
      <c r="B2460">
        <v>23.94921875</v>
      </c>
      <c r="C2460">
        <v>3.9962721057236199</v>
      </c>
      <c r="D2460">
        <v>42.114312499999997</v>
      </c>
      <c r="E2460" s="5">
        <f t="shared" si="273"/>
        <v>42114.3125</v>
      </c>
      <c r="F2460" s="5">
        <v>2.2853438276797502</v>
      </c>
      <c r="G2460">
        <f t="shared" si="274"/>
        <v>842.28625</v>
      </c>
      <c r="H2460">
        <f t="shared" si="275"/>
        <v>0.22853438276797503</v>
      </c>
      <c r="I2460">
        <f t="shared" si="276"/>
        <v>0.2078219001885705</v>
      </c>
      <c r="K2460" s="5">
        <f t="shared" si="277"/>
        <v>1034.7776182577024</v>
      </c>
      <c r="L2460" s="5">
        <f t="shared" si="278"/>
        <v>0.20582190018857049</v>
      </c>
    </row>
    <row r="2461" spans="2:12">
      <c r="B2461">
        <v>23.958984375</v>
      </c>
      <c r="C2461">
        <v>3.9968392811715598</v>
      </c>
      <c r="D2461">
        <v>42.103539062499998</v>
      </c>
      <c r="E2461" s="5">
        <f t="shared" si="273"/>
        <v>42103.5390625</v>
      </c>
      <c r="F2461" s="5">
        <v>2.2870681714266499</v>
      </c>
      <c r="G2461">
        <f t="shared" si="274"/>
        <v>842.07078124999998</v>
      </c>
      <c r="H2461">
        <f t="shared" si="275"/>
        <v>0.228706817142665</v>
      </c>
      <c r="I2461">
        <f t="shared" si="276"/>
        <v>0.20796224813241837</v>
      </c>
      <c r="K2461" s="5">
        <f t="shared" si="277"/>
        <v>1034.6581094385247</v>
      </c>
      <c r="L2461" s="5">
        <f t="shared" si="278"/>
        <v>0.20596224813241837</v>
      </c>
    </row>
    <row r="2462" spans="2:12">
      <c r="B2462">
        <v>23.96875</v>
      </c>
      <c r="C2462">
        <v>3.9968681521713698</v>
      </c>
      <c r="D2462">
        <v>42.08809765625</v>
      </c>
      <c r="E2462" s="5">
        <f t="shared" si="273"/>
        <v>42088.09765625</v>
      </c>
      <c r="F2462" s="5">
        <v>2.28881998918951</v>
      </c>
      <c r="G2462">
        <f t="shared" si="274"/>
        <v>841.76195312499999</v>
      </c>
      <c r="H2462">
        <f t="shared" si="275"/>
        <v>0.228881998918951</v>
      </c>
      <c r="I2462">
        <f t="shared" si="276"/>
        <v>0.2081048120759372</v>
      </c>
      <c r="K2462" s="5">
        <f t="shared" si="277"/>
        <v>1034.4261115701704</v>
      </c>
      <c r="L2462" s="5">
        <f t="shared" si="278"/>
        <v>0.2061048120759372</v>
      </c>
    </row>
    <row r="2463" spans="2:12">
      <c r="B2463">
        <v>23.978515625</v>
      </c>
      <c r="C2463">
        <v>3.9996067062020302</v>
      </c>
      <c r="D2463">
        <v>42.094644531249997</v>
      </c>
      <c r="E2463" s="5">
        <f t="shared" si="273"/>
        <v>42094.64453125</v>
      </c>
      <c r="F2463" s="5">
        <v>2.2905552759766601</v>
      </c>
      <c r="G2463">
        <f t="shared" si="274"/>
        <v>841.89289062499995</v>
      </c>
      <c r="H2463">
        <f t="shared" si="275"/>
        <v>0.22905552759766601</v>
      </c>
      <c r="I2463">
        <f t="shared" si="276"/>
        <v>0.20824601068422668</v>
      </c>
      <c r="K2463" s="5">
        <f t="shared" si="277"/>
        <v>1034.7331108678334</v>
      </c>
      <c r="L2463" s="5">
        <f t="shared" si="278"/>
        <v>0.20624601068422668</v>
      </c>
    </row>
    <row r="2464" spans="2:12">
      <c r="B2464">
        <v>23.98828125</v>
      </c>
      <c r="C2464">
        <v>4.00441745296121</v>
      </c>
      <c r="D2464">
        <v>42.093195312500001</v>
      </c>
      <c r="E2464" s="5">
        <f t="shared" si="273"/>
        <v>42093.1953125</v>
      </c>
      <c r="F2464" s="5">
        <v>2.2923867218196401</v>
      </c>
      <c r="G2464">
        <f t="shared" si="274"/>
        <v>841.86390625000001</v>
      </c>
      <c r="H2464">
        <f t="shared" si="275"/>
        <v>0.229238672181964</v>
      </c>
      <c r="I2464">
        <f t="shared" si="276"/>
        <v>0.20839501204025085</v>
      </c>
      <c r="K2464" s="5">
        <f t="shared" si="277"/>
        <v>1034.8516702766715</v>
      </c>
      <c r="L2464" s="5">
        <f t="shared" si="278"/>
        <v>0.20639501204025085</v>
      </c>
    </row>
    <row r="2465" spans="2:12">
      <c r="B2465">
        <v>23.998046875</v>
      </c>
      <c r="C2465">
        <v>4.0052505210042</v>
      </c>
      <c r="D2465">
        <v>42.077746093750001</v>
      </c>
      <c r="E2465" s="5">
        <f t="shared" si="273"/>
        <v>42077.74609375</v>
      </c>
      <c r="F2465" s="5">
        <v>2.2941664792597298</v>
      </c>
      <c r="G2465">
        <f t="shared" si="274"/>
        <v>841.55492187499999</v>
      </c>
      <c r="H2465">
        <f t="shared" si="275"/>
        <v>0.22941664792597299</v>
      </c>
      <c r="I2465">
        <f t="shared" si="276"/>
        <v>0.20853978690386374</v>
      </c>
      <c r="K2465" s="5">
        <f t="shared" si="277"/>
        <v>1034.6216310971665</v>
      </c>
      <c r="L2465" s="5">
        <f t="shared" si="278"/>
        <v>0.20653978690386374</v>
      </c>
    </row>
    <row r="2466" spans="2:12">
      <c r="B2466">
        <v>24.0078125</v>
      </c>
      <c r="C2466">
        <v>4.0042889304459104</v>
      </c>
      <c r="D2466">
        <v>42.070335937499998</v>
      </c>
      <c r="E2466" s="5">
        <f t="shared" si="273"/>
        <v>42070.3359375</v>
      </c>
      <c r="F2466" s="5">
        <v>2.2959543857723501</v>
      </c>
      <c r="G2466">
        <f t="shared" si="274"/>
        <v>841.40671874999998</v>
      </c>
      <c r="H2466">
        <f t="shared" si="275"/>
        <v>0.22959543857723502</v>
      </c>
      <c r="I2466">
        <f t="shared" si="276"/>
        <v>0.20868520355517539</v>
      </c>
      <c r="K2466" s="5">
        <f t="shared" si="277"/>
        <v>1034.5898633632385</v>
      </c>
      <c r="L2466" s="5">
        <f t="shared" si="278"/>
        <v>0.20668520355517539</v>
      </c>
    </row>
    <row r="2467" spans="2:12">
      <c r="B2467">
        <v>24.017578125</v>
      </c>
      <c r="C2467">
        <v>4.0059932507574603</v>
      </c>
      <c r="D2467">
        <v>42.046941406249999</v>
      </c>
      <c r="E2467" s="5">
        <f t="shared" si="273"/>
        <v>42046.94140625</v>
      </c>
      <c r="F2467" s="5">
        <v>2.2977315820753601</v>
      </c>
      <c r="G2467">
        <f t="shared" si="274"/>
        <v>840.93882812499999</v>
      </c>
      <c r="H2467">
        <f t="shared" si="275"/>
        <v>0.22977315820753602</v>
      </c>
      <c r="I2467">
        <f t="shared" si="276"/>
        <v>0.20882972815457274</v>
      </c>
      <c r="K2467" s="5">
        <f t="shared" si="277"/>
        <v>1034.1639985226254</v>
      </c>
      <c r="L2467" s="5">
        <f t="shared" si="278"/>
        <v>0.20682972815457273</v>
      </c>
    </row>
    <row r="2468" spans="2:12">
      <c r="B2468">
        <v>24.02734375</v>
      </c>
      <c r="C2468">
        <v>4.0065953508019403</v>
      </c>
      <c r="D2468">
        <v>42.041933593750002</v>
      </c>
      <c r="E2468" s="5">
        <f t="shared" si="273"/>
        <v>42041.93359375</v>
      </c>
      <c r="F2468" s="5">
        <v>2.29952484369278</v>
      </c>
      <c r="G2468">
        <f t="shared" si="274"/>
        <v>840.83867187500005</v>
      </c>
      <c r="H2468">
        <f t="shared" si="275"/>
        <v>0.22995248436927801</v>
      </c>
      <c r="I2468">
        <f t="shared" si="276"/>
        <v>0.20897553804406255</v>
      </c>
      <c r="K2468" s="5">
        <f t="shared" si="277"/>
        <v>1034.1916134264204</v>
      </c>
      <c r="L2468" s="5">
        <f t="shared" si="278"/>
        <v>0.20697553804406255</v>
      </c>
    </row>
    <row r="2469" spans="2:12">
      <c r="B2469">
        <v>24.037109375</v>
      </c>
      <c r="C2469">
        <v>4.0100016631186</v>
      </c>
      <c r="D2469">
        <v>42.04910546875</v>
      </c>
      <c r="E2469" s="5">
        <f t="shared" si="273"/>
        <v>42049.10546875</v>
      </c>
      <c r="F2469" s="5">
        <v>2.30141147039831</v>
      </c>
      <c r="G2469">
        <f t="shared" si="274"/>
        <v>840.98210937500005</v>
      </c>
      <c r="H2469">
        <f t="shared" si="275"/>
        <v>0.23014114703983099</v>
      </c>
      <c r="I2469">
        <f t="shared" si="276"/>
        <v>0.20912891649154444</v>
      </c>
      <c r="K2469" s="5">
        <f t="shared" si="277"/>
        <v>1034.526696666539</v>
      </c>
      <c r="L2469" s="5">
        <f t="shared" si="278"/>
        <v>0.20712891649154444</v>
      </c>
    </row>
    <row r="2470" spans="2:12">
      <c r="B2470">
        <v>24.046875</v>
      </c>
      <c r="C2470">
        <v>4.0103225037455603</v>
      </c>
      <c r="D2470">
        <v>42.033226562499998</v>
      </c>
      <c r="E2470" s="5">
        <f t="shared" si="273"/>
        <v>42033.2265625</v>
      </c>
      <c r="F2470" s="5">
        <v>2.30328342877328</v>
      </c>
      <c r="G2470">
        <f t="shared" si="274"/>
        <v>840.66453124999998</v>
      </c>
      <c r="H2470">
        <f t="shared" si="275"/>
        <v>0.23032834287732801</v>
      </c>
      <c r="I2470">
        <f t="shared" si="276"/>
        <v>0.20928107918945665</v>
      </c>
      <c r="K2470" s="5">
        <f t="shared" si="277"/>
        <v>1034.2933996485581</v>
      </c>
      <c r="L2470" s="5">
        <f t="shared" si="278"/>
        <v>0.20728107918945665</v>
      </c>
    </row>
    <row r="2471" spans="2:12">
      <c r="B2471">
        <v>24.056640625</v>
      </c>
      <c r="C2471">
        <v>4.0125395171344298</v>
      </c>
      <c r="D2471">
        <v>42.015609374999997</v>
      </c>
      <c r="E2471" s="5">
        <f t="shared" si="273"/>
        <v>42015.609375</v>
      </c>
      <c r="F2471" s="5">
        <v>2.3050983436405699</v>
      </c>
      <c r="G2471">
        <f t="shared" si="274"/>
        <v>840.31218750000005</v>
      </c>
      <c r="H2471">
        <f t="shared" si="275"/>
        <v>0.23050983436405698</v>
      </c>
      <c r="I2471">
        <f t="shared" si="276"/>
        <v>0.2094285829861196</v>
      </c>
      <c r="K2471" s="5">
        <f t="shared" si="277"/>
        <v>1034.0124106547235</v>
      </c>
      <c r="L2471" s="5">
        <f t="shared" si="278"/>
        <v>0.2074285829861196</v>
      </c>
    </row>
    <row r="2472" spans="2:12">
      <c r="B2472">
        <v>24.06640625</v>
      </c>
      <c r="C2472">
        <v>4.0153502486646202</v>
      </c>
      <c r="D2472">
        <v>42.019613281250003</v>
      </c>
      <c r="E2472" s="5">
        <f t="shared" si="273"/>
        <v>42019.61328125</v>
      </c>
      <c r="F2472" s="5">
        <v>2.3069567978382102</v>
      </c>
      <c r="G2472">
        <f t="shared" si="274"/>
        <v>840.39226562500005</v>
      </c>
      <c r="H2472">
        <f t="shared" si="275"/>
        <v>0.23069567978382102</v>
      </c>
      <c r="I2472">
        <f t="shared" si="276"/>
        <v>0.2095796028168887</v>
      </c>
      <c r="K2472" s="5">
        <f t="shared" si="277"/>
        <v>1034.2671306284251</v>
      </c>
      <c r="L2472" s="5">
        <f t="shared" si="278"/>
        <v>0.2075796028168887</v>
      </c>
    </row>
    <row r="2473" spans="2:12">
      <c r="B2473">
        <v>24.076171875</v>
      </c>
      <c r="C2473">
        <v>4.0168552659451997</v>
      </c>
      <c r="D2473">
        <v>41.99940625</v>
      </c>
      <c r="E2473" s="5">
        <f t="shared" si="273"/>
        <v>41999.40625</v>
      </c>
      <c r="F2473" s="5">
        <v>2.30883527547121</v>
      </c>
      <c r="G2473">
        <f t="shared" si="274"/>
        <v>839.98812499999997</v>
      </c>
      <c r="H2473">
        <f t="shared" si="275"/>
        <v>0.23088352754712099</v>
      </c>
      <c r="I2473">
        <f t="shared" si="276"/>
        <v>0.20973222659848806</v>
      </c>
      <c r="K2473" s="5">
        <f t="shared" si="277"/>
        <v>1033.9275463976919</v>
      </c>
      <c r="L2473" s="5">
        <f t="shared" si="278"/>
        <v>0.20773222659848806</v>
      </c>
    </row>
    <row r="2474" spans="2:12">
      <c r="B2474">
        <v>24.0859375</v>
      </c>
      <c r="C2474">
        <v>4.0183626115322104</v>
      </c>
      <c r="D2474">
        <v>41.99124609375</v>
      </c>
      <c r="E2474" s="5">
        <f t="shared" si="273"/>
        <v>41991.24609375</v>
      </c>
      <c r="F2474" s="5">
        <v>2.31057615019381</v>
      </c>
      <c r="G2474">
        <f t="shared" si="274"/>
        <v>839.82492187499997</v>
      </c>
      <c r="H2474">
        <f t="shared" si="275"/>
        <v>0.23105761501938099</v>
      </c>
      <c r="I2474">
        <f t="shared" si="276"/>
        <v>0.20987364953467463</v>
      </c>
      <c r="K2474" s="5">
        <f t="shared" si="277"/>
        <v>1033.8728653572755</v>
      </c>
      <c r="L2474" s="5">
        <f t="shared" si="278"/>
        <v>0.20787364953467463</v>
      </c>
    </row>
    <row r="2475" spans="2:12">
      <c r="B2475">
        <v>24.095703125</v>
      </c>
      <c r="C2475">
        <v>4.0194126777350903</v>
      </c>
      <c r="D2475">
        <v>41.970054687500003</v>
      </c>
      <c r="E2475" s="5">
        <f t="shared" si="273"/>
        <v>41970.0546875</v>
      </c>
      <c r="F2475" s="5">
        <v>2.3123992141336198</v>
      </c>
      <c r="G2475">
        <f t="shared" si="274"/>
        <v>839.40109374999997</v>
      </c>
      <c r="H2475">
        <f t="shared" si="275"/>
        <v>0.23123992141336197</v>
      </c>
      <c r="I2475">
        <f t="shared" si="276"/>
        <v>0.21002172781653672</v>
      </c>
      <c r="K2475" s="5">
        <f t="shared" si="277"/>
        <v>1033.5041367030401</v>
      </c>
      <c r="L2475" s="5">
        <f t="shared" si="278"/>
        <v>0.20802172781653672</v>
      </c>
    </row>
    <row r="2476" spans="2:12">
      <c r="B2476">
        <v>24.10546875</v>
      </c>
      <c r="C2476">
        <v>4.0204762481153002</v>
      </c>
      <c r="D2476">
        <v>41.950617187500001</v>
      </c>
      <c r="E2476" s="5">
        <f t="shared" si="273"/>
        <v>41950.6171875</v>
      </c>
      <c r="F2476" s="5">
        <v>2.3142073769122402</v>
      </c>
      <c r="G2476">
        <f t="shared" si="274"/>
        <v>839.01234375000001</v>
      </c>
      <c r="H2476">
        <f t="shared" si="275"/>
        <v>0.23142073769122401</v>
      </c>
      <c r="I2476">
        <f t="shared" si="276"/>
        <v>0.21016857409640763</v>
      </c>
      <c r="K2476" s="5">
        <f t="shared" si="277"/>
        <v>1033.1771992726678</v>
      </c>
      <c r="L2476" s="5">
        <f t="shared" si="278"/>
        <v>0.20816857409640763</v>
      </c>
    </row>
    <row r="2477" spans="2:12">
      <c r="B2477">
        <v>24.115234375</v>
      </c>
      <c r="C2477">
        <v>4.0230490267276799</v>
      </c>
      <c r="D2477">
        <v>41.941359374999998</v>
      </c>
      <c r="E2477" s="5">
        <f t="shared" si="273"/>
        <v>41941.359375</v>
      </c>
      <c r="F2477" s="5">
        <v>2.3159813135862399</v>
      </c>
      <c r="G2477">
        <f t="shared" si="274"/>
        <v>838.82718750000004</v>
      </c>
      <c r="H2477">
        <f t="shared" si="275"/>
        <v>0.231598131358624</v>
      </c>
      <c r="I2477">
        <f t="shared" si="276"/>
        <v>0.2103126198200809</v>
      </c>
      <c r="K2477" s="5">
        <f t="shared" si="277"/>
        <v>1033.0979966578102</v>
      </c>
      <c r="L2477" s="5">
        <f t="shared" si="278"/>
        <v>0.2083126198200809</v>
      </c>
    </row>
    <row r="2478" spans="2:12">
      <c r="B2478">
        <v>24.125</v>
      </c>
      <c r="C2478">
        <v>4.0236935019493103</v>
      </c>
      <c r="D2478">
        <v>41.920683593749999</v>
      </c>
      <c r="E2478" s="5">
        <f t="shared" si="273"/>
        <v>41920.68359375</v>
      </c>
      <c r="F2478" s="5">
        <v>2.3178490810096299</v>
      </c>
      <c r="G2478">
        <f t="shared" si="274"/>
        <v>838.41367187499998</v>
      </c>
      <c r="H2478">
        <f t="shared" si="275"/>
        <v>0.231784908100963</v>
      </c>
      <c r="I2478">
        <f t="shared" si="276"/>
        <v>0.21046426228875523</v>
      </c>
      <c r="K2478" s="5">
        <f t="shared" si="277"/>
        <v>1032.7453077611378</v>
      </c>
      <c r="L2478" s="5">
        <f t="shared" si="278"/>
        <v>0.20846426228875523</v>
      </c>
    </row>
    <row r="2479" spans="2:12">
      <c r="B2479">
        <v>24.134765625</v>
      </c>
      <c r="C2479">
        <v>4.0283589623868501</v>
      </c>
      <c r="D2479">
        <v>41.919515625000003</v>
      </c>
      <c r="E2479" s="5">
        <f t="shared" si="273"/>
        <v>41919.515625</v>
      </c>
      <c r="F2479" s="5">
        <v>2.31961323879659</v>
      </c>
      <c r="G2479">
        <f t="shared" si="274"/>
        <v>838.39031250000005</v>
      </c>
      <c r="H2479">
        <f t="shared" si="275"/>
        <v>0.23196132387965901</v>
      </c>
      <c r="I2479">
        <f t="shared" si="276"/>
        <v>0.21060747166373664</v>
      </c>
      <c r="K2479" s="5">
        <f t="shared" si="277"/>
        <v>1032.8644393153811</v>
      </c>
      <c r="L2479" s="5">
        <f t="shared" si="278"/>
        <v>0.20860747166373664</v>
      </c>
    </row>
    <row r="2480" spans="2:12">
      <c r="B2480">
        <v>24.14453125</v>
      </c>
      <c r="C2480">
        <v>4.0303319692611703</v>
      </c>
      <c r="D2480">
        <v>41.894789062500003</v>
      </c>
      <c r="E2480" s="5">
        <f t="shared" si="273"/>
        <v>41894.7890625</v>
      </c>
      <c r="F2480" s="5">
        <v>2.3213366512209199</v>
      </c>
      <c r="G2480">
        <f t="shared" si="274"/>
        <v>837.89578125000003</v>
      </c>
      <c r="H2480">
        <f t="shared" si="275"/>
        <v>0.23213366512209199</v>
      </c>
      <c r="I2480">
        <f t="shared" si="276"/>
        <v>0.21074735364351688</v>
      </c>
      <c r="K2480" s="5">
        <f t="shared" si="277"/>
        <v>1032.3995999419012</v>
      </c>
      <c r="L2480" s="5">
        <f t="shared" si="278"/>
        <v>0.20874735364351688</v>
      </c>
    </row>
    <row r="2481" spans="2:12">
      <c r="B2481">
        <v>24.154296875</v>
      </c>
      <c r="C2481">
        <v>4.0284432470798501</v>
      </c>
      <c r="D2481">
        <v>41.895476562500001</v>
      </c>
      <c r="E2481" s="5">
        <f t="shared" si="273"/>
        <v>41895.4765625</v>
      </c>
      <c r="F2481" s="5">
        <v>2.3232568055391298</v>
      </c>
      <c r="G2481">
        <f t="shared" si="274"/>
        <v>837.90953124999999</v>
      </c>
      <c r="H2481">
        <f t="shared" si="275"/>
        <v>0.23232568055391298</v>
      </c>
      <c r="I2481">
        <f t="shared" si="276"/>
        <v>0.21090318127568808</v>
      </c>
      <c r="K2481" s="5">
        <f t="shared" si="277"/>
        <v>1032.5774333402665</v>
      </c>
      <c r="L2481" s="5">
        <f t="shared" si="278"/>
        <v>0.20890318127568808</v>
      </c>
    </row>
    <row r="2482" spans="2:12">
      <c r="B2482">
        <v>24.1640625</v>
      </c>
      <c r="C2482">
        <v>4.0298686362803</v>
      </c>
      <c r="D2482">
        <v>41.889871093750003</v>
      </c>
      <c r="E2482" s="5">
        <f t="shared" si="273"/>
        <v>41889.87109375</v>
      </c>
      <c r="F2482" s="5">
        <v>2.32502538710833</v>
      </c>
      <c r="G2482">
        <f t="shared" si="274"/>
        <v>837.79742187500005</v>
      </c>
      <c r="H2482">
        <f t="shared" si="275"/>
        <v>0.23250253871083298</v>
      </c>
      <c r="I2482">
        <f t="shared" si="276"/>
        <v>0.21104668673853647</v>
      </c>
      <c r="K2482" s="5">
        <f t="shared" si="277"/>
        <v>1032.5874493863284</v>
      </c>
      <c r="L2482" s="5">
        <f t="shared" si="278"/>
        <v>0.20904668673853646</v>
      </c>
    </row>
    <row r="2483" spans="2:12">
      <c r="B2483">
        <v>24.173828125</v>
      </c>
      <c r="C2483">
        <v>4.0319850668311101</v>
      </c>
      <c r="D2483">
        <v>41.874175781250003</v>
      </c>
      <c r="E2483" s="5">
        <f t="shared" si="273"/>
        <v>41874.17578125</v>
      </c>
      <c r="F2483" s="5">
        <v>2.32677208259702</v>
      </c>
      <c r="G2483">
        <f t="shared" si="274"/>
        <v>837.483515625</v>
      </c>
      <c r="H2483">
        <f t="shared" si="275"/>
        <v>0.23267720825970201</v>
      </c>
      <c r="I2483">
        <f t="shared" si="276"/>
        <v>0.21118839612047979</v>
      </c>
      <c r="K2483" s="5">
        <f t="shared" si="277"/>
        <v>1032.3468420041454</v>
      </c>
      <c r="L2483" s="5">
        <f t="shared" si="278"/>
        <v>0.20918839612047979</v>
      </c>
    </row>
    <row r="2484" spans="2:12">
      <c r="B2484">
        <v>24.18359375</v>
      </c>
      <c r="C2484">
        <v>4.0344595909118697</v>
      </c>
      <c r="D2484">
        <v>41.853492187500002</v>
      </c>
      <c r="E2484" s="5">
        <f t="shared" si="273"/>
        <v>41853.4921875</v>
      </c>
      <c r="F2484" s="5">
        <v>2.3285334464162601</v>
      </c>
      <c r="G2484">
        <f t="shared" si="274"/>
        <v>837.06984375000002</v>
      </c>
      <c r="H2484">
        <f t="shared" si="275"/>
        <v>0.23285334464162602</v>
      </c>
      <c r="I2484">
        <f t="shared" si="276"/>
        <v>0.21133127521156753</v>
      </c>
      <c r="K2484" s="5">
        <f t="shared" si="277"/>
        <v>1031.9843565658309</v>
      </c>
      <c r="L2484" s="5">
        <f t="shared" si="278"/>
        <v>0.20933127521156752</v>
      </c>
    </row>
    <row r="2485" spans="2:12">
      <c r="B2485">
        <v>24.193359375</v>
      </c>
      <c r="C2485">
        <v>4.0348307229578504</v>
      </c>
      <c r="D2485">
        <v>41.844609374999997</v>
      </c>
      <c r="E2485" s="5">
        <f t="shared" si="273"/>
        <v>41844.609375</v>
      </c>
      <c r="F2485" s="5">
        <v>2.3303055204451102</v>
      </c>
      <c r="G2485">
        <f t="shared" si="274"/>
        <v>836.89218749999998</v>
      </c>
      <c r="H2485">
        <f t="shared" si="275"/>
        <v>0.23303055204451101</v>
      </c>
      <c r="I2485">
        <f t="shared" si="276"/>
        <v>0.21147500250012979</v>
      </c>
      <c r="K2485" s="5">
        <f t="shared" si="277"/>
        <v>1031.9136359548634</v>
      </c>
      <c r="L2485" s="5">
        <f t="shared" si="278"/>
        <v>0.20947500250012979</v>
      </c>
    </row>
    <row r="2486" spans="2:12">
      <c r="B2486">
        <v>24.203125</v>
      </c>
      <c r="C2486">
        <v>4.03761630877852</v>
      </c>
      <c r="D2486">
        <v>41.841476562499999</v>
      </c>
      <c r="E2486" s="5">
        <f t="shared" si="273"/>
        <v>41841.4765625</v>
      </c>
      <c r="F2486" s="5">
        <v>2.33217747882009</v>
      </c>
      <c r="G2486">
        <f t="shared" si="274"/>
        <v>836.82953124999995</v>
      </c>
      <c r="H2486">
        <f t="shared" si="275"/>
        <v>0.233217747882009</v>
      </c>
      <c r="I2486">
        <f t="shared" si="276"/>
        <v>0.21162680865676292</v>
      </c>
      <c r="K2486" s="5">
        <f t="shared" si="277"/>
        <v>1031.9930298892823</v>
      </c>
      <c r="L2486" s="5">
        <f t="shared" si="278"/>
        <v>0.20962680865676292</v>
      </c>
    </row>
    <row r="2487" spans="2:12">
      <c r="B2487">
        <v>24.212890625</v>
      </c>
      <c r="C2487">
        <v>4.0394952520728102</v>
      </c>
      <c r="D2487">
        <v>41.848035156249999</v>
      </c>
      <c r="E2487" s="5">
        <f t="shared" si="273"/>
        <v>41848.03515625</v>
      </c>
      <c r="F2487" s="5">
        <v>2.3341199848800902</v>
      </c>
      <c r="G2487">
        <f t="shared" si="274"/>
        <v>836.96070312500001</v>
      </c>
      <c r="H2487">
        <f t="shared" si="275"/>
        <v>0.23341199848800903</v>
      </c>
      <c r="I2487">
        <f t="shared" si="276"/>
        <v>0.21178431150589333</v>
      </c>
      <c r="K2487" s="5">
        <f t="shared" si="277"/>
        <v>1032.3173734973354</v>
      </c>
      <c r="L2487" s="5">
        <f t="shared" si="278"/>
        <v>0.20978431150589333</v>
      </c>
    </row>
    <row r="2488" spans="2:12">
      <c r="B2488">
        <v>24.22265625</v>
      </c>
      <c r="C2488">
        <v>4.0410072542727002</v>
      </c>
      <c r="D2488">
        <v>41.851136718749999</v>
      </c>
      <c r="E2488" s="5">
        <f t="shared" si="273"/>
        <v>41851.13671875</v>
      </c>
      <c r="F2488" s="5">
        <v>2.3360317572951299</v>
      </c>
      <c r="G2488">
        <f t="shared" si="274"/>
        <v>837.02273437500003</v>
      </c>
      <c r="H2488">
        <f t="shared" si="275"/>
        <v>0.233603175729513</v>
      </c>
      <c r="I2488">
        <f t="shared" si="276"/>
        <v>0.21193929818281743</v>
      </c>
      <c r="K2488" s="5">
        <f t="shared" si="277"/>
        <v>1032.5539032828005</v>
      </c>
      <c r="L2488" s="5">
        <f t="shared" si="278"/>
        <v>0.20993929818281742</v>
      </c>
    </row>
    <row r="2489" spans="2:12">
      <c r="B2489">
        <v>24.232421875</v>
      </c>
      <c r="C2489">
        <v>4.0433118119835898</v>
      </c>
      <c r="D2489">
        <v>41.84340234375</v>
      </c>
      <c r="E2489" s="5">
        <f t="shared" si="273"/>
        <v>41843.40234375</v>
      </c>
      <c r="F2489" s="5">
        <v>2.33798031695187</v>
      </c>
      <c r="G2489">
        <f t="shared" si="274"/>
        <v>836.868046875</v>
      </c>
      <c r="H2489">
        <f t="shared" si="275"/>
        <v>0.23379803169518701</v>
      </c>
      <c r="I2489">
        <f t="shared" si="276"/>
        <v>0.2120972424729417</v>
      </c>
      <c r="K2489" s="5">
        <f t="shared" si="277"/>
        <v>1032.5261490229707</v>
      </c>
      <c r="L2489" s="5">
        <f t="shared" si="278"/>
        <v>0.2100972424729417</v>
      </c>
    </row>
    <row r="2490" spans="2:12">
      <c r="B2490">
        <v>24.2421875</v>
      </c>
      <c r="C2490">
        <v>4.04481217265129</v>
      </c>
      <c r="D2490">
        <v>41.827472656250002</v>
      </c>
      <c r="E2490" s="5">
        <f t="shared" si="273"/>
        <v>41827.47265625</v>
      </c>
      <c r="F2490" s="5">
        <v>2.33991071581841</v>
      </c>
      <c r="G2490">
        <f t="shared" si="274"/>
        <v>836.54945312500001</v>
      </c>
      <c r="H2490">
        <f t="shared" si="275"/>
        <v>0.23399107158184101</v>
      </c>
      <c r="I2490">
        <f t="shared" si="276"/>
        <v>0.21225369011005241</v>
      </c>
      <c r="K2490" s="5">
        <f t="shared" si="277"/>
        <v>1032.2945560929218</v>
      </c>
      <c r="L2490" s="5">
        <f t="shared" si="278"/>
        <v>0.2102536901100524</v>
      </c>
    </row>
    <row r="2491" spans="2:12">
      <c r="B2491">
        <v>24.251953125</v>
      </c>
      <c r="C2491">
        <v>4.0456838905811301</v>
      </c>
      <c r="D2491">
        <v>41.795871093750002</v>
      </c>
      <c r="E2491" s="5">
        <f t="shared" si="273"/>
        <v>41795.87109375</v>
      </c>
      <c r="F2491" s="5">
        <v>2.3417610209435198</v>
      </c>
      <c r="G2491">
        <f t="shared" si="274"/>
        <v>835.91742187499995</v>
      </c>
      <c r="H2491">
        <f t="shared" si="275"/>
        <v>0.23417610209435197</v>
      </c>
      <c r="I2491">
        <f t="shared" si="276"/>
        <v>0.21240362364359186</v>
      </c>
      <c r="K2491" s="5">
        <f t="shared" si="277"/>
        <v>1031.6693054024474</v>
      </c>
      <c r="L2491" s="5">
        <f t="shared" si="278"/>
        <v>0.21040362364359186</v>
      </c>
    </row>
    <row r="2492" spans="2:12">
      <c r="B2492">
        <v>24.26171875</v>
      </c>
      <c r="C2492">
        <v>4.0475926361978098</v>
      </c>
      <c r="D2492">
        <v>41.766488281249998</v>
      </c>
      <c r="E2492" s="5">
        <f t="shared" si="273"/>
        <v>41766.48828125</v>
      </c>
      <c r="F2492" s="5">
        <v>2.3436148185282901</v>
      </c>
      <c r="G2492">
        <f t="shared" si="274"/>
        <v>835.32976562500005</v>
      </c>
      <c r="H2492">
        <f t="shared" si="275"/>
        <v>0.23436148185282901</v>
      </c>
      <c r="I2492">
        <f t="shared" si="276"/>
        <v>0.21255381763701614</v>
      </c>
      <c r="K2492" s="5">
        <f t="shared" si="277"/>
        <v>1031.0988873326514</v>
      </c>
      <c r="L2492" s="5">
        <f t="shared" si="278"/>
        <v>0.21055381763701614</v>
      </c>
    </row>
    <row r="2493" spans="2:12">
      <c r="B2493">
        <v>24.271484375</v>
      </c>
      <c r="C2493">
        <v>4.0492946282029196</v>
      </c>
      <c r="D2493">
        <v>41.763730468749998</v>
      </c>
      <c r="E2493" s="5">
        <f t="shared" si="273"/>
        <v>41763.73046875</v>
      </c>
      <c r="F2493" s="5">
        <v>2.3454439360648398</v>
      </c>
      <c r="G2493">
        <f t="shared" si="274"/>
        <v>835.27460937499995</v>
      </c>
      <c r="H2493">
        <f t="shared" si="275"/>
        <v>0.23454439360648399</v>
      </c>
      <c r="I2493">
        <f t="shared" si="276"/>
        <v>0.21270198995561904</v>
      </c>
      <c r="K2493" s="5">
        <f t="shared" si="277"/>
        <v>1031.1835861257521</v>
      </c>
      <c r="L2493" s="5">
        <f t="shared" si="278"/>
        <v>0.21070198995561903</v>
      </c>
    </row>
    <row r="2494" spans="2:12">
      <c r="B2494">
        <v>24.28125</v>
      </c>
      <c r="C2494">
        <v>4.0516504086554104</v>
      </c>
      <c r="D2494">
        <v>41.744863281249998</v>
      </c>
      <c r="E2494" s="5">
        <f t="shared" si="273"/>
        <v>41744.86328125</v>
      </c>
      <c r="F2494" s="5">
        <v>2.34726583585143</v>
      </c>
      <c r="G2494">
        <f t="shared" si="274"/>
        <v>834.89726562500005</v>
      </c>
      <c r="H2494">
        <f t="shared" si="275"/>
        <v>0.23472658358514301</v>
      </c>
      <c r="I2494">
        <f t="shared" si="276"/>
        <v>0.21284955575999825</v>
      </c>
      <c r="K2494" s="5">
        <f t="shared" si="277"/>
        <v>1030.869848429734</v>
      </c>
      <c r="L2494" s="5">
        <f t="shared" si="278"/>
        <v>0.21084955575999825</v>
      </c>
    </row>
    <row r="2495" spans="2:12">
      <c r="B2495">
        <v>24.291015625</v>
      </c>
      <c r="C2495">
        <v>4.0532071143388704</v>
      </c>
      <c r="D2495">
        <v>41.725476562499999</v>
      </c>
      <c r="E2495" s="5">
        <f t="shared" si="273"/>
        <v>41725.4765625</v>
      </c>
      <c r="F2495" s="5">
        <v>2.3490588646382098</v>
      </c>
      <c r="G2495">
        <f t="shared" si="274"/>
        <v>834.50953125000001</v>
      </c>
      <c r="H2495">
        <f t="shared" si="275"/>
        <v>0.23490588646382099</v>
      </c>
      <c r="I2495">
        <f t="shared" si="276"/>
        <v>0.21299476188371702</v>
      </c>
      <c r="K2495" s="5">
        <f t="shared" si="277"/>
        <v>1030.5407324507889</v>
      </c>
      <c r="L2495" s="5">
        <f t="shared" si="278"/>
        <v>0.21099476188371702</v>
      </c>
    </row>
    <row r="2496" spans="2:12">
      <c r="B2496">
        <v>24.30078125</v>
      </c>
      <c r="C2496">
        <v>4.0540783666074303</v>
      </c>
      <c r="D2496">
        <v>41.708796874999997</v>
      </c>
      <c r="E2496" s="5">
        <f t="shared" si="273"/>
        <v>41708.796875</v>
      </c>
      <c r="F2496" s="5">
        <v>2.3508430458605298</v>
      </c>
      <c r="G2496">
        <f t="shared" si="274"/>
        <v>834.17593750000003</v>
      </c>
      <c r="H2496">
        <f t="shared" si="275"/>
        <v>0.23508430458605298</v>
      </c>
      <c r="I2496">
        <f t="shared" si="276"/>
        <v>0.21313923057285497</v>
      </c>
      <c r="K2496" s="5">
        <f t="shared" si="277"/>
        <v>1030.2776076696064</v>
      </c>
      <c r="L2496" s="5">
        <f t="shared" si="278"/>
        <v>0.21113923057285497</v>
      </c>
    </row>
    <row r="2497" spans="2:12">
      <c r="B2497">
        <v>24.310546875</v>
      </c>
      <c r="C2497">
        <v>4.0553463622927701</v>
      </c>
      <c r="D2497">
        <v>41.6914765625</v>
      </c>
      <c r="E2497" s="5">
        <f t="shared" si="273"/>
        <v>41691.4765625</v>
      </c>
      <c r="F2497" s="5">
        <v>2.3527471348643298</v>
      </c>
      <c r="G2497">
        <f t="shared" si="274"/>
        <v>833.82953124999995</v>
      </c>
      <c r="H2497">
        <f t="shared" si="275"/>
        <v>0.23527471348643297</v>
      </c>
      <c r="I2497">
        <f t="shared" si="276"/>
        <v>0.21329338541380255</v>
      </c>
      <c r="K2497" s="5">
        <f t="shared" si="277"/>
        <v>1030.0085353113705</v>
      </c>
      <c r="L2497" s="5">
        <f t="shared" si="278"/>
        <v>0.21129338541380255</v>
      </c>
    </row>
    <row r="2498" spans="2:12">
      <c r="B2498">
        <v>24.3203125</v>
      </c>
      <c r="C2498">
        <v>4.0560918860137498</v>
      </c>
      <c r="D2498">
        <v>41.675937500000003</v>
      </c>
      <c r="E2498" s="5">
        <f t="shared" si="273"/>
        <v>41675.9375</v>
      </c>
      <c r="F2498" s="5">
        <v>2.3544926661997998</v>
      </c>
      <c r="G2498">
        <f t="shared" si="274"/>
        <v>833.51874999999995</v>
      </c>
      <c r="H2498">
        <f t="shared" si="275"/>
        <v>0.23544926661997997</v>
      </c>
      <c r="I2498">
        <f t="shared" si="276"/>
        <v>0.21343468256819351</v>
      </c>
      <c r="K2498" s="5">
        <f t="shared" si="277"/>
        <v>1029.7701284015022</v>
      </c>
      <c r="L2498" s="5">
        <f t="shared" si="278"/>
        <v>0.2114346825681935</v>
      </c>
    </row>
    <row r="2499" spans="2:12">
      <c r="B2499">
        <v>24.330078125</v>
      </c>
      <c r="C2499">
        <v>4.0583875961601699</v>
      </c>
      <c r="D2499">
        <v>41.66430859375</v>
      </c>
      <c r="E2499" s="5">
        <f t="shared" si="273"/>
        <v>41664.30859375</v>
      </c>
      <c r="F2499" s="5">
        <v>2.3562675341963799</v>
      </c>
      <c r="G2499">
        <f t="shared" si="274"/>
        <v>833.28617187500004</v>
      </c>
      <c r="H2499">
        <f t="shared" si="275"/>
        <v>0.23562675341963799</v>
      </c>
      <c r="I2499">
        <f t="shared" si="276"/>
        <v>0.21357833399657844</v>
      </c>
      <c r="K2499" s="5">
        <f t="shared" si="277"/>
        <v>1029.6306872233847</v>
      </c>
      <c r="L2499" s="5">
        <f t="shared" si="278"/>
        <v>0.21157833399657844</v>
      </c>
    </row>
    <row r="2500" spans="2:12">
      <c r="B2500">
        <v>24.33984375</v>
      </c>
      <c r="C2500">
        <v>4.0605058893561399</v>
      </c>
      <c r="D2500">
        <v>41.663195312500001</v>
      </c>
      <c r="E2500" s="5">
        <f t="shared" si="273"/>
        <v>41663.1953125</v>
      </c>
      <c r="F2500" s="5">
        <v>2.3581010755151501</v>
      </c>
      <c r="G2500">
        <f t="shared" si="274"/>
        <v>833.26390624999999</v>
      </c>
      <c r="H2500">
        <f t="shared" si="275"/>
        <v>0.23581010755151502</v>
      </c>
      <c r="I2500">
        <f t="shared" si="276"/>
        <v>0.21372671256542566</v>
      </c>
      <c r="K2500" s="5">
        <f t="shared" si="277"/>
        <v>1029.7559576016081</v>
      </c>
      <c r="L2500" s="5">
        <f t="shared" si="278"/>
        <v>0.21172671256542566</v>
      </c>
    </row>
    <row r="2501" spans="2:12">
      <c r="B2501">
        <v>24.349609375</v>
      </c>
      <c r="C2501">
        <v>4.0617138147354099</v>
      </c>
      <c r="D2501">
        <v>41.675804687499998</v>
      </c>
      <c r="E2501" s="5">
        <f t="shared" si="273"/>
        <v>41675.8046875</v>
      </c>
      <c r="F2501" s="5">
        <v>2.3599539417773499</v>
      </c>
      <c r="G2501">
        <f t="shared" si="274"/>
        <v>833.51609374999998</v>
      </c>
      <c r="H2501">
        <f t="shared" si="275"/>
        <v>0.23599539417773499</v>
      </c>
      <c r="I2501">
        <f t="shared" si="276"/>
        <v>0.21387663263513779</v>
      </c>
      <c r="K2501" s="5">
        <f t="shared" si="277"/>
        <v>1030.2220528480173</v>
      </c>
      <c r="L2501" s="5">
        <f t="shared" si="278"/>
        <v>0.21187663263513778</v>
      </c>
    </row>
    <row r="2502" spans="2:12">
      <c r="B2502">
        <v>24.359375</v>
      </c>
      <c r="C2502">
        <v>4.0635052137076899</v>
      </c>
      <c r="D2502">
        <v>41.648039062499997</v>
      </c>
      <c r="E2502" s="5">
        <f t="shared" si="273"/>
        <v>41648.0390625</v>
      </c>
      <c r="F2502" s="5">
        <v>2.3618387058377301</v>
      </c>
      <c r="G2502">
        <f t="shared" si="274"/>
        <v>832.96078124999997</v>
      </c>
      <c r="H2502">
        <f t="shared" si="275"/>
        <v>0.23618387058377302</v>
      </c>
      <c r="I2502">
        <f t="shared" si="276"/>
        <v>0.21402911057967017</v>
      </c>
      <c r="K2502" s="5">
        <f t="shared" si="277"/>
        <v>1029.6926826101085</v>
      </c>
      <c r="L2502" s="5">
        <f t="shared" si="278"/>
        <v>0.21202911057967017</v>
      </c>
    </row>
    <row r="2503" spans="2:12">
      <c r="B2503">
        <v>24.369140625</v>
      </c>
      <c r="C2503">
        <v>4.0652714669704402</v>
      </c>
      <c r="D2503">
        <v>41.632632812499999</v>
      </c>
      <c r="E2503" s="5">
        <f t="shared" si="273"/>
        <v>41632.6328125</v>
      </c>
      <c r="F2503" s="5">
        <v>2.3636477999389198</v>
      </c>
      <c r="G2503">
        <f t="shared" si="274"/>
        <v>832.65265624999995</v>
      </c>
      <c r="H2503">
        <f t="shared" si="275"/>
        <v>0.23636477999389199</v>
      </c>
      <c r="I2503">
        <f t="shared" si="276"/>
        <v>0.21417544493826762</v>
      </c>
      <c r="K2503" s="5">
        <f t="shared" si="277"/>
        <v>1029.4624181558609</v>
      </c>
      <c r="L2503" s="5">
        <f t="shared" si="278"/>
        <v>0.21217544493826762</v>
      </c>
    </row>
    <row r="2504" spans="2:12">
      <c r="B2504">
        <v>24.37890625</v>
      </c>
      <c r="C2504">
        <v>4.0657678619027102</v>
      </c>
      <c r="D2504">
        <v>41.614515625000003</v>
      </c>
      <c r="E2504" s="5">
        <f t="shared" si="273"/>
        <v>41614.515625</v>
      </c>
      <c r="F2504" s="5">
        <v>2.3654568940401099</v>
      </c>
      <c r="G2504">
        <f t="shared" si="274"/>
        <v>832.29031250000003</v>
      </c>
      <c r="H2504">
        <f t="shared" si="275"/>
        <v>0.23654568940401099</v>
      </c>
      <c r="I2504">
        <f t="shared" si="276"/>
        <v>0.21432175788625385</v>
      </c>
      <c r="K2504" s="5">
        <f t="shared" si="277"/>
        <v>1029.1649982545923</v>
      </c>
      <c r="L2504" s="5">
        <f t="shared" si="278"/>
        <v>0.21232175788625385</v>
      </c>
    </row>
    <row r="2505" spans="2:12">
      <c r="B2505">
        <v>24.388671875</v>
      </c>
      <c r="C2505">
        <v>4.0663192048668897</v>
      </c>
      <c r="D2505">
        <v>41.582996093749998</v>
      </c>
      <c r="E2505" s="5">
        <f t="shared" ref="E2505:E2568" si="279" xml:space="preserve"> D2505*R$3</f>
        <v>41582.99609375</v>
      </c>
      <c r="F2505" s="5">
        <v>2.36724107526243</v>
      </c>
      <c r="G2505">
        <f t="shared" ref="G2505:G2568" si="280" xml:space="preserve"> E2505/C$3</f>
        <v>831.65992187500001</v>
      </c>
      <c r="H2505">
        <f t="shared" ref="H2505:H2568" si="281" xml:space="preserve"> F2505/C$4</f>
        <v>0.23672410752624301</v>
      </c>
      <c r="I2505">
        <f t="shared" ref="I2505:I2568" si="282">L2505+0.002</f>
        <v>0.21446603500698116</v>
      </c>
      <c r="K2505" s="5">
        <f t="shared" ref="K2505:K2568" si="283" xml:space="preserve"> G2505 * (1 + H2505)</f>
        <v>1028.5338746462044</v>
      </c>
      <c r="L2505" s="5">
        <f t="shared" ref="L2505:L2568" si="284">LN(1 + H2505)</f>
        <v>0.21246603500698116</v>
      </c>
    </row>
    <row r="2506" spans="2:12">
      <c r="B2506">
        <v>24.3984375</v>
      </c>
      <c r="C2506">
        <v>4.0702102705836296</v>
      </c>
      <c r="D2506">
        <v>41.586582031250003</v>
      </c>
      <c r="E2506" s="5">
        <f t="shared" si="279"/>
        <v>41586.58203125</v>
      </c>
      <c r="F2506" s="5">
        <v>2.3690264206379701</v>
      </c>
      <c r="G2506">
        <f t="shared" si="280"/>
        <v>831.73164062499995</v>
      </c>
      <c r="H2506">
        <f t="shared" si="281"/>
        <v>0.23690264206379702</v>
      </c>
      <c r="I2506">
        <f t="shared" si="282"/>
        <v>0.21461038543324787</v>
      </c>
      <c r="K2506" s="5">
        <f t="shared" si="283"/>
        <v>1028.771063777119</v>
      </c>
      <c r="L2506" s="5">
        <f t="shared" si="284"/>
        <v>0.21261038543324787</v>
      </c>
    </row>
    <row r="2507" spans="2:12">
      <c r="B2507">
        <v>24.408203125</v>
      </c>
      <c r="C2507">
        <v>4.0730559267103699</v>
      </c>
      <c r="D2507">
        <v>41.56860546875</v>
      </c>
      <c r="E2507" s="5">
        <f t="shared" si="279"/>
        <v>41568.60546875</v>
      </c>
      <c r="F2507" s="5">
        <v>2.3707505315542199</v>
      </c>
      <c r="G2507">
        <f t="shared" si="280"/>
        <v>831.37210937500004</v>
      </c>
      <c r="H2507">
        <f t="shared" si="281"/>
        <v>0.23707505315542199</v>
      </c>
      <c r="I2507">
        <f t="shared" si="282"/>
        <v>0.21474976509882635</v>
      </c>
      <c r="K2507" s="5">
        <f t="shared" si="283"/>
        <v>1028.4696963970134</v>
      </c>
      <c r="L2507" s="5">
        <f t="shared" si="284"/>
        <v>0.21274976509882634</v>
      </c>
    </row>
    <row r="2508" spans="2:12">
      <c r="B2508">
        <v>24.41796875</v>
      </c>
      <c r="C2508">
        <v>4.07256046310067</v>
      </c>
      <c r="D2508">
        <v>41.547171874999997</v>
      </c>
      <c r="E2508" s="5">
        <f t="shared" si="279"/>
        <v>41547.171875</v>
      </c>
      <c r="F2508" s="5">
        <v>2.3725139908492601</v>
      </c>
      <c r="G2508">
        <f t="shared" si="280"/>
        <v>830.94343749999996</v>
      </c>
      <c r="H2508">
        <f t="shared" si="281"/>
        <v>0.23725139908492601</v>
      </c>
      <c r="I2508">
        <f t="shared" si="282"/>
        <v>0.21489230565134157</v>
      </c>
      <c r="K2508" s="5">
        <f t="shared" si="283"/>
        <v>1028.0859306073128</v>
      </c>
      <c r="L2508" s="5">
        <f t="shared" si="284"/>
        <v>0.21289230565134157</v>
      </c>
    </row>
    <row r="2509" spans="2:12">
      <c r="B2509">
        <v>24.427734375</v>
      </c>
      <c r="C2509">
        <v>4.0751933120191097</v>
      </c>
      <c r="D2509">
        <v>41.549371093749997</v>
      </c>
      <c r="E2509" s="5">
        <f t="shared" si="279"/>
        <v>41549.37109375</v>
      </c>
      <c r="F2509" s="5">
        <v>2.3743228521197999</v>
      </c>
      <c r="G2509">
        <f t="shared" si="280"/>
        <v>830.987421875</v>
      </c>
      <c r="H2509">
        <f t="shared" si="281"/>
        <v>0.23743228521197998</v>
      </c>
      <c r="I2509">
        <f t="shared" si="282"/>
        <v>0.2150384949429458</v>
      </c>
      <c r="K2509" s="5">
        <f t="shared" si="283"/>
        <v>1028.2906644331929</v>
      </c>
      <c r="L2509" s="5">
        <f t="shared" si="284"/>
        <v>0.2130384949429458</v>
      </c>
    </row>
    <row r="2510" spans="2:12">
      <c r="B2510">
        <v>24.4375</v>
      </c>
      <c r="C2510">
        <v>4.0757777169346801</v>
      </c>
      <c r="D2510">
        <v>41.539515625</v>
      </c>
      <c r="E2510" s="5">
        <f t="shared" si="279"/>
        <v>41539.515625</v>
      </c>
      <c r="F2510" s="5">
        <v>2.3761347401887201</v>
      </c>
      <c r="G2510">
        <f t="shared" si="280"/>
        <v>830.79031250000003</v>
      </c>
      <c r="H2510">
        <f t="shared" si="281"/>
        <v>0.23761347401887201</v>
      </c>
      <c r="I2510">
        <f t="shared" si="282"/>
        <v>0.21518490743373714</v>
      </c>
      <c r="K2510" s="5">
        <f t="shared" si="283"/>
        <v>1028.1972848343494</v>
      </c>
      <c r="L2510" s="5">
        <f t="shared" si="284"/>
        <v>0.21318490743373714</v>
      </c>
    </row>
    <row r="2511" spans="2:12">
      <c r="B2511">
        <v>24.447265625</v>
      </c>
      <c r="C2511">
        <v>4.0775896050035998</v>
      </c>
      <c r="D2511">
        <v>41.545144531250003</v>
      </c>
      <c r="E2511" s="5">
        <f t="shared" si="279"/>
        <v>41545.14453125</v>
      </c>
      <c r="F2511" s="5">
        <v>2.3780304472893499</v>
      </c>
      <c r="G2511">
        <f t="shared" si="280"/>
        <v>830.90289062500005</v>
      </c>
      <c r="H2511">
        <f t="shared" si="281"/>
        <v>0.23780304472893499</v>
      </c>
      <c r="I2511">
        <f t="shared" si="282"/>
        <v>0.21533807011080408</v>
      </c>
      <c r="K2511" s="5">
        <f t="shared" si="283"/>
        <v>1028.4941278896983</v>
      </c>
      <c r="L2511" s="5">
        <f t="shared" si="284"/>
        <v>0.21333807011080408</v>
      </c>
    </row>
    <row r="2512" spans="2:12">
      <c r="B2512">
        <v>24.45703125</v>
      </c>
      <c r="C2512">
        <v>4.0794014930725098</v>
      </c>
      <c r="D2512">
        <v>41.532867187500003</v>
      </c>
      <c r="E2512" s="5">
        <f t="shared" si="279"/>
        <v>41532.8671875</v>
      </c>
      <c r="F2512" s="5">
        <v>2.3798556067049499</v>
      </c>
      <c r="G2512">
        <f t="shared" si="280"/>
        <v>830.65734375</v>
      </c>
      <c r="H2512">
        <f t="shared" si="281"/>
        <v>0.23798556067049498</v>
      </c>
      <c r="I2512">
        <f t="shared" si="282"/>
        <v>0.21548551076182948</v>
      </c>
      <c r="K2512" s="5">
        <f t="shared" si="283"/>
        <v>1028.3417974274078</v>
      </c>
      <c r="L2512" s="5">
        <f t="shared" si="284"/>
        <v>0.21348551076182948</v>
      </c>
    </row>
    <row r="2513" spans="2:12">
      <c r="B2513">
        <v>24.466796875</v>
      </c>
      <c r="C2513">
        <v>4.0813246741890898</v>
      </c>
      <c r="D2513">
        <v>41.517921874999999</v>
      </c>
      <c r="E2513" s="5">
        <f t="shared" si="279"/>
        <v>41517.921875</v>
      </c>
      <c r="F2513" s="5">
        <v>2.38161161541939</v>
      </c>
      <c r="G2513">
        <f t="shared" si="280"/>
        <v>830.35843750000004</v>
      </c>
      <c r="H2513">
        <f t="shared" si="281"/>
        <v>0.238161161541939</v>
      </c>
      <c r="I2513">
        <f t="shared" si="282"/>
        <v>0.2156273447413454</v>
      </c>
      <c r="K2513" s="5">
        <f t="shared" si="283"/>
        <v>1028.1175674711496</v>
      </c>
      <c r="L2513" s="5">
        <f t="shared" si="284"/>
        <v>0.2136273447413454</v>
      </c>
    </row>
    <row r="2514" spans="2:12">
      <c r="B2514">
        <v>24.4765625</v>
      </c>
      <c r="C2514">
        <v>4.08312864601612</v>
      </c>
      <c r="D2514">
        <v>41.509050781249996</v>
      </c>
      <c r="E2514" s="5">
        <f t="shared" si="279"/>
        <v>41509.05078125</v>
      </c>
      <c r="F2514" s="5">
        <v>2.3834167513996398</v>
      </c>
      <c r="G2514">
        <f t="shared" si="280"/>
        <v>830.18101562499999</v>
      </c>
      <c r="H2514">
        <f t="shared" si="281"/>
        <v>0.23834167513996399</v>
      </c>
      <c r="I2514">
        <f t="shared" si="282"/>
        <v>0.21577312579652613</v>
      </c>
      <c r="K2514" s="5">
        <f t="shared" si="283"/>
        <v>1028.0477495584591</v>
      </c>
      <c r="L2514" s="5">
        <f t="shared" si="284"/>
        <v>0.21377312579652613</v>
      </c>
    </row>
    <row r="2515" spans="2:12">
      <c r="B2515">
        <v>24.486328125</v>
      </c>
      <c r="C2515">
        <v>4.0842257440090197</v>
      </c>
      <c r="D2515">
        <v>41.494492187500001</v>
      </c>
      <c r="E2515" s="5">
        <f t="shared" si="279"/>
        <v>41494.4921875</v>
      </c>
      <c r="F2515" s="5">
        <v>2.3852281738072598</v>
      </c>
      <c r="G2515">
        <f t="shared" si="280"/>
        <v>829.88984374999995</v>
      </c>
      <c r="H2515">
        <f t="shared" si="281"/>
        <v>0.23852281738072598</v>
      </c>
      <c r="I2515">
        <f t="shared" si="282"/>
        <v>0.21591939317742787</v>
      </c>
      <c r="K2515" s="5">
        <f t="shared" si="283"/>
        <v>1027.8375073969003</v>
      </c>
      <c r="L2515" s="5">
        <f t="shared" si="284"/>
        <v>0.21391939317742786</v>
      </c>
    </row>
    <row r="2516" spans="2:12">
      <c r="B2516">
        <v>24.49609375</v>
      </c>
      <c r="C2516">
        <v>4.0866336785256898</v>
      </c>
      <c r="D2516">
        <v>41.475359374999996</v>
      </c>
      <c r="E2516" s="5">
        <f t="shared" si="279"/>
        <v>41475.359375</v>
      </c>
      <c r="F2516" s="5">
        <v>2.3870375007390998</v>
      </c>
      <c r="G2516">
        <f t="shared" si="280"/>
        <v>829.50718749999999</v>
      </c>
      <c r="H2516">
        <f t="shared" si="281"/>
        <v>0.23870375007390998</v>
      </c>
      <c r="I2516">
        <f t="shared" si="282"/>
        <v>0.21606547000050322</v>
      </c>
      <c r="K2516" s="5">
        <f t="shared" si="283"/>
        <v>1027.5136638695119</v>
      </c>
      <c r="L2516" s="5">
        <f t="shared" si="284"/>
        <v>0.21406547000050322</v>
      </c>
    </row>
    <row r="2517" spans="2:12">
      <c r="B2517">
        <v>24.505859375</v>
      </c>
      <c r="C2517">
        <v>4.0884111076593399</v>
      </c>
      <c r="D2517">
        <v>41.476335937499996</v>
      </c>
      <c r="E2517" s="5">
        <f t="shared" si="279"/>
        <v>41476.3359375</v>
      </c>
      <c r="F2517" s="5">
        <v>2.3889117874205099</v>
      </c>
      <c r="G2517">
        <f t="shared" si="280"/>
        <v>829.52671874999999</v>
      </c>
      <c r="H2517">
        <f t="shared" si="281"/>
        <v>0.23889117874205099</v>
      </c>
      <c r="I2517">
        <f t="shared" si="282"/>
        <v>0.21621676888016961</v>
      </c>
      <c r="K2517" s="5">
        <f t="shared" si="283"/>
        <v>1027.6933343902133</v>
      </c>
      <c r="L2517" s="5">
        <f t="shared" si="284"/>
        <v>0.21421676888016961</v>
      </c>
    </row>
    <row r="2518" spans="2:12">
      <c r="B2518">
        <v>24.515625</v>
      </c>
      <c r="C2518">
        <v>4.0888125076890001</v>
      </c>
      <c r="D2518">
        <v>41.45204296875</v>
      </c>
      <c r="E2518" s="5">
        <f t="shared" si="279"/>
        <v>41452.04296875</v>
      </c>
      <c r="F2518" s="5">
        <v>2.3907902650535102</v>
      </c>
      <c r="G2518">
        <f t="shared" si="280"/>
        <v>829.04085937499997</v>
      </c>
      <c r="H2518">
        <f t="shared" si="281"/>
        <v>0.23907902650535101</v>
      </c>
      <c r="I2518">
        <f t="shared" si="282"/>
        <v>0.21636838310318343</v>
      </c>
      <c r="K2518" s="5">
        <f t="shared" si="283"/>
        <v>1027.2471409675345</v>
      </c>
      <c r="L2518" s="5">
        <f t="shared" si="284"/>
        <v>0.21436838310318343</v>
      </c>
    </row>
    <row r="2519" spans="2:12">
      <c r="B2519">
        <v>24.525390625</v>
      </c>
      <c r="C2519">
        <v>4.0898337028920704</v>
      </c>
      <c r="D2519">
        <v>41.451511718749998</v>
      </c>
      <c r="E2519" s="5">
        <f t="shared" si="279"/>
        <v>41451.51171875</v>
      </c>
      <c r="F2519" s="5">
        <v>2.3926873691380002</v>
      </c>
      <c r="G2519">
        <f t="shared" si="280"/>
        <v>829.03023437499996</v>
      </c>
      <c r="H2519">
        <f t="shared" si="281"/>
        <v>0.23926873691380002</v>
      </c>
      <c r="I2519">
        <f t="shared" si="282"/>
        <v>0.21652147736349639</v>
      </c>
      <c r="K2519" s="5">
        <f t="shared" si="283"/>
        <v>1027.3912514172578</v>
      </c>
      <c r="L2519" s="5">
        <f t="shared" si="284"/>
        <v>0.21452147736349639</v>
      </c>
    </row>
    <row r="2520" spans="2:12">
      <c r="B2520">
        <v>24.53515625</v>
      </c>
      <c r="C2520">
        <v>4.0934574790298903</v>
      </c>
      <c r="D2520">
        <v>41.444457031250003</v>
      </c>
      <c r="E2520" s="5">
        <f t="shared" si="279"/>
        <v>41444.45703125</v>
      </c>
      <c r="F2520" s="5">
        <v>2.3945376742631201</v>
      </c>
      <c r="G2520">
        <f t="shared" si="280"/>
        <v>828.88914062499998</v>
      </c>
      <c r="H2520">
        <f t="shared" si="281"/>
        <v>0.23945376742631203</v>
      </c>
      <c r="I2520">
        <f t="shared" si="282"/>
        <v>0.2166707724237798</v>
      </c>
      <c r="K2520" s="5">
        <f t="shared" si="283"/>
        <v>1027.3697681264143</v>
      </c>
      <c r="L2520" s="5">
        <f t="shared" si="284"/>
        <v>0.2146707724237798</v>
      </c>
    </row>
    <row r="2521" spans="2:12">
      <c r="B2521">
        <v>24.544921875</v>
      </c>
      <c r="C2521">
        <v>4.0927617810666597</v>
      </c>
      <c r="D2521">
        <v>41.411207031250001</v>
      </c>
      <c r="E2521" s="5">
        <f t="shared" si="279"/>
        <v>41411.20703125</v>
      </c>
      <c r="F2521" s="5">
        <v>2.39632348529994</v>
      </c>
      <c r="G2521">
        <f t="shared" si="280"/>
        <v>828.22414062500002</v>
      </c>
      <c r="H2521">
        <f t="shared" si="281"/>
        <v>0.23963234852999399</v>
      </c>
      <c r="I2521">
        <f t="shared" si="282"/>
        <v>0.21681484253319758</v>
      </c>
      <c r="K2521" s="5">
        <f t="shared" si="283"/>
        <v>1026.6934365522047</v>
      </c>
      <c r="L2521" s="5">
        <f t="shared" si="284"/>
        <v>0.21481484253319758</v>
      </c>
    </row>
    <row r="2522" spans="2:12">
      <c r="B2522">
        <v>24.5546875</v>
      </c>
      <c r="C2522">
        <v>4.09419136121869</v>
      </c>
      <c r="D2522">
        <v>41.400273437499997</v>
      </c>
      <c r="E2522" s="5">
        <f t="shared" si="279"/>
        <v>41400.2734375</v>
      </c>
      <c r="F2522" s="5">
        <v>2.39809602499008</v>
      </c>
      <c r="G2522">
        <f t="shared" si="280"/>
        <v>828.00546874999998</v>
      </c>
      <c r="H2522">
        <f t="shared" si="281"/>
        <v>0.23980960249900801</v>
      </c>
      <c r="I2522">
        <f t="shared" si="282"/>
        <v>0.21695782145572676</v>
      </c>
      <c r="K2522" s="5">
        <f t="shared" si="283"/>
        <v>1026.5691310779423</v>
      </c>
      <c r="L2522" s="5">
        <f t="shared" si="284"/>
        <v>0.21495782145572676</v>
      </c>
    </row>
    <row r="2523" spans="2:12">
      <c r="B2523">
        <v>24.564453125</v>
      </c>
      <c r="C2523">
        <v>4.09806007519364</v>
      </c>
      <c r="D2523">
        <v>41.393601562500002</v>
      </c>
      <c r="E2523" s="5">
        <f t="shared" si="279"/>
        <v>41393.6015625</v>
      </c>
      <c r="F2523" s="5">
        <v>2.3999128025025098</v>
      </c>
      <c r="G2523">
        <f t="shared" si="280"/>
        <v>827.87203124999996</v>
      </c>
      <c r="H2523">
        <f t="shared" si="281"/>
        <v>0.23999128025025099</v>
      </c>
      <c r="I2523">
        <f t="shared" si="282"/>
        <v>0.21710434753597133</v>
      </c>
      <c r="K2523" s="5">
        <f t="shared" si="283"/>
        <v>1026.5540999130633</v>
      </c>
      <c r="L2523" s="5">
        <f t="shared" si="284"/>
        <v>0.21510434753597132</v>
      </c>
    </row>
    <row r="2524" spans="2:12">
      <c r="B2524">
        <v>24.57421875</v>
      </c>
      <c r="C2524">
        <v>4.0981462225317999</v>
      </c>
      <c r="D2524">
        <v>41.365347656250002</v>
      </c>
      <c r="E2524" s="5">
        <f t="shared" si="279"/>
        <v>41365.34765625</v>
      </c>
      <c r="F2524" s="5">
        <v>2.4017030373215702</v>
      </c>
      <c r="G2524">
        <f t="shared" si="280"/>
        <v>827.30695312499995</v>
      </c>
      <c r="H2524">
        <f t="shared" si="281"/>
        <v>0.24017030373215703</v>
      </c>
      <c r="I2524">
        <f t="shared" si="282"/>
        <v>0.21724871190591644</v>
      </c>
      <c r="K2524" s="5">
        <f t="shared" si="283"/>
        <v>1026.0015153367565</v>
      </c>
      <c r="L2524" s="5">
        <f t="shared" si="284"/>
        <v>0.21524871190591643</v>
      </c>
    </row>
    <row r="2525" spans="2:12">
      <c r="B2525">
        <v>24.583984375</v>
      </c>
      <c r="C2525">
        <v>4.0998733602464199</v>
      </c>
      <c r="D2525">
        <v>41.367511718750002</v>
      </c>
      <c r="E2525" s="5">
        <f t="shared" si="279"/>
        <v>41367.51171875</v>
      </c>
      <c r="F2525" s="5">
        <v>2.40349443629384</v>
      </c>
      <c r="G2525">
        <f t="shared" si="280"/>
        <v>827.35023437500001</v>
      </c>
      <c r="H2525">
        <f t="shared" si="281"/>
        <v>0.24034944362938399</v>
      </c>
      <c r="I2525">
        <f t="shared" si="282"/>
        <v>0.21739314929467662</v>
      </c>
      <c r="K2525" s="5">
        <f t="shared" si="283"/>
        <v>1026.2034028936719</v>
      </c>
      <c r="L2525" s="5">
        <f t="shared" si="284"/>
        <v>0.21539314929467662</v>
      </c>
    </row>
    <row r="2526" spans="2:12">
      <c r="B2526">
        <v>24.59375</v>
      </c>
      <c r="C2526">
        <v>4.1022961959242803</v>
      </c>
      <c r="D2526">
        <v>41.353820312499998</v>
      </c>
      <c r="E2526" s="5">
        <f t="shared" si="279"/>
        <v>41353.8203125</v>
      </c>
      <c r="F2526" s="5">
        <v>2.40535172633827</v>
      </c>
      <c r="G2526">
        <f t="shared" si="280"/>
        <v>827.07640624999999</v>
      </c>
      <c r="H2526">
        <f t="shared" si="281"/>
        <v>0.24053517263382701</v>
      </c>
      <c r="I2526">
        <f t="shared" si="282"/>
        <v>0.21754287734214192</v>
      </c>
      <c r="K2526" s="5">
        <f t="shared" si="283"/>
        <v>1026.017372408709</v>
      </c>
      <c r="L2526" s="5">
        <f t="shared" si="284"/>
        <v>0.21554287734214192</v>
      </c>
    </row>
    <row r="2527" spans="2:12">
      <c r="B2527">
        <v>24.603515625</v>
      </c>
      <c r="C2527">
        <v>4.1029602289199802</v>
      </c>
      <c r="D2527">
        <v>41.350019531249998</v>
      </c>
      <c r="E2527" s="5">
        <f t="shared" si="279"/>
        <v>41350.01953125</v>
      </c>
      <c r="F2527" s="5">
        <v>2.4071298539638502</v>
      </c>
      <c r="G2527">
        <f t="shared" si="280"/>
        <v>827.00039062500002</v>
      </c>
      <c r="H2527">
        <f t="shared" si="281"/>
        <v>0.24071298539638503</v>
      </c>
      <c r="I2527">
        <f t="shared" si="282"/>
        <v>0.21768620259744695</v>
      </c>
      <c r="K2527" s="5">
        <f t="shared" si="283"/>
        <v>1026.0701235763204</v>
      </c>
      <c r="L2527" s="5">
        <f t="shared" si="284"/>
        <v>0.21568620259744695</v>
      </c>
    </row>
    <row r="2528" spans="2:12">
      <c r="B2528">
        <v>24.61328125</v>
      </c>
      <c r="C2528">
        <v>4.1056154295802099</v>
      </c>
      <c r="D2528">
        <v>41.336867187499998</v>
      </c>
      <c r="E2528" s="5">
        <f t="shared" si="279"/>
        <v>41336.8671875</v>
      </c>
      <c r="F2528" s="5">
        <v>2.40896735340357</v>
      </c>
      <c r="G2528">
        <f t="shared" si="280"/>
        <v>826.73734375000004</v>
      </c>
      <c r="H2528">
        <f t="shared" si="281"/>
        <v>0.24089673534035699</v>
      </c>
      <c r="I2528">
        <f t="shared" si="282"/>
        <v>0.21783429191445153</v>
      </c>
      <c r="K2528" s="5">
        <f t="shared" si="283"/>
        <v>1025.8956708433336</v>
      </c>
      <c r="L2528" s="5">
        <f t="shared" si="284"/>
        <v>0.21583429191445153</v>
      </c>
    </row>
    <row r="2529" spans="2:12">
      <c r="B2529">
        <v>24.623046875</v>
      </c>
      <c r="C2529">
        <v>4.1071558371186301</v>
      </c>
      <c r="D2529">
        <v>41.313671874999997</v>
      </c>
      <c r="E2529" s="5">
        <f t="shared" si="279"/>
        <v>41313.671875</v>
      </c>
      <c r="F2529" s="5">
        <v>2.4108504876494399</v>
      </c>
      <c r="G2529">
        <f t="shared" si="280"/>
        <v>826.2734375</v>
      </c>
      <c r="H2529">
        <f t="shared" si="281"/>
        <v>0.24108504876494399</v>
      </c>
      <c r="I2529">
        <f t="shared" si="282"/>
        <v>0.21798603631979271</v>
      </c>
      <c r="K2529" s="5">
        <f t="shared" si="283"/>
        <v>1025.4756094728655</v>
      </c>
      <c r="L2529" s="5">
        <f t="shared" si="284"/>
        <v>0.21598603631979271</v>
      </c>
    </row>
    <row r="2530" spans="2:12">
      <c r="B2530">
        <v>24.6328125</v>
      </c>
      <c r="C2530">
        <v>4.1085029952228096</v>
      </c>
      <c r="D2530">
        <v>41.307570312499998</v>
      </c>
      <c r="E2530" s="5">
        <f t="shared" si="279"/>
        <v>41307.5703125</v>
      </c>
      <c r="F2530" s="5">
        <v>2.4126707576215298</v>
      </c>
      <c r="G2530">
        <f t="shared" si="280"/>
        <v>826.15140625000004</v>
      </c>
      <c r="H2530">
        <f t="shared" si="281"/>
        <v>0.24126707576215298</v>
      </c>
      <c r="I2530">
        <f t="shared" si="282"/>
        <v>0.21813269319069878</v>
      </c>
      <c r="K2530" s="5">
        <f t="shared" si="283"/>
        <v>1025.474540172728</v>
      </c>
      <c r="L2530" s="5">
        <f t="shared" si="284"/>
        <v>0.21613269319069878</v>
      </c>
    </row>
    <row r="2531" spans="2:12">
      <c r="B2531">
        <v>24.642578125</v>
      </c>
      <c r="C2531">
        <v>4.1115446947515002</v>
      </c>
      <c r="D2531">
        <v>41.297652343750002</v>
      </c>
      <c r="E2531" s="5">
        <f t="shared" si="279"/>
        <v>41297.65234375</v>
      </c>
      <c r="F2531" s="5">
        <v>2.4145436473190802</v>
      </c>
      <c r="G2531">
        <f t="shared" si="280"/>
        <v>825.95304687500004</v>
      </c>
      <c r="H2531">
        <f t="shared" si="281"/>
        <v>0.24145436473190801</v>
      </c>
      <c r="I2531">
        <f t="shared" si="282"/>
        <v>0.21828356712045641</v>
      </c>
      <c r="K2531" s="5">
        <f t="shared" si="283"/>
        <v>1025.383015106587</v>
      </c>
      <c r="L2531" s="5">
        <f t="shared" si="284"/>
        <v>0.2162835671204564</v>
      </c>
    </row>
    <row r="2532" spans="2:12">
      <c r="B2532">
        <v>24.65234375</v>
      </c>
      <c r="C2532">
        <v>4.1124285198748103</v>
      </c>
      <c r="D2532">
        <v>41.273179687499997</v>
      </c>
      <c r="E2532" s="5">
        <f t="shared" si="279"/>
        <v>41273.1796875</v>
      </c>
      <c r="F2532" s="5">
        <v>2.4162956979125698</v>
      </c>
      <c r="G2532">
        <f t="shared" si="280"/>
        <v>825.46359374999997</v>
      </c>
      <c r="H2532">
        <f t="shared" si="281"/>
        <v>0.24162956979125699</v>
      </c>
      <c r="I2532">
        <f t="shared" si="282"/>
        <v>0.21842468603891399</v>
      </c>
      <c r="K2532" s="5">
        <f t="shared" si="283"/>
        <v>1024.9200067861573</v>
      </c>
      <c r="L2532" s="5">
        <f t="shared" si="284"/>
        <v>0.21642468603891399</v>
      </c>
    </row>
    <row r="2533" spans="2:12">
      <c r="B2533">
        <v>24.662109375</v>
      </c>
      <c r="C2533">
        <v>4.1140243411064104</v>
      </c>
      <c r="D2533">
        <v>41.287058593749997</v>
      </c>
      <c r="E2533" s="5">
        <f t="shared" si="279"/>
        <v>41287.05859375</v>
      </c>
      <c r="F2533" s="5">
        <v>2.4181148037314402</v>
      </c>
      <c r="G2533">
        <f t="shared" si="280"/>
        <v>825.74117187499996</v>
      </c>
      <c r="H2533">
        <f t="shared" si="281"/>
        <v>0.24181148037314401</v>
      </c>
      <c r="I2533">
        <f t="shared" si="282"/>
        <v>0.2185711848512778</v>
      </c>
      <c r="K2533" s="5">
        <f t="shared" si="283"/>
        <v>1025.4148670511483</v>
      </c>
      <c r="L2533" s="5">
        <f t="shared" si="284"/>
        <v>0.2165711848512778</v>
      </c>
    </row>
    <row r="2534" spans="2:12">
      <c r="B2534">
        <v>24.671875</v>
      </c>
      <c r="C2534">
        <v>4.1152420453727201</v>
      </c>
      <c r="D2534">
        <v>41.253863281249998</v>
      </c>
      <c r="E2534" s="5">
        <f t="shared" si="279"/>
        <v>41253.86328125</v>
      </c>
      <c r="F2534" s="5">
        <v>2.4198985192924698</v>
      </c>
      <c r="G2534">
        <f t="shared" si="280"/>
        <v>825.077265625</v>
      </c>
      <c r="H2534">
        <f t="shared" si="281"/>
        <v>0.24198985192924699</v>
      </c>
      <c r="I2534">
        <f t="shared" si="282"/>
        <v>0.21871481272850768</v>
      </c>
      <c r="K2534" s="5">
        <f t="shared" si="283"/>
        <v>1024.7375909637817</v>
      </c>
      <c r="L2534" s="5">
        <f t="shared" si="284"/>
        <v>0.21671481272850768</v>
      </c>
    </row>
    <row r="2535" spans="2:12">
      <c r="B2535">
        <v>24.681640625</v>
      </c>
      <c r="C2535">
        <v>4.11654636263847</v>
      </c>
      <c r="D2535">
        <v>41.244578124999997</v>
      </c>
      <c r="E2535" s="5">
        <f t="shared" si="279"/>
        <v>41244.578125</v>
      </c>
      <c r="F2535" s="5">
        <v>2.42172251455486</v>
      </c>
      <c r="G2535">
        <f t="shared" si="280"/>
        <v>824.89156249999996</v>
      </c>
      <c r="H2535">
        <f t="shared" si="281"/>
        <v>0.24217225145548599</v>
      </c>
      <c r="I2535">
        <f t="shared" si="282"/>
        <v>0.21886166266742138</v>
      </c>
      <c r="K2535" s="5">
        <f t="shared" si="283"/>
        <v>1024.6574093972588</v>
      </c>
      <c r="L2535" s="5">
        <f t="shared" si="284"/>
        <v>0.21686166266742138</v>
      </c>
    </row>
    <row r="2536" spans="2:12">
      <c r="B2536">
        <v>24.69140625</v>
      </c>
      <c r="C2536">
        <v>4.1185645386576697</v>
      </c>
      <c r="D2536">
        <v>41.218496093749998</v>
      </c>
      <c r="E2536" s="5">
        <f t="shared" si="279"/>
        <v>41218.49609375</v>
      </c>
      <c r="F2536" s="5">
        <v>2.4235185701400002</v>
      </c>
      <c r="G2536">
        <f t="shared" si="280"/>
        <v>824.36992187500005</v>
      </c>
      <c r="H2536">
        <f t="shared" si="281"/>
        <v>0.24235185701400003</v>
      </c>
      <c r="I2536">
        <f t="shared" si="282"/>
        <v>0.21900624211280856</v>
      </c>
      <c r="K2536" s="5">
        <f t="shared" si="283"/>
        <v>1024.1575033078923</v>
      </c>
      <c r="L2536" s="5">
        <f t="shared" si="284"/>
        <v>0.21700624211280856</v>
      </c>
    </row>
    <row r="2537" spans="2:12">
      <c r="B2537">
        <v>24.701171875</v>
      </c>
      <c r="C2537">
        <v>4.1202269494533503</v>
      </c>
      <c r="D2537">
        <v>41.201828124999999</v>
      </c>
      <c r="E2537" s="5">
        <f t="shared" si="279"/>
        <v>41201.828125</v>
      </c>
      <c r="F2537" s="5">
        <v>2.4252987932413799</v>
      </c>
      <c r="G2537">
        <f t="shared" si="280"/>
        <v>824.03656249999995</v>
      </c>
      <c r="H2537">
        <f t="shared" si="281"/>
        <v>0.242529879324138</v>
      </c>
      <c r="I2537">
        <f t="shared" si="282"/>
        <v>0.2191495264452894</v>
      </c>
      <c r="K2537" s="5">
        <f t="shared" si="283"/>
        <v>1023.8900505618024</v>
      </c>
      <c r="L2537" s="5">
        <f t="shared" si="284"/>
        <v>0.2171495264452894</v>
      </c>
    </row>
    <row r="2538" spans="2:12">
      <c r="B2538">
        <v>24.7109375</v>
      </c>
      <c r="C2538">
        <v>4.1217235848307601</v>
      </c>
      <c r="D2538">
        <v>41.188265625</v>
      </c>
      <c r="E2538" s="5">
        <f t="shared" si="279"/>
        <v>41188.265625</v>
      </c>
      <c r="F2538" s="5">
        <v>2.4269740097224699</v>
      </c>
      <c r="G2538">
        <f t="shared" si="280"/>
        <v>823.76531250000005</v>
      </c>
      <c r="H2538">
        <f t="shared" si="281"/>
        <v>0.24269740097224698</v>
      </c>
      <c r="I2538">
        <f t="shared" si="282"/>
        <v>0.21928434039143496</v>
      </c>
      <c r="K2538" s="5">
        <f t="shared" si="283"/>
        <v>1023.6910128548408</v>
      </c>
      <c r="L2538" s="5">
        <f t="shared" si="284"/>
        <v>0.21728434039143496</v>
      </c>
    </row>
    <row r="2539" spans="2:12">
      <c r="B2539">
        <v>24.720703125</v>
      </c>
      <c r="C2539">
        <v>4.1231210343539697</v>
      </c>
      <c r="D2539">
        <v>41.181164062500002</v>
      </c>
      <c r="E2539" s="5">
        <f t="shared" si="279"/>
        <v>41181.1640625</v>
      </c>
      <c r="F2539" s="5">
        <v>2.4287542328238501</v>
      </c>
      <c r="G2539">
        <f t="shared" si="280"/>
        <v>823.62328124999999</v>
      </c>
      <c r="H2539">
        <f t="shared" si="281"/>
        <v>0.24287542328238501</v>
      </c>
      <c r="I2539">
        <f t="shared" si="282"/>
        <v>0.21942758488518338</v>
      </c>
      <c r="K2539" s="5">
        <f t="shared" si="283"/>
        <v>1023.6611343088207</v>
      </c>
      <c r="L2539" s="5">
        <f t="shared" si="284"/>
        <v>0.21742758488518338</v>
      </c>
    </row>
    <row r="2540" spans="2:12">
      <c r="B2540">
        <v>24.73046875</v>
      </c>
      <c r="C2540">
        <v>4.1240034624934196</v>
      </c>
      <c r="D2540">
        <v>41.177757812499998</v>
      </c>
      <c r="E2540" s="5">
        <f t="shared" si="279"/>
        <v>41177.7578125</v>
      </c>
      <c r="F2540" s="5">
        <v>2.4306315463036299</v>
      </c>
      <c r="G2540">
        <f t="shared" si="280"/>
        <v>823.55515624999998</v>
      </c>
      <c r="H2540">
        <f t="shared" si="281"/>
        <v>0.24306315463036299</v>
      </c>
      <c r="I2540">
        <f t="shared" si="282"/>
        <v>0.21957861946826016</v>
      </c>
      <c r="K2540" s="5">
        <f t="shared" si="283"/>
        <v>1023.7310705402265</v>
      </c>
      <c r="L2540" s="5">
        <f t="shared" si="284"/>
        <v>0.21757861946826015</v>
      </c>
    </row>
    <row r="2541" spans="2:12">
      <c r="B2541">
        <v>24.740234375</v>
      </c>
      <c r="C2541">
        <v>4.1258013807237104</v>
      </c>
      <c r="D2541">
        <v>41.176531249999996</v>
      </c>
      <c r="E2541" s="5">
        <f t="shared" si="279"/>
        <v>41176.53125</v>
      </c>
      <c r="F2541" s="5">
        <v>2.43251956999302</v>
      </c>
      <c r="G2541">
        <f t="shared" si="280"/>
        <v>823.53062499999999</v>
      </c>
      <c r="H2541">
        <f t="shared" si="281"/>
        <v>0.24325195699930199</v>
      </c>
      <c r="I2541">
        <f t="shared" si="282"/>
        <v>0.21973049271105125</v>
      </c>
      <c r="K2541" s="5">
        <f t="shared" si="283"/>
        <v>1023.8560611801082</v>
      </c>
      <c r="L2541" s="5">
        <f t="shared" si="284"/>
        <v>0.21773049271105124</v>
      </c>
    </row>
    <row r="2542" spans="2:12">
      <c r="B2542">
        <v>24.75</v>
      </c>
      <c r="C2542">
        <v>4.1283690370619297</v>
      </c>
      <c r="D2542">
        <v>41.1497265625</v>
      </c>
      <c r="E2542" s="5">
        <f t="shared" si="279"/>
        <v>41149.7265625</v>
      </c>
      <c r="F2542" s="5">
        <v>2.4343589320778798</v>
      </c>
      <c r="G2542">
        <f t="shared" si="280"/>
        <v>822.99453125000002</v>
      </c>
      <c r="H2542">
        <f t="shared" si="281"/>
        <v>0.24343589320778797</v>
      </c>
      <c r="I2542">
        <f t="shared" si="282"/>
        <v>0.21987842942036218</v>
      </c>
      <c r="K2542" s="5">
        <f t="shared" si="283"/>
        <v>1023.3409400699686</v>
      </c>
      <c r="L2542" s="5">
        <f t="shared" si="284"/>
        <v>0.21787842942036217</v>
      </c>
    </row>
    <row r="2543" spans="2:12">
      <c r="B2543">
        <v>24.759765625</v>
      </c>
      <c r="C2543">
        <v>4.1307061910629299</v>
      </c>
      <c r="D2543">
        <v>41.139445312500001</v>
      </c>
      <c r="E2543" s="5">
        <f t="shared" si="279"/>
        <v>41139.4453125</v>
      </c>
      <c r="F2543" s="5">
        <v>2.4361615069210498</v>
      </c>
      <c r="G2543">
        <f t="shared" si="280"/>
        <v>822.78890624999997</v>
      </c>
      <c r="H2543">
        <f t="shared" si="281"/>
        <v>0.24361615069210499</v>
      </c>
      <c r="I2543">
        <f t="shared" si="282"/>
        <v>0.2200233861654973</v>
      </c>
      <c r="K2543" s="5">
        <f t="shared" si="283"/>
        <v>1023.2335724227922</v>
      </c>
      <c r="L2543" s="5">
        <f t="shared" si="284"/>
        <v>0.2180233861654973</v>
      </c>
    </row>
    <row r="2544" spans="2:12">
      <c r="B2544">
        <v>24.76953125</v>
      </c>
      <c r="C2544">
        <v>4.1312044486403501</v>
      </c>
      <c r="D2544">
        <v>41.131742187500002</v>
      </c>
      <c r="E2544" s="5">
        <f t="shared" si="279"/>
        <v>41131.7421875</v>
      </c>
      <c r="F2544" s="5">
        <v>2.4379515089094599</v>
      </c>
      <c r="G2544">
        <f t="shared" si="280"/>
        <v>822.63484374999996</v>
      </c>
      <c r="H2544">
        <f t="shared" si="281"/>
        <v>0.243795150890946</v>
      </c>
      <c r="I2544">
        <f t="shared" si="282"/>
        <v>0.22016731105563184</v>
      </c>
      <c r="K2544" s="5">
        <f t="shared" si="283"/>
        <v>1023.189229610181</v>
      </c>
      <c r="L2544" s="5">
        <f t="shared" si="284"/>
        <v>0.21816731105563184</v>
      </c>
    </row>
    <row r="2545" spans="2:12">
      <c r="B2545">
        <v>24.779296875</v>
      </c>
      <c r="C2545">
        <v>4.1319592855870697</v>
      </c>
      <c r="D2545">
        <v>41.122363281250003</v>
      </c>
      <c r="E2545" s="5">
        <f t="shared" si="279"/>
        <v>41122.36328125</v>
      </c>
      <c r="F2545" s="5">
        <v>2.4398136883974102</v>
      </c>
      <c r="G2545">
        <f t="shared" si="280"/>
        <v>822.447265625</v>
      </c>
      <c r="H2545">
        <f t="shared" si="281"/>
        <v>0.24398136883974103</v>
      </c>
      <c r="I2545">
        <f t="shared" si="282"/>
        <v>0.22031701738790557</v>
      </c>
      <c r="K2545" s="5">
        <f t="shared" si="283"/>
        <v>1023.1090752906896</v>
      </c>
      <c r="L2545" s="5">
        <f t="shared" si="284"/>
        <v>0.21831701738790557</v>
      </c>
    </row>
    <row r="2546" spans="2:12">
      <c r="B2546">
        <v>24.7890625</v>
      </c>
      <c r="C2546">
        <v>4.1345995850861099</v>
      </c>
      <c r="D2546">
        <v>41.123101562499997</v>
      </c>
      <c r="E2546" s="5">
        <f t="shared" si="279"/>
        <v>41123.1015625</v>
      </c>
      <c r="F2546" s="5">
        <v>2.4416269734501799</v>
      </c>
      <c r="G2546">
        <f t="shared" si="280"/>
        <v>822.46203125</v>
      </c>
      <c r="H2546">
        <f t="shared" si="281"/>
        <v>0.244162697345018</v>
      </c>
      <c r="I2546">
        <f t="shared" si="282"/>
        <v>0.22046277141241111</v>
      </c>
      <c r="K2546" s="5">
        <f t="shared" si="283"/>
        <v>1023.2765792638625</v>
      </c>
      <c r="L2546" s="5">
        <f t="shared" si="284"/>
        <v>0.21846277141241111</v>
      </c>
    </row>
    <row r="2547" spans="2:12">
      <c r="B2547">
        <v>24.798828125</v>
      </c>
      <c r="C2547">
        <v>4.1374196298420403</v>
      </c>
      <c r="D2547">
        <v>41.124089843749999</v>
      </c>
      <c r="E2547" s="5">
        <f t="shared" si="279"/>
        <v>41124.08984375</v>
      </c>
      <c r="F2547" s="5">
        <v>2.4435354862362102</v>
      </c>
      <c r="G2547">
        <f t="shared" si="280"/>
        <v>822.48179687499999</v>
      </c>
      <c r="H2547">
        <f t="shared" si="281"/>
        <v>0.24435354862362102</v>
      </c>
      <c r="I2547">
        <f t="shared" si="282"/>
        <v>0.22061615701259471</v>
      </c>
      <c r="K2547" s="5">
        <f t="shared" si="283"/>
        <v>1023.4581426197385</v>
      </c>
      <c r="L2547" s="5">
        <f t="shared" si="284"/>
        <v>0.21861615701259471</v>
      </c>
    </row>
    <row r="2548" spans="2:12">
      <c r="B2548">
        <v>24.80859375</v>
      </c>
      <c r="C2548">
        <v>4.1390666738152504</v>
      </c>
      <c r="D2548">
        <v>41.087554687500003</v>
      </c>
      <c r="E2548" s="5">
        <f t="shared" si="279"/>
        <v>41087.5546875</v>
      </c>
      <c r="F2548" s="5">
        <v>2.4453995283693102</v>
      </c>
      <c r="G2548">
        <f t="shared" si="280"/>
        <v>821.75109375</v>
      </c>
      <c r="H2548">
        <f t="shared" si="281"/>
        <v>0.24453995283693103</v>
      </c>
      <c r="I2548">
        <f t="shared" si="282"/>
        <v>0.22076594583525752</v>
      </c>
      <c r="K2548" s="5">
        <f t="shared" si="283"/>
        <v>1022.7020674593215</v>
      </c>
      <c r="L2548" s="5">
        <f t="shared" si="284"/>
        <v>0.21876594583525752</v>
      </c>
    </row>
    <row r="2549" spans="2:12">
      <c r="B2549">
        <v>24.818359375</v>
      </c>
      <c r="C2549">
        <v>4.1409912519156897</v>
      </c>
      <c r="D2549">
        <v>41.075167968750002</v>
      </c>
      <c r="E2549" s="5">
        <f t="shared" si="279"/>
        <v>41075.16796875</v>
      </c>
      <c r="F2549" s="5">
        <v>2.4472386576235299</v>
      </c>
      <c r="G2549">
        <f t="shared" si="280"/>
        <v>821.50335937499995</v>
      </c>
      <c r="H2549">
        <f t="shared" si="281"/>
        <v>0.244723865762353</v>
      </c>
      <c r="I2549">
        <f t="shared" si="282"/>
        <v>0.22091371074822694</v>
      </c>
      <c r="K2549" s="5">
        <f t="shared" si="283"/>
        <v>1022.5448372180094</v>
      </c>
      <c r="L2549" s="5">
        <f t="shared" si="284"/>
        <v>0.21891371074822694</v>
      </c>
    </row>
    <row r="2550" spans="2:12">
      <c r="B2550">
        <v>24.828125</v>
      </c>
      <c r="C2550">
        <v>4.1419821791350797</v>
      </c>
      <c r="D2550">
        <v>41.045851562499998</v>
      </c>
      <c r="E2550" s="5">
        <f t="shared" si="279"/>
        <v>41045.8515625</v>
      </c>
      <c r="F2550" s="5">
        <v>2.44907150045037</v>
      </c>
      <c r="G2550">
        <f t="shared" si="280"/>
        <v>820.91703125000004</v>
      </c>
      <c r="H2550">
        <f t="shared" si="281"/>
        <v>0.24490715004503699</v>
      </c>
      <c r="I2550">
        <f t="shared" si="282"/>
        <v>0.22106094885849428</v>
      </c>
      <c r="K2550" s="5">
        <f t="shared" si="283"/>
        <v>1021.9654817968701</v>
      </c>
      <c r="L2550" s="5">
        <f t="shared" si="284"/>
        <v>0.21906094885849428</v>
      </c>
    </row>
    <row r="2551" spans="2:12">
      <c r="B2551">
        <v>24.837890625</v>
      </c>
      <c r="C2551">
        <v>4.14022291079164</v>
      </c>
      <c r="D2551">
        <v>41.02462109375</v>
      </c>
      <c r="E2551" s="5">
        <f t="shared" si="279"/>
        <v>41024.62109375</v>
      </c>
      <c r="F2551" s="5">
        <v>2.4508521892130402</v>
      </c>
      <c r="G2551">
        <f t="shared" si="280"/>
        <v>820.49242187499999</v>
      </c>
      <c r="H2551">
        <f t="shared" si="281"/>
        <v>0.24508521892130403</v>
      </c>
      <c r="I2551">
        <f t="shared" si="282"/>
        <v>0.22120397650692392</v>
      </c>
      <c r="K2551" s="5">
        <f t="shared" si="283"/>
        <v>1021.5829867135053</v>
      </c>
      <c r="L2551" s="5">
        <f t="shared" si="284"/>
        <v>0.21920397650692391</v>
      </c>
    </row>
    <row r="2552" spans="2:12">
      <c r="B2552">
        <v>24.84765625</v>
      </c>
      <c r="C2552">
        <v>4.1438234038650998</v>
      </c>
      <c r="D2552">
        <v>41.024374999999999</v>
      </c>
      <c r="E2552" s="5">
        <f t="shared" si="279"/>
        <v>41024.375</v>
      </c>
      <c r="F2552" s="5">
        <v>2.45264475233853</v>
      </c>
      <c r="G2552">
        <f t="shared" si="280"/>
        <v>820.48749999999995</v>
      </c>
      <c r="H2552">
        <f t="shared" si="281"/>
        <v>0.245264475233853</v>
      </c>
      <c r="I2552">
        <f t="shared" si="282"/>
        <v>0.22134793726334251</v>
      </c>
      <c r="K2552" s="5">
        <f t="shared" si="283"/>
        <v>1021.723936123436</v>
      </c>
      <c r="L2552" s="5">
        <f t="shared" si="284"/>
        <v>0.21934793726334251</v>
      </c>
    </row>
    <row r="2553" spans="2:12">
      <c r="B2553">
        <v>24.857421875</v>
      </c>
      <c r="C2553">
        <v>4.1474844329059097</v>
      </c>
      <c r="D2553">
        <v>41.02399609375</v>
      </c>
      <c r="E2553" s="5">
        <f t="shared" si="279"/>
        <v>41023.99609375</v>
      </c>
      <c r="F2553" s="5">
        <v>2.4545569904148601</v>
      </c>
      <c r="G2553">
        <f t="shared" si="280"/>
        <v>820.47992187499995</v>
      </c>
      <c r="H2553">
        <f t="shared" si="281"/>
        <v>0.24545569904148601</v>
      </c>
      <c r="I2553">
        <f t="shared" si="282"/>
        <v>0.22150148627296923</v>
      </c>
      <c r="K2553" s="5">
        <f t="shared" si="283"/>
        <v>1021.8713946483318</v>
      </c>
      <c r="L2553" s="5">
        <f t="shared" si="284"/>
        <v>0.21950148627296923</v>
      </c>
    </row>
    <row r="2554" spans="2:12">
      <c r="B2554">
        <v>24.8671875</v>
      </c>
      <c r="C2554">
        <v>4.1480874642729804</v>
      </c>
      <c r="D2554">
        <v>41.001148437499999</v>
      </c>
      <c r="E2554" s="5">
        <f t="shared" si="279"/>
        <v>41001.1484375</v>
      </c>
      <c r="F2554" s="5">
        <v>2.4562915787100801</v>
      </c>
      <c r="G2554">
        <f t="shared" si="280"/>
        <v>820.02296875000002</v>
      </c>
      <c r="H2554">
        <f t="shared" si="281"/>
        <v>0.245629157871008</v>
      </c>
      <c r="I2554">
        <f t="shared" si="282"/>
        <v>0.22164074995908647</v>
      </c>
      <c r="K2554" s="5">
        <f t="shared" si="283"/>
        <v>1021.4445199989464</v>
      </c>
      <c r="L2554" s="5">
        <f t="shared" si="284"/>
        <v>0.21964074995908647</v>
      </c>
    </row>
    <row r="2555" spans="2:12">
      <c r="B2555">
        <v>24.876953125</v>
      </c>
      <c r="C2555">
        <v>4.1492381133139098</v>
      </c>
      <c r="D2555">
        <v>40.982433593750002</v>
      </c>
      <c r="E2555" s="5">
        <f t="shared" si="279"/>
        <v>40982.43359375</v>
      </c>
      <c r="F2555" s="5">
        <v>2.4580694735050201</v>
      </c>
      <c r="G2555">
        <f t="shared" si="280"/>
        <v>819.64867187499999</v>
      </c>
      <c r="H2555">
        <f t="shared" si="281"/>
        <v>0.24580694735050201</v>
      </c>
      <c r="I2555">
        <f t="shared" si="282"/>
        <v>0.22178347044019636</v>
      </c>
      <c r="K2555" s="5">
        <f t="shared" si="283"/>
        <v>1021.124009808487</v>
      </c>
      <c r="L2555" s="5">
        <f t="shared" si="284"/>
        <v>0.21978347044019636</v>
      </c>
    </row>
    <row r="2556" spans="2:12">
      <c r="B2556">
        <v>24.88671875</v>
      </c>
      <c r="C2556">
        <v>4.1512758471071702</v>
      </c>
      <c r="D2556">
        <v>40.973046875000001</v>
      </c>
      <c r="E2556" s="5">
        <f t="shared" si="279"/>
        <v>40973.046875</v>
      </c>
      <c r="F2556" s="5">
        <v>2.4598992895334999</v>
      </c>
      <c r="G2556">
        <f t="shared" si="280"/>
        <v>819.4609375</v>
      </c>
      <c r="H2556">
        <f t="shared" si="281"/>
        <v>0.24598992895334998</v>
      </c>
      <c r="I2556">
        <f t="shared" si="282"/>
        <v>0.22193033763062991</v>
      </c>
      <c r="K2556" s="5">
        <f t="shared" si="283"/>
        <v>1021.0400752956706</v>
      </c>
      <c r="L2556" s="5">
        <f t="shared" si="284"/>
        <v>0.21993033763062991</v>
      </c>
    </row>
    <row r="2557" spans="2:12">
      <c r="B2557">
        <v>24.896484375</v>
      </c>
      <c r="C2557">
        <v>4.1528553701937199</v>
      </c>
      <c r="D2557">
        <v>40.982503906250003</v>
      </c>
      <c r="E2557" s="5">
        <f t="shared" si="279"/>
        <v>40982.50390625</v>
      </c>
      <c r="F2557" s="5">
        <v>2.4617484305053901</v>
      </c>
      <c r="G2557">
        <f t="shared" si="280"/>
        <v>819.65007812500005</v>
      </c>
      <c r="H2557">
        <f t="shared" si="281"/>
        <v>0.24617484305053899</v>
      </c>
      <c r="I2557">
        <f t="shared" si="282"/>
        <v>0.22207873399639644</v>
      </c>
      <c r="K2557" s="5">
        <f t="shared" si="283"/>
        <v>1021.427307463784</v>
      </c>
      <c r="L2557" s="5">
        <f t="shared" si="284"/>
        <v>0.22007873399639644</v>
      </c>
    </row>
    <row r="2558" spans="2:12">
      <c r="B2558">
        <v>24.90625</v>
      </c>
      <c r="C2558">
        <v>4.1544940322637602</v>
      </c>
      <c r="D2558">
        <v>40.977914062499998</v>
      </c>
      <c r="E2558" s="5">
        <f t="shared" si="279"/>
        <v>40977.9140625</v>
      </c>
      <c r="F2558" s="5">
        <v>2.4636811576783701</v>
      </c>
      <c r="G2558">
        <f t="shared" si="280"/>
        <v>819.55828125000005</v>
      </c>
      <c r="H2558">
        <f t="shared" si="281"/>
        <v>0.24636811576783701</v>
      </c>
      <c r="I2558">
        <f t="shared" si="282"/>
        <v>0.22223381474796505</v>
      </c>
      <c r="K2558" s="5">
        <f t="shared" si="283"/>
        <v>1021.4713107634896</v>
      </c>
      <c r="L2558" s="5">
        <f t="shared" si="284"/>
        <v>0.22023381474796505</v>
      </c>
    </row>
    <row r="2559" spans="2:12">
      <c r="B2559">
        <v>24.916015625</v>
      </c>
      <c r="C2559">
        <v>4.1574118658900296</v>
      </c>
      <c r="D2559">
        <v>40.965867187500002</v>
      </c>
      <c r="E2559" s="5">
        <f t="shared" si="279"/>
        <v>40965.8671875</v>
      </c>
      <c r="F2559" s="5">
        <v>2.4656159803271298</v>
      </c>
      <c r="G2559">
        <f t="shared" si="280"/>
        <v>819.31734374999996</v>
      </c>
      <c r="H2559">
        <f t="shared" si="281"/>
        <v>0.24656159803271299</v>
      </c>
      <c r="I2559">
        <f t="shared" si="282"/>
        <v>0.22238903955369732</v>
      </c>
      <c r="K2559" s="5">
        <f t="shared" si="283"/>
        <v>1021.3295373209176</v>
      </c>
      <c r="L2559" s="5">
        <f t="shared" si="284"/>
        <v>0.22038903955369732</v>
      </c>
    </row>
    <row r="2560" spans="2:12">
      <c r="B2560">
        <v>24.92578125</v>
      </c>
      <c r="C2560">
        <v>4.1572935879230499</v>
      </c>
      <c r="D2560">
        <v>40.9481015625</v>
      </c>
      <c r="E2560" s="5">
        <f t="shared" si="279"/>
        <v>40948.1015625</v>
      </c>
      <c r="F2560" s="5">
        <v>2.4675389286130698</v>
      </c>
      <c r="G2560">
        <f t="shared" si="280"/>
        <v>818.96203125</v>
      </c>
      <c r="H2560">
        <f t="shared" si="281"/>
        <v>0.24675389286130697</v>
      </c>
      <c r="I2560">
        <f t="shared" si="282"/>
        <v>0.22254328784652469</v>
      </c>
      <c r="K2560" s="5">
        <f t="shared" si="283"/>
        <v>1021.0441005665408</v>
      </c>
      <c r="L2560" s="5">
        <f t="shared" si="284"/>
        <v>0.22054328784652469</v>
      </c>
    </row>
    <row r="2561" spans="2:12">
      <c r="B2561">
        <v>24.935546875</v>
      </c>
      <c r="C2561">
        <v>4.1585485450923398</v>
      </c>
      <c r="D2561">
        <v>40.917867187500001</v>
      </c>
      <c r="E2561" s="5">
        <f t="shared" si="279"/>
        <v>40917.8671875</v>
      </c>
      <c r="F2561" s="5">
        <v>2.46958970092237</v>
      </c>
      <c r="G2561">
        <f t="shared" si="280"/>
        <v>818.35734375000004</v>
      </c>
      <c r="H2561">
        <f t="shared" si="281"/>
        <v>0.246958970092237</v>
      </c>
      <c r="I2561">
        <f t="shared" si="282"/>
        <v>0.22270776326343336</v>
      </c>
      <c r="K2561" s="5">
        <f t="shared" si="283"/>
        <v>1020.4580305299188</v>
      </c>
      <c r="L2561" s="5">
        <f t="shared" si="284"/>
        <v>0.22070776326343336</v>
      </c>
    </row>
    <row r="2562" spans="2:12">
      <c r="B2562">
        <v>24.9453125</v>
      </c>
      <c r="C2562">
        <v>4.1602873243391496</v>
      </c>
      <c r="D2562">
        <v>40.899339843749999</v>
      </c>
      <c r="E2562" s="5">
        <f t="shared" si="279"/>
        <v>40899.33984375</v>
      </c>
      <c r="F2562" s="5">
        <v>2.4714872706681499</v>
      </c>
      <c r="G2562">
        <f t="shared" si="280"/>
        <v>817.98679687499998</v>
      </c>
      <c r="H2562">
        <f t="shared" si="281"/>
        <v>0.24714872706681498</v>
      </c>
      <c r="I2562">
        <f t="shared" si="282"/>
        <v>0.22285992748245259</v>
      </c>
      <c r="K2562" s="5">
        <f t="shared" si="283"/>
        <v>1020.1511924801175</v>
      </c>
      <c r="L2562" s="5">
        <f t="shared" si="284"/>
        <v>0.22085992748245259</v>
      </c>
    </row>
    <row r="2563" spans="2:12">
      <c r="B2563">
        <v>24.955078125</v>
      </c>
      <c r="C2563">
        <v>4.16279584169388</v>
      </c>
      <c r="D2563">
        <v>40.895953124999998</v>
      </c>
      <c r="E2563" s="5">
        <f t="shared" si="279"/>
        <v>40895.953125</v>
      </c>
      <c r="F2563" s="5">
        <v>2.47346423566341</v>
      </c>
      <c r="G2563">
        <f t="shared" si="280"/>
        <v>817.9190625</v>
      </c>
      <c r="H2563">
        <f t="shared" si="281"/>
        <v>0.24734642356634101</v>
      </c>
      <c r="I2563">
        <f t="shared" si="282"/>
        <v>0.22301843370355293</v>
      </c>
      <c r="K2563" s="5">
        <f t="shared" si="283"/>
        <v>1020.2284173761095</v>
      </c>
      <c r="L2563" s="5">
        <f t="shared" si="284"/>
        <v>0.22101843370355292</v>
      </c>
    </row>
    <row r="2564" spans="2:12">
      <c r="B2564">
        <v>24.96484375</v>
      </c>
      <c r="C2564">
        <v>4.1656061075627804</v>
      </c>
      <c r="D2564">
        <v>40.885382812499998</v>
      </c>
      <c r="E2564" s="5">
        <f t="shared" si="279"/>
        <v>40885.3828125</v>
      </c>
      <c r="F2564" s="5">
        <v>2.47535086236894</v>
      </c>
      <c r="G2564">
        <f t="shared" si="280"/>
        <v>817.70765625000001</v>
      </c>
      <c r="H2564">
        <f t="shared" si="281"/>
        <v>0.24753508623689399</v>
      </c>
      <c r="I2564">
        <f t="shared" si="282"/>
        <v>0.22316967348802466</v>
      </c>
      <c r="K2564" s="5">
        <f t="shared" si="283"/>
        <v>1020.1189914564121</v>
      </c>
      <c r="L2564" s="5">
        <f t="shared" si="284"/>
        <v>0.22116967348802466</v>
      </c>
    </row>
    <row r="2565" spans="2:12">
      <c r="B2565">
        <v>24.974609375</v>
      </c>
      <c r="C2565">
        <v>4.1652433574199703</v>
      </c>
      <c r="D2565">
        <v>40.88682421875</v>
      </c>
      <c r="E2565" s="5">
        <f t="shared" si="279"/>
        <v>40886.82421875</v>
      </c>
      <c r="F2565" s="5">
        <v>2.47724982909858</v>
      </c>
      <c r="G2565">
        <f t="shared" si="280"/>
        <v>817.73648437500003</v>
      </c>
      <c r="H2565">
        <f t="shared" si="281"/>
        <v>0.247724982909858</v>
      </c>
      <c r="I2565">
        <f t="shared" si="282"/>
        <v>0.22332187940489778</v>
      </c>
      <c r="K2565" s="5">
        <f t="shared" si="283"/>
        <v>1020.3102409915642</v>
      </c>
      <c r="L2565" s="5">
        <f t="shared" si="284"/>
        <v>0.22132187940489778</v>
      </c>
    </row>
    <row r="2566" spans="2:12">
      <c r="B2566">
        <v>24.984375</v>
      </c>
      <c r="C2566">
        <v>4.1698738932609603</v>
      </c>
      <c r="D2566">
        <v>40.856957031249998</v>
      </c>
      <c r="E2566" s="5">
        <f t="shared" si="279"/>
        <v>40856.95703125</v>
      </c>
      <c r="F2566" s="5">
        <v>2.4791746400296701</v>
      </c>
      <c r="G2566">
        <f t="shared" si="280"/>
        <v>817.13914062499998</v>
      </c>
      <c r="H2566">
        <f t="shared" si="281"/>
        <v>0.24791746400296702</v>
      </c>
      <c r="I2566">
        <f t="shared" si="282"/>
        <v>0.22347613314723885</v>
      </c>
      <c r="K2566" s="5">
        <f t="shared" si="283"/>
        <v>1019.7222041063139</v>
      </c>
      <c r="L2566" s="5">
        <f t="shared" si="284"/>
        <v>0.22147613314723885</v>
      </c>
    </row>
    <row r="2567" spans="2:12">
      <c r="B2567">
        <v>24.994140625</v>
      </c>
      <c r="C2567">
        <v>4.1705663315951798</v>
      </c>
      <c r="D2567">
        <v>40.826808593750002</v>
      </c>
      <c r="E2567" s="5">
        <f t="shared" si="279"/>
        <v>40826.80859375</v>
      </c>
      <c r="F2567" s="5">
        <v>2.4809786118566999</v>
      </c>
      <c r="G2567">
        <f t="shared" si="280"/>
        <v>816.53617187500004</v>
      </c>
      <c r="H2567">
        <f t="shared" si="281"/>
        <v>0.24809786118566998</v>
      </c>
      <c r="I2567">
        <f t="shared" si="282"/>
        <v>0.22362068128458112</v>
      </c>
      <c r="K2567" s="5">
        <f t="shared" si="283"/>
        <v>1019.1170496979221</v>
      </c>
      <c r="L2567" s="5">
        <f t="shared" si="284"/>
        <v>0.22162068128458112</v>
      </c>
    </row>
    <row r="2568" spans="2:12">
      <c r="B2568">
        <v>25.00390625</v>
      </c>
      <c r="C2568">
        <v>4.17253049090505</v>
      </c>
      <c r="D2568">
        <v>40.801394531249997</v>
      </c>
      <c r="E2568" s="5">
        <f t="shared" si="279"/>
        <v>40801.39453125</v>
      </c>
      <c r="F2568" s="5">
        <v>2.4827593006193598</v>
      </c>
      <c r="G2568">
        <f t="shared" si="280"/>
        <v>816.02789062500005</v>
      </c>
      <c r="H2568">
        <f t="shared" si="281"/>
        <v>0.24827593006193599</v>
      </c>
      <c r="I2568">
        <f t="shared" si="282"/>
        <v>0.22376334331475656</v>
      </c>
      <c r="K2568" s="5">
        <f t="shared" si="283"/>
        <v>1018.6279741264017</v>
      </c>
      <c r="L2568" s="5">
        <f t="shared" si="284"/>
        <v>0.22176334331475656</v>
      </c>
    </row>
    <row r="2569" spans="2:12">
      <c r="B2569">
        <v>25.013671875</v>
      </c>
      <c r="C2569">
        <v>4.1721528396010399</v>
      </c>
      <c r="D2569">
        <v>40.762390625000002</v>
      </c>
      <c r="E2569" s="5">
        <f t="shared" ref="E2569:E2632" si="285" xml:space="preserve"> D2569*R$3</f>
        <v>40762.390625</v>
      </c>
      <c r="F2569" s="5">
        <v>2.4844745639711601</v>
      </c>
      <c r="G2569">
        <f t="shared" ref="G2569:G2632" si="286" xml:space="preserve"> E2569/C$3</f>
        <v>815.24781250000001</v>
      </c>
      <c r="H2569">
        <f t="shared" ref="H2569:H2632" si="287" xml:space="preserve"> F2569/C$4</f>
        <v>0.24844745639711602</v>
      </c>
      <c r="I2569">
        <f t="shared" ref="I2569:I2632" si="288">L2569+0.002</f>
        <v>0.22390074446730726</v>
      </c>
      <c r="K2569" s="5">
        <f t="shared" ref="K2569:K2632" si="289" xml:space="preserve"> G2569 * (1 + H2569)</f>
        <v>1017.7940578489379</v>
      </c>
      <c r="L2569" s="5">
        <f t="shared" ref="L2569:L2632" si="290">LN(1 + H2569)</f>
        <v>0.22190074446730726</v>
      </c>
    </row>
    <row r="2570" spans="2:12">
      <c r="B2570">
        <v>25.0234375</v>
      </c>
      <c r="C2570">
        <v>4.1741551831364596</v>
      </c>
      <c r="D2570">
        <v>40.768171875</v>
      </c>
      <c r="E2570" s="5">
        <f t="shared" si="285"/>
        <v>40768.171875</v>
      </c>
      <c r="F2570" s="5">
        <v>2.48631904833019</v>
      </c>
      <c r="G2570">
        <f t="shared" si="286"/>
        <v>815.36343750000003</v>
      </c>
      <c r="H2570">
        <f t="shared" si="287"/>
        <v>0.248631904833019</v>
      </c>
      <c r="I2570">
        <f t="shared" si="288"/>
        <v>0.22404847580424614</v>
      </c>
      <c r="K2570" s="5">
        <f t="shared" si="289"/>
        <v>1018.0888020968233</v>
      </c>
      <c r="L2570" s="5">
        <f t="shared" si="290"/>
        <v>0.22204847580424614</v>
      </c>
    </row>
    <row r="2571" spans="2:12">
      <c r="B2571">
        <v>25.033203125</v>
      </c>
      <c r="C2571">
        <v>4.17637266218662</v>
      </c>
      <c r="D2571">
        <v>40.761902343750002</v>
      </c>
      <c r="E2571" s="5">
        <f t="shared" si="285"/>
        <v>40761.90234375</v>
      </c>
      <c r="F2571" s="5">
        <v>2.48816842213273</v>
      </c>
      <c r="G2571">
        <f t="shared" si="286"/>
        <v>815.23804687500001</v>
      </c>
      <c r="H2571">
        <f t="shared" si="287"/>
        <v>0.24881684221327299</v>
      </c>
      <c r="I2571">
        <f t="shared" si="288"/>
        <v>0.22419657684600788</v>
      </c>
      <c r="K2571" s="5">
        <f t="shared" si="289"/>
        <v>1018.0830033505538</v>
      </c>
      <c r="L2571" s="5">
        <f t="shared" si="290"/>
        <v>0.22219657684600788</v>
      </c>
    </row>
    <row r="2572" spans="2:12">
      <c r="B2572">
        <v>25.04296875</v>
      </c>
      <c r="C2572">
        <v>4.1781053878366903</v>
      </c>
      <c r="D2572">
        <v>40.746398437499998</v>
      </c>
      <c r="E2572" s="5">
        <f t="shared" si="285"/>
        <v>40746.3984375</v>
      </c>
      <c r="F2572" s="5">
        <v>2.4899898562580298</v>
      </c>
      <c r="G2572">
        <f t="shared" si="286"/>
        <v>814.92796874999999</v>
      </c>
      <c r="H2572">
        <f t="shared" si="287"/>
        <v>0.24899898562580297</v>
      </c>
      <c r="I2572">
        <f t="shared" si="288"/>
        <v>0.22434241899403398</v>
      </c>
      <c r="K2572" s="5">
        <f t="shared" si="289"/>
        <v>1017.8442063268461</v>
      </c>
      <c r="L2572" s="5">
        <f t="shared" si="290"/>
        <v>0.22234241899403398</v>
      </c>
    </row>
    <row r="2573" spans="2:12">
      <c r="B2573">
        <v>25.052734375</v>
      </c>
      <c r="C2573">
        <v>4.1782297194004103</v>
      </c>
      <c r="D2573">
        <v>40.739941406249997</v>
      </c>
      <c r="E2573" s="5">
        <f t="shared" si="285"/>
        <v>40739.94140625</v>
      </c>
      <c r="F2573" s="5">
        <v>2.4918257258832499</v>
      </c>
      <c r="G2573">
        <f t="shared" si="286"/>
        <v>814.798828125</v>
      </c>
      <c r="H2573">
        <f t="shared" si="287"/>
        <v>0.24918257258832499</v>
      </c>
      <c r="I2573">
        <f t="shared" si="288"/>
        <v>0.22448939547158328</v>
      </c>
      <c r="K2573" s="5">
        <f t="shared" si="289"/>
        <v>1017.8324962591399</v>
      </c>
      <c r="L2573" s="5">
        <f t="shared" si="290"/>
        <v>0.22248939547158328</v>
      </c>
    </row>
    <row r="2574" spans="2:12">
      <c r="B2574">
        <v>25.0625</v>
      </c>
      <c r="C2574">
        <v>4.1813533753156698</v>
      </c>
      <c r="D2574">
        <v>40.721683593750001</v>
      </c>
      <c r="E2574" s="5">
        <f t="shared" si="285"/>
        <v>40721.68359375</v>
      </c>
      <c r="F2574" s="5">
        <v>2.49368790537119</v>
      </c>
      <c r="G2574">
        <f t="shared" si="286"/>
        <v>814.43367187499996</v>
      </c>
      <c r="H2574">
        <f t="shared" si="287"/>
        <v>0.249368790537119</v>
      </c>
      <c r="I2574">
        <f t="shared" si="288"/>
        <v>0.22463845620484416</v>
      </c>
      <c r="K2574" s="5">
        <f t="shared" si="289"/>
        <v>1017.5280116031735</v>
      </c>
      <c r="L2574" s="5">
        <f t="shared" si="290"/>
        <v>0.22263845620484415</v>
      </c>
    </row>
    <row r="2575" spans="2:12">
      <c r="B2575">
        <v>25.072265625</v>
      </c>
      <c r="C2575">
        <v>4.1822642087936401</v>
      </c>
      <c r="D2575">
        <v>40.722371093749999</v>
      </c>
      <c r="E2575" s="5">
        <f t="shared" si="285"/>
        <v>40722.37109375</v>
      </c>
      <c r="F2575" s="5">
        <v>2.4956185370683701</v>
      </c>
      <c r="G2575">
        <f t="shared" si="286"/>
        <v>814.44742187500003</v>
      </c>
      <c r="H2575">
        <f t="shared" si="287"/>
        <v>0.24956185370683701</v>
      </c>
      <c r="I2575">
        <f t="shared" si="288"/>
        <v>0.22479297283422467</v>
      </c>
      <c r="K2575" s="5">
        <f t="shared" si="289"/>
        <v>1017.7024302248793</v>
      </c>
      <c r="L2575" s="5">
        <f t="shared" si="290"/>
        <v>0.22279297283422467</v>
      </c>
    </row>
    <row r="2576" spans="2:12">
      <c r="B2576">
        <v>25.08203125</v>
      </c>
      <c r="C2576">
        <v>4.1848332621157196</v>
      </c>
      <c r="D2576">
        <v>40.713945312500002</v>
      </c>
      <c r="E2576" s="5">
        <f t="shared" si="285"/>
        <v>40713.9453125</v>
      </c>
      <c r="F2576" s="5">
        <v>2.49755661934614</v>
      </c>
      <c r="G2576">
        <f t="shared" si="286"/>
        <v>814.27890624999998</v>
      </c>
      <c r="H2576">
        <f t="shared" si="287"/>
        <v>0.24975566193461401</v>
      </c>
      <c r="I2576">
        <f t="shared" si="288"/>
        <v>0.22494806175506213</v>
      </c>
      <c r="K2576" s="5">
        <f t="shared" si="289"/>
        <v>1017.6496734798621</v>
      </c>
      <c r="L2576" s="5">
        <f t="shared" si="290"/>
        <v>0.22294806175506213</v>
      </c>
    </row>
    <row r="2577" spans="2:12">
      <c r="B2577">
        <v>25.091796875</v>
      </c>
      <c r="C2577">
        <v>4.1859596967697099</v>
      </c>
      <c r="D2577">
        <v>40.68753515625</v>
      </c>
      <c r="E2577" s="5">
        <f t="shared" si="285"/>
        <v>40687.53515625</v>
      </c>
      <c r="F2577" s="5">
        <v>2.4994744453579201</v>
      </c>
      <c r="G2577">
        <f t="shared" si="286"/>
        <v>813.75070312499997</v>
      </c>
      <c r="H2577">
        <f t="shared" si="287"/>
        <v>0.24994744453579201</v>
      </c>
      <c r="I2577">
        <f t="shared" si="288"/>
        <v>0.22510150605895407</v>
      </c>
      <c r="K2577" s="5">
        <f t="shared" si="289"/>
        <v>1017.1456118602978</v>
      </c>
      <c r="L2577" s="5">
        <f t="shared" si="290"/>
        <v>0.22310150605895407</v>
      </c>
    </row>
    <row r="2578" spans="2:12">
      <c r="B2578">
        <v>25.1015625</v>
      </c>
      <c r="C2578">
        <v>4.1878148913383502</v>
      </c>
      <c r="D2578">
        <v>40.676761718750001</v>
      </c>
      <c r="E2578" s="5">
        <f t="shared" si="285"/>
        <v>40676.76171875</v>
      </c>
      <c r="F2578" s="5">
        <v>2.5014043785631701</v>
      </c>
      <c r="G2578">
        <f t="shared" si="286"/>
        <v>813.53523437499996</v>
      </c>
      <c r="H2578">
        <f t="shared" si="287"/>
        <v>0.25014043785631701</v>
      </c>
      <c r="I2578">
        <f t="shared" si="288"/>
        <v>0.22525589528844278</v>
      </c>
      <c r="K2578" s="5">
        <f t="shared" si="289"/>
        <v>1017.0332941131039</v>
      </c>
      <c r="L2578" s="5">
        <f t="shared" si="290"/>
        <v>0.22325589528844278</v>
      </c>
    </row>
    <row r="2579" spans="2:12">
      <c r="B2579">
        <v>25.111328125</v>
      </c>
      <c r="C2579">
        <v>4.1886530816554997</v>
      </c>
      <c r="D2579">
        <v>40.671726562499998</v>
      </c>
      <c r="E2579" s="5">
        <f t="shared" si="285"/>
        <v>40671.7265625</v>
      </c>
      <c r="F2579" s="5">
        <v>2.5033948477357599</v>
      </c>
      <c r="G2579">
        <f t="shared" si="286"/>
        <v>813.43453124999996</v>
      </c>
      <c r="H2579">
        <f t="shared" si="287"/>
        <v>0.25033948477357598</v>
      </c>
      <c r="I2579">
        <f t="shared" si="288"/>
        <v>0.22541510225977499</v>
      </c>
      <c r="K2579" s="5">
        <f t="shared" si="289"/>
        <v>1017.0693127001603</v>
      </c>
      <c r="L2579" s="5">
        <f t="shared" si="290"/>
        <v>0.22341510225977498</v>
      </c>
    </row>
    <row r="2580" spans="2:12">
      <c r="B2580">
        <v>25.12109375</v>
      </c>
      <c r="C2580">
        <v>4.1905445978045499</v>
      </c>
      <c r="D2580">
        <v>40.638343749999997</v>
      </c>
      <c r="E2580" s="5">
        <f t="shared" si="285"/>
        <v>40638.34375</v>
      </c>
      <c r="F2580" s="5">
        <v>2.5053187273442701</v>
      </c>
      <c r="G2580">
        <f t="shared" si="286"/>
        <v>812.76687500000003</v>
      </c>
      <c r="H2580">
        <f t="shared" si="287"/>
        <v>0.25053187273442701</v>
      </c>
      <c r="I2580">
        <f t="shared" si="288"/>
        <v>0.225568959003068</v>
      </c>
      <c r="K2580" s="5">
        <f t="shared" si="289"/>
        <v>1016.390882290258</v>
      </c>
      <c r="L2580" s="5">
        <f t="shared" si="290"/>
        <v>0.223568959003068</v>
      </c>
    </row>
    <row r="2581" spans="2:12">
      <c r="B2581">
        <v>25.130859375</v>
      </c>
      <c r="C2581">
        <v>4.1920207440853101</v>
      </c>
      <c r="D2581">
        <v>40.600625000000001</v>
      </c>
      <c r="E2581" s="5">
        <f t="shared" si="285"/>
        <v>40600.625</v>
      </c>
      <c r="F2581" s="5">
        <v>2.5071552954614198</v>
      </c>
      <c r="G2581">
        <f t="shared" si="286"/>
        <v>812.01250000000005</v>
      </c>
      <c r="H2581">
        <f t="shared" si="287"/>
        <v>0.25071552954614196</v>
      </c>
      <c r="I2581">
        <f t="shared" si="288"/>
        <v>0.22571581117920833</v>
      </c>
      <c r="K2581" s="5">
        <f t="shared" si="289"/>
        <v>1015.5966439355867</v>
      </c>
      <c r="L2581" s="5">
        <f t="shared" si="290"/>
        <v>0.22371581117920833</v>
      </c>
    </row>
    <row r="2582" spans="2:12">
      <c r="B2582">
        <v>25.140625</v>
      </c>
      <c r="C2582">
        <v>4.1930139996111402</v>
      </c>
      <c r="D2582">
        <v>40.588156249999997</v>
      </c>
      <c r="E2582" s="5">
        <f t="shared" si="285"/>
        <v>40588.15625</v>
      </c>
      <c r="F2582" s="5">
        <v>2.5090449489653102</v>
      </c>
      <c r="G2582">
        <f t="shared" si="286"/>
        <v>811.76312499999995</v>
      </c>
      <c r="H2582">
        <f t="shared" si="287"/>
        <v>0.25090449489653099</v>
      </c>
      <c r="I2582">
        <f t="shared" si="288"/>
        <v>0.22586688556212989</v>
      </c>
      <c r="K2582" s="5">
        <f t="shared" si="289"/>
        <v>1015.4381418537546</v>
      </c>
      <c r="L2582" s="5">
        <f t="shared" si="290"/>
        <v>0.22386688556212989</v>
      </c>
    </row>
    <row r="2583" spans="2:12">
      <c r="B2583">
        <v>25.150390625</v>
      </c>
      <c r="C2583">
        <v>4.1946037672460097</v>
      </c>
      <c r="D2583">
        <v>40.585007812500002</v>
      </c>
      <c r="E2583" s="5">
        <f t="shared" si="285"/>
        <v>40585.0078125</v>
      </c>
      <c r="F2583" s="5">
        <v>2.5109820999205099</v>
      </c>
      <c r="G2583">
        <f t="shared" si="286"/>
        <v>811.70015624999996</v>
      </c>
      <c r="H2583">
        <f t="shared" si="287"/>
        <v>0.25109820999205101</v>
      </c>
      <c r="I2583">
        <f t="shared" si="288"/>
        <v>0.22602173359289227</v>
      </c>
      <c r="K2583" s="5">
        <f t="shared" si="289"/>
        <v>1015.5166125346432</v>
      </c>
      <c r="L2583" s="5">
        <f t="shared" si="290"/>
        <v>0.22402173359289226</v>
      </c>
    </row>
    <row r="2584" spans="2:12">
      <c r="B2584">
        <v>25.16015625</v>
      </c>
      <c r="C2584">
        <v>4.1968994773924404</v>
      </c>
      <c r="D2584">
        <v>40.578777343749998</v>
      </c>
      <c r="E2584" s="5">
        <f t="shared" si="285"/>
        <v>40578.77734375</v>
      </c>
      <c r="F2584" s="5">
        <v>2.5129222776740798</v>
      </c>
      <c r="G2584">
        <f t="shared" si="286"/>
        <v>811.57554687499999</v>
      </c>
      <c r="H2584">
        <f t="shared" si="287"/>
        <v>0.25129222776740801</v>
      </c>
      <c r="I2584">
        <f t="shared" si="288"/>
        <v>0.22617679954328751</v>
      </c>
      <c r="K2584" s="5">
        <f t="shared" si="289"/>
        <v>1015.5181740507711</v>
      </c>
      <c r="L2584" s="5">
        <f t="shared" si="290"/>
        <v>0.22417679954328751</v>
      </c>
    </row>
    <row r="2585" spans="2:12">
      <c r="B2585">
        <v>25.169921875</v>
      </c>
      <c r="C2585">
        <v>4.1980450041592103</v>
      </c>
      <c r="D2585">
        <v>40.54562109375</v>
      </c>
      <c r="E2585" s="5">
        <f t="shared" si="285"/>
        <v>40545.62109375</v>
      </c>
      <c r="F2585" s="5">
        <v>2.5147658307105298</v>
      </c>
      <c r="G2585">
        <f t="shared" si="286"/>
        <v>810.91242187499995</v>
      </c>
      <c r="H2585">
        <f t="shared" si="287"/>
        <v>0.25147658307105297</v>
      </c>
      <c r="I2585">
        <f t="shared" si="288"/>
        <v>0.22632412062478746</v>
      </c>
      <c r="K2585" s="5">
        <f t="shared" si="289"/>
        <v>1014.8379068979972</v>
      </c>
      <c r="L2585" s="5">
        <f t="shared" si="290"/>
        <v>0.22432412062478746</v>
      </c>
    </row>
    <row r="2586" spans="2:12">
      <c r="B2586">
        <v>25.1796875</v>
      </c>
      <c r="C2586">
        <v>4.2008082382380998</v>
      </c>
      <c r="D2586">
        <v>40.552710937500002</v>
      </c>
      <c r="E2586" s="5">
        <f t="shared" si="285"/>
        <v>40552.7109375</v>
      </c>
      <c r="F2586" s="5">
        <v>2.51676398329437</v>
      </c>
      <c r="G2586">
        <f t="shared" si="286"/>
        <v>811.05421875000002</v>
      </c>
      <c r="H2586">
        <f t="shared" si="287"/>
        <v>0.251676398329437</v>
      </c>
      <c r="I2586">
        <f t="shared" si="288"/>
        <v>0.22648377148136165</v>
      </c>
      <c r="K2586" s="5">
        <f t="shared" si="289"/>
        <v>1015.1774233748954</v>
      </c>
      <c r="L2586" s="5">
        <f t="shared" si="290"/>
        <v>0.22448377148136164</v>
      </c>
    </row>
    <row r="2587" spans="2:12">
      <c r="B2587">
        <v>25.189453125</v>
      </c>
      <c r="C2587">
        <v>4.20212652534246</v>
      </c>
      <c r="D2587">
        <v>40.530609374999997</v>
      </c>
      <c r="E2587" s="5">
        <f t="shared" si="285"/>
        <v>40530.609375</v>
      </c>
      <c r="F2587" s="5">
        <v>2.5187195278704202</v>
      </c>
      <c r="G2587">
        <f t="shared" si="286"/>
        <v>810.6121875</v>
      </c>
      <c r="H2587">
        <f t="shared" si="287"/>
        <v>0.251871952787042</v>
      </c>
      <c r="I2587">
        <f t="shared" si="288"/>
        <v>0.22663999331579565</v>
      </c>
      <c r="K2587" s="5">
        <f t="shared" si="289"/>
        <v>1014.7826621186009</v>
      </c>
      <c r="L2587" s="5">
        <f t="shared" si="290"/>
        <v>0.22463999331579565</v>
      </c>
    </row>
    <row r="2588" spans="2:12">
      <c r="B2588">
        <v>25.19921875</v>
      </c>
      <c r="C2588">
        <v>4.2020017281174704</v>
      </c>
      <c r="D2588">
        <v>40.491421875</v>
      </c>
      <c r="E2588" s="5">
        <f t="shared" si="285"/>
        <v>40491.421875</v>
      </c>
      <c r="F2588" s="5">
        <v>2.5205675046891001</v>
      </c>
      <c r="G2588">
        <f t="shared" si="286"/>
        <v>809.82843749999995</v>
      </c>
      <c r="H2588">
        <f t="shared" si="287"/>
        <v>0.25205675046891002</v>
      </c>
      <c r="I2588">
        <f t="shared" si="288"/>
        <v>0.22678759950119787</v>
      </c>
      <c r="K2588" s="5">
        <f t="shared" si="289"/>
        <v>1013.9511618935646</v>
      </c>
      <c r="L2588" s="5">
        <f t="shared" si="290"/>
        <v>0.22478759950119787</v>
      </c>
    </row>
    <row r="2589" spans="2:12">
      <c r="B2589">
        <v>25.208984375</v>
      </c>
      <c r="C2589">
        <v>4.2047523893415901</v>
      </c>
      <c r="D2589">
        <v>40.477941406249997</v>
      </c>
      <c r="E2589" s="5">
        <f t="shared" si="285"/>
        <v>40477.94140625</v>
      </c>
      <c r="F2589" s="5">
        <v>2.5224189739674299</v>
      </c>
      <c r="G2589">
        <f t="shared" si="286"/>
        <v>809.55882812499999</v>
      </c>
      <c r="H2589">
        <f t="shared" si="287"/>
        <v>0.25224189739674296</v>
      </c>
      <c r="I2589">
        <f t="shared" si="288"/>
        <v>0.22693546279883453</v>
      </c>
      <c r="K2589" s="5">
        <f t="shared" si="289"/>
        <v>1013.7634829855336</v>
      </c>
      <c r="L2589" s="5">
        <f t="shared" si="290"/>
        <v>0.22493546279883453</v>
      </c>
    </row>
    <row r="2590" spans="2:12">
      <c r="B2590">
        <v>25.21875</v>
      </c>
      <c r="C2590">
        <v>4.2076273821294299</v>
      </c>
      <c r="D2590">
        <v>40.470371093750003</v>
      </c>
      <c r="E2590" s="5">
        <f t="shared" si="285"/>
        <v>40470.37109375</v>
      </c>
      <c r="F2590" s="5">
        <v>2.5242981500923598</v>
      </c>
      <c r="G2590">
        <f t="shared" si="286"/>
        <v>809.40742187499995</v>
      </c>
      <c r="H2590">
        <f t="shared" si="287"/>
        <v>0.252429815009236</v>
      </c>
      <c r="I2590">
        <f t="shared" si="288"/>
        <v>0.22708551648604219</v>
      </c>
      <c r="K2590" s="5">
        <f t="shared" si="289"/>
        <v>1013.7259876460088</v>
      </c>
      <c r="L2590" s="5">
        <f t="shared" si="290"/>
        <v>0.22508551648604219</v>
      </c>
    </row>
    <row r="2591" spans="2:12">
      <c r="B2591">
        <v>25.228515625</v>
      </c>
      <c r="C2591">
        <v>4.2091836221516097</v>
      </c>
      <c r="D2591">
        <v>40.450902343750002</v>
      </c>
      <c r="E2591" s="5">
        <f t="shared" si="285"/>
        <v>40450.90234375</v>
      </c>
      <c r="F2591" s="5">
        <v>2.5262453127652398</v>
      </c>
      <c r="G2591">
        <f t="shared" si="286"/>
        <v>809.01804687499998</v>
      </c>
      <c r="H2591">
        <f t="shared" si="287"/>
        <v>0.25262453127652396</v>
      </c>
      <c r="I2591">
        <f t="shared" si="288"/>
        <v>0.22724097520331038</v>
      </c>
      <c r="K2591" s="5">
        <f t="shared" si="289"/>
        <v>1013.3958517610458</v>
      </c>
      <c r="L2591" s="5">
        <f t="shared" si="290"/>
        <v>0.22524097520331038</v>
      </c>
    </row>
    <row r="2592" spans="2:12">
      <c r="B2592">
        <v>25.23828125</v>
      </c>
      <c r="C2592">
        <v>4.2096301913261396</v>
      </c>
      <c r="D2592">
        <v>40.442214843750001</v>
      </c>
      <c r="E2592" s="5">
        <f t="shared" si="285"/>
        <v>40442.21484375</v>
      </c>
      <c r="F2592" s="5">
        <v>2.5282776914537002</v>
      </c>
      <c r="G2592">
        <f t="shared" si="286"/>
        <v>808.84429687500005</v>
      </c>
      <c r="H2592">
        <f t="shared" si="287"/>
        <v>0.25282776914537003</v>
      </c>
      <c r="I2592">
        <f t="shared" si="288"/>
        <v>0.2274032116739528</v>
      </c>
      <c r="K2592" s="5">
        <f t="shared" si="289"/>
        <v>1013.3425960398616</v>
      </c>
      <c r="L2592" s="5">
        <f t="shared" si="290"/>
        <v>0.2254032116739528</v>
      </c>
    </row>
    <row r="2593" spans="2:12">
      <c r="B2593">
        <v>25.248046875</v>
      </c>
      <c r="C2593">
        <v>4.2121079750359103</v>
      </c>
      <c r="D2593">
        <v>40.411355468750003</v>
      </c>
      <c r="E2593" s="5">
        <f t="shared" si="285"/>
        <v>40411.35546875</v>
      </c>
      <c r="F2593" s="5">
        <v>2.53036036156118</v>
      </c>
      <c r="G2593">
        <f t="shared" si="286"/>
        <v>808.22710937500005</v>
      </c>
      <c r="H2593">
        <f t="shared" si="287"/>
        <v>0.25303603615611803</v>
      </c>
      <c r="I2593">
        <f t="shared" si="288"/>
        <v>0.22756943540150484</v>
      </c>
      <c r="K2593" s="5">
        <f t="shared" si="289"/>
        <v>1012.7376934451672</v>
      </c>
      <c r="L2593" s="5">
        <f t="shared" si="290"/>
        <v>0.22556943540150484</v>
      </c>
    </row>
    <row r="2594" spans="2:12">
      <c r="B2594">
        <v>25.2578125</v>
      </c>
      <c r="C2594">
        <v>4.2112506926059696</v>
      </c>
      <c r="D2594">
        <v>40.379800781249997</v>
      </c>
      <c r="E2594" s="5">
        <f t="shared" si="285"/>
        <v>40379.80078125</v>
      </c>
      <c r="F2594" s="5">
        <v>2.5325040332972999</v>
      </c>
      <c r="G2594">
        <f t="shared" si="286"/>
        <v>807.59601562499995</v>
      </c>
      <c r="H2594">
        <f t="shared" si="287"/>
        <v>0.25325040332972998</v>
      </c>
      <c r="I2594">
        <f t="shared" si="288"/>
        <v>0.22774049898845769</v>
      </c>
      <c r="K2594" s="5">
        <f t="shared" si="289"/>
        <v>1012.1200323095142</v>
      </c>
      <c r="L2594" s="5">
        <f t="shared" si="290"/>
        <v>0.22574049898845769</v>
      </c>
    </row>
    <row r="2595" spans="2:12">
      <c r="B2595">
        <v>25.267578125</v>
      </c>
      <c r="C2595">
        <v>4.2169066146016103</v>
      </c>
      <c r="D2595">
        <v>40.375999999999998</v>
      </c>
      <c r="E2595" s="5">
        <f t="shared" si="285"/>
        <v>40376</v>
      </c>
      <c r="F2595" s="5">
        <v>2.5346239563077702</v>
      </c>
      <c r="G2595">
        <f t="shared" si="286"/>
        <v>807.52</v>
      </c>
      <c r="H2595">
        <f t="shared" si="287"/>
        <v>0.25346239563077699</v>
      </c>
      <c r="I2595">
        <f t="shared" si="288"/>
        <v>0.22790963866942965</v>
      </c>
      <c r="K2595" s="5">
        <f t="shared" si="289"/>
        <v>1012.1959537197649</v>
      </c>
      <c r="L2595" s="5">
        <f t="shared" si="290"/>
        <v>0.22590963866942965</v>
      </c>
    </row>
    <row r="2596" spans="2:12">
      <c r="B2596">
        <v>25.27734375</v>
      </c>
      <c r="C2596">
        <v>4.2155967094004199</v>
      </c>
      <c r="D2596">
        <v>40.354121093750003</v>
      </c>
      <c r="E2596" s="5">
        <f t="shared" si="285"/>
        <v>40354.12109375</v>
      </c>
      <c r="F2596" s="5">
        <v>2.5368100032210399</v>
      </c>
      <c r="G2596">
        <f t="shared" si="286"/>
        <v>807.08242187500002</v>
      </c>
      <c r="H2596">
        <f t="shared" si="287"/>
        <v>0.253681000322104</v>
      </c>
      <c r="I2596">
        <f t="shared" si="288"/>
        <v>0.22808402414114531</v>
      </c>
      <c r="K2596" s="5">
        <f t="shared" si="289"/>
        <v>1011.8238979986363</v>
      </c>
      <c r="L2596" s="5">
        <f t="shared" si="290"/>
        <v>0.22608402414114531</v>
      </c>
    </row>
    <row r="2597" spans="2:12">
      <c r="B2597">
        <v>25.287109375</v>
      </c>
      <c r="C2597">
        <v>4.2183585464954403</v>
      </c>
      <c r="D2597">
        <v>40.340835937500003</v>
      </c>
      <c r="E2597" s="5">
        <f t="shared" si="285"/>
        <v>40340.8359375</v>
      </c>
      <c r="F2597" s="5">
        <v>2.5388456415384999</v>
      </c>
      <c r="G2597">
        <f t="shared" si="286"/>
        <v>806.81671874999995</v>
      </c>
      <c r="H2597">
        <f t="shared" si="287"/>
        <v>0.25388456415384997</v>
      </c>
      <c r="I2597">
        <f t="shared" si="288"/>
        <v>0.22824638386970209</v>
      </c>
      <c r="K2597" s="5">
        <f t="shared" si="289"/>
        <v>1011.6550297418831</v>
      </c>
      <c r="L2597" s="5">
        <f t="shared" si="290"/>
        <v>0.22624638386970208</v>
      </c>
    </row>
    <row r="2598" spans="2:12">
      <c r="B2598">
        <v>25.296875</v>
      </c>
      <c r="C2598">
        <v>4.2196330614387998</v>
      </c>
      <c r="D2598">
        <v>40.299093749999997</v>
      </c>
      <c r="E2598" s="5">
        <f t="shared" si="285"/>
        <v>40299.09375</v>
      </c>
      <c r="F2598" s="5">
        <v>2.5410018861293802</v>
      </c>
      <c r="G2598">
        <f t="shared" si="286"/>
        <v>805.98187499999995</v>
      </c>
      <c r="H2598">
        <f t="shared" si="287"/>
        <v>0.25410018861293804</v>
      </c>
      <c r="I2598">
        <f t="shared" si="288"/>
        <v>0.22841833424490374</v>
      </c>
      <c r="K2598" s="5">
        <f t="shared" si="289"/>
        <v>1010.7820214561093</v>
      </c>
      <c r="L2598" s="5">
        <f t="shared" si="290"/>
        <v>0.22641833424490374</v>
      </c>
    </row>
    <row r="2599" spans="2:12">
      <c r="B2599">
        <v>25.306640625</v>
      </c>
      <c r="C2599">
        <v>4.2213955894112596</v>
      </c>
      <c r="D2599">
        <v>40.269730468749998</v>
      </c>
      <c r="E2599" s="5">
        <f t="shared" si="285"/>
        <v>40269.73046875</v>
      </c>
      <c r="F2599" s="5">
        <v>2.54320073872805</v>
      </c>
      <c r="G2599">
        <f t="shared" si="286"/>
        <v>805.39460937499996</v>
      </c>
      <c r="H2599">
        <f t="shared" si="287"/>
        <v>0.25432007387280497</v>
      </c>
      <c r="I2599">
        <f t="shared" si="288"/>
        <v>0.2285936519647602</v>
      </c>
      <c r="K2599" s="5">
        <f t="shared" si="289"/>
        <v>1010.2226259280089</v>
      </c>
      <c r="L2599" s="5">
        <f t="shared" si="290"/>
        <v>0.2265936519647602</v>
      </c>
    </row>
    <row r="2600" spans="2:12">
      <c r="B2600">
        <v>25.31640625</v>
      </c>
      <c r="C2600">
        <v>4.2228195816278502</v>
      </c>
      <c r="D2600">
        <v>40.248105468749998</v>
      </c>
      <c r="E2600" s="5">
        <f t="shared" si="285"/>
        <v>40248.10546875</v>
      </c>
      <c r="F2600" s="5">
        <v>2.5453912094235398</v>
      </c>
      <c r="G2600">
        <f t="shared" si="286"/>
        <v>804.96210937499995</v>
      </c>
      <c r="H2600">
        <f t="shared" si="287"/>
        <v>0.25453912094235398</v>
      </c>
      <c r="I2600">
        <f t="shared" si="288"/>
        <v>0.22876827082783402</v>
      </c>
      <c r="K2600" s="5">
        <f t="shared" si="289"/>
        <v>1009.8564570872154</v>
      </c>
      <c r="L2600" s="5">
        <f t="shared" si="290"/>
        <v>0.22676827082783402</v>
      </c>
    </row>
    <row r="2601" spans="2:12">
      <c r="B2601">
        <v>25.326171875</v>
      </c>
      <c r="C2601">
        <v>4.2242994531989098</v>
      </c>
      <c r="D2601">
        <v>40.214449218749998</v>
      </c>
      <c r="E2601" s="5">
        <f t="shared" si="285"/>
        <v>40214.44921875</v>
      </c>
      <c r="F2601" s="5">
        <v>2.5475565344095199</v>
      </c>
      <c r="G2601">
        <f t="shared" si="286"/>
        <v>804.28898437500004</v>
      </c>
      <c r="H2601">
        <f t="shared" si="287"/>
        <v>0.25475565344095197</v>
      </c>
      <c r="I2601">
        <f t="shared" si="288"/>
        <v>0.22894085517411797</v>
      </c>
      <c r="K2601" s="5">
        <f t="shared" si="289"/>
        <v>1009.1861501448127</v>
      </c>
      <c r="L2601" s="5">
        <f t="shared" si="290"/>
        <v>0.22694085517411797</v>
      </c>
    </row>
    <row r="2602" spans="2:12">
      <c r="B2602">
        <v>25.3359375</v>
      </c>
      <c r="C2602">
        <v>4.2263157665729496</v>
      </c>
      <c r="D2602">
        <v>40.176363281249998</v>
      </c>
      <c r="E2602" s="5">
        <f t="shared" si="285"/>
        <v>40176.36328125</v>
      </c>
      <c r="F2602" s="5">
        <v>2.5495558511465801</v>
      </c>
      <c r="G2602">
        <f t="shared" si="286"/>
        <v>803.52726562500004</v>
      </c>
      <c r="H2602">
        <f t="shared" si="287"/>
        <v>0.25495558511465799</v>
      </c>
      <c r="I2602">
        <f t="shared" si="288"/>
        <v>0.22910018161060797</v>
      </c>
      <c r="K2602" s="5">
        <f t="shared" si="289"/>
        <v>1008.391029788003</v>
      </c>
      <c r="L2602" s="5">
        <f t="shared" si="290"/>
        <v>0.22710018161060797</v>
      </c>
    </row>
    <row r="2603" spans="2:12">
      <c r="B2603">
        <v>25.345703125</v>
      </c>
      <c r="C2603">
        <v>4.2276526801288101</v>
      </c>
      <c r="D2603">
        <v>40.136269531250001</v>
      </c>
      <c r="E2603" s="5">
        <f t="shared" si="285"/>
        <v>40136.26953125</v>
      </c>
      <c r="F2603" s="5">
        <v>2.5515661109238899</v>
      </c>
      <c r="G2603">
        <f t="shared" si="286"/>
        <v>802.72539062500005</v>
      </c>
      <c r="H2603">
        <f t="shared" si="287"/>
        <v>0.25515661109238896</v>
      </c>
      <c r="I2603">
        <f t="shared" si="288"/>
        <v>0.22926035451320947</v>
      </c>
      <c r="K2603" s="5">
        <f t="shared" si="289"/>
        <v>1007.5460809346893</v>
      </c>
      <c r="L2603" s="5">
        <f t="shared" si="290"/>
        <v>0.22726035451320947</v>
      </c>
    </row>
    <row r="2604" spans="2:12">
      <c r="B2604">
        <v>25.35546875</v>
      </c>
      <c r="C2604">
        <v>4.2292331345379397</v>
      </c>
      <c r="D2604">
        <v>40.111023437500002</v>
      </c>
      <c r="E2604" s="5">
        <f t="shared" si="285"/>
        <v>40111.0234375</v>
      </c>
      <c r="F2604" s="5">
        <v>2.5537086185067901</v>
      </c>
      <c r="G2604">
        <f t="shared" si="286"/>
        <v>802.22046875000001</v>
      </c>
      <c r="H2604">
        <f t="shared" si="287"/>
        <v>0.25537086185067903</v>
      </c>
      <c r="I2604">
        <f t="shared" si="288"/>
        <v>0.22943103638076046</v>
      </c>
      <c r="K2604" s="5">
        <f t="shared" si="289"/>
        <v>1007.0842012489431</v>
      </c>
      <c r="L2604" s="5">
        <f t="shared" si="290"/>
        <v>0.22743103638076045</v>
      </c>
    </row>
    <row r="2605" spans="2:12">
      <c r="B2605">
        <v>25.365234375</v>
      </c>
      <c r="C2605">
        <v>4.2295181192457703</v>
      </c>
      <c r="D2605">
        <v>40.084476562500001</v>
      </c>
      <c r="E2605" s="5">
        <f t="shared" si="285"/>
        <v>40084.4765625</v>
      </c>
      <c r="F2605" s="5">
        <v>2.5557978078722998</v>
      </c>
      <c r="G2605">
        <f t="shared" si="286"/>
        <v>801.68953124999996</v>
      </c>
      <c r="H2605">
        <f t="shared" si="287"/>
        <v>0.25557978078722998</v>
      </c>
      <c r="I2605">
        <f t="shared" si="288"/>
        <v>0.22959744262824741</v>
      </c>
      <c r="K2605" s="5">
        <f t="shared" si="289"/>
        <v>1006.5851659062921</v>
      </c>
      <c r="L2605" s="5">
        <f t="shared" si="290"/>
        <v>0.22759744262824741</v>
      </c>
    </row>
    <row r="2606" spans="2:12">
      <c r="B2606">
        <v>25.375</v>
      </c>
      <c r="C2606">
        <v>4.2331498116254798</v>
      </c>
      <c r="D2606">
        <v>40.040347656249999</v>
      </c>
      <c r="E2606" s="5">
        <f t="shared" si="285"/>
        <v>40040.34765625</v>
      </c>
      <c r="F2606" s="5">
        <v>2.5577854830771698</v>
      </c>
      <c r="G2606">
        <f t="shared" si="286"/>
        <v>800.80695312499995</v>
      </c>
      <c r="H2606">
        <f t="shared" si="287"/>
        <v>0.25577854830771696</v>
      </c>
      <c r="I2606">
        <f t="shared" si="288"/>
        <v>0.229755737459056</v>
      </c>
      <c r="K2606" s="5">
        <f t="shared" si="289"/>
        <v>1005.6361930700383</v>
      </c>
      <c r="L2606" s="5">
        <f t="shared" si="290"/>
        <v>0.227755737459056</v>
      </c>
    </row>
    <row r="2607" spans="2:12">
      <c r="B2607">
        <v>25.384765625</v>
      </c>
      <c r="C2607">
        <v>4.23209927976131</v>
      </c>
      <c r="D2607">
        <v>40.024894531249998</v>
      </c>
      <c r="E2607" s="5">
        <f t="shared" si="285"/>
        <v>40024.89453125</v>
      </c>
      <c r="F2607" s="5">
        <v>2.5599489454180002</v>
      </c>
      <c r="G2607">
        <f t="shared" si="286"/>
        <v>800.49789062499997</v>
      </c>
      <c r="H2607">
        <f t="shared" si="287"/>
        <v>0.25599489454180002</v>
      </c>
      <c r="I2607">
        <f t="shared" si="288"/>
        <v>0.22992800318249063</v>
      </c>
      <c r="K2607" s="5">
        <f t="shared" si="289"/>
        <v>1005.4212637164802</v>
      </c>
      <c r="L2607" s="5">
        <f t="shared" si="290"/>
        <v>0.22792800318249062</v>
      </c>
    </row>
    <row r="2608" spans="2:12">
      <c r="B2608">
        <v>25.39453125</v>
      </c>
      <c r="C2608">
        <v>4.23781992867589</v>
      </c>
      <c r="D2608">
        <v>40.013652343750003</v>
      </c>
      <c r="E2608" s="5">
        <f t="shared" si="285"/>
        <v>40013.65234375</v>
      </c>
      <c r="F2608" s="5">
        <v>2.56212707608938</v>
      </c>
      <c r="G2608">
        <f t="shared" si="286"/>
        <v>800.27304687499998</v>
      </c>
      <c r="H2608">
        <f t="shared" si="287"/>
        <v>0.256212707608938</v>
      </c>
      <c r="I2608">
        <f t="shared" si="288"/>
        <v>0.23010140689920361</v>
      </c>
      <c r="K2608" s="5">
        <f t="shared" si="289"/>
        <v>1005.3131710412982</v>
      </c>
      <c r="L2608" s="5">
        <f t="shared" si="290"/>
        <v>0.22810140689920361</v>
      </c>
    </row>
    <row r="2609" spans="2:12">
      <c r="B2609">
        <v>25.404296875</v>
      </c>
      <c r="C2609">
        <v>4.2353500612080097</v>
      </c>
      <c r="D2609">
        <v>39.975394531249997</v>
      </c>
      <c r="E2609" s="5">
        <f t="shared" si="285"/>
        <v>39975.39453125</v>
      </c>
      <c r="F2609" s="5">
        <v>2.5646160356700398</v>
      </c>
      <c r="G2609">
        <f t="shared" si="286"/>
        <v>799.50789062499996</v>
      </c>
      <c r="H2609">
        <f t="shared" si="287"/>
        <v>0.25646160356700398</v>
      </c>
      <c r="I2609">
        <f t="shared" si="288"/>
        <v>0.23029951929106673</v>
      </c>
      <c r="K2609" s="5">
        <f t="shared" si="289"/>
        <v>1004.5509663191602</v>
      </c>
      <c r="L2609" s="5">
        <f t="shared" si="290"/>
        <v>0.22829951929106673</v>
      </c>
    </row>
    <row r="2610" spans="2:12">
      <c r="B2610">
        <v>25.4140625</v>
      </c>
      <c r="C2610">
        <v>4.2379805818200103</v>
      </c>
      <c r="D2610">
        <v>39.943195312500002</v>
      </c>
      <c r="E2610" s="5">
        <f t="shared" si="285"/>
        <v>39943.1953125</v>
      </c>
      <c r="F2610" s="5">
        <v>2.5674141943454698</v>
      </c>
      <c r="G2610">
        <f t="shared" si="286"/>
        <v>798.86390625000001</v>
      </c>
      <c r="H2610">
        <f t="shared" si="287"/>
        <v>0.25674141943454698</v>
      </c>
      <c r="I2610">
        <f t="shared" si="288"/>
        <v>0.23052219598382753</v>
      </c>
      <c r="K2610" s="5">
        <f t="shared" si="289"/>
        <v>1003.9653594756519</v>
      </c>
      <c r="L2610" s="5">
        <f t="shared" si="290"/>
        <v>0.22852219598382753</v>
      </c>
    </row>
    <row r="2611" spans="2:12">
      <c r="B2611">
        <v>25.423828125</v>
      </c>
      <c r="C2611">
        <v>4.2413580231368497</v>
      </c>
      <c r="D2611">
        <v>39.902882812500003</v>
      </c>
      <c r="E2611" s="5">
        <f t="shared" si="285"/>
        <v>39902.8828125</v>
      </c>
      <c r="F2611" s="5">
        <v>2.5703713763505198</v>
      </c>
      <c r="G2611">
        <f t="shared" si="286"/>
        <v>798.05765625000004</v>
      </c>
      <c r="H2611">
        <f t="shared" si="287"/>
        <v>0.25703713763505198</v>
      </c>
      <c r="I2611">
        <f t="shared" si="288"/>
        <v>0.23075747382963258</v>
      </c>
      <c r="K2611" s="5">
        <f t="shared" si="289"/>
        <v>1003.1881118802384</v>
      </c>
      <c r="L2611" s="5">
        <f t="shared" si="290"/>
        <v>0.22875747382963257</v>
      </c>
    </row>
    <row r="2612" spans="2:12">
      <c r="B2612">
        <v>25.43359375</v>
      </c>
      <c r="C2612">
        <v>4.2424649000167802</v>
      </c>
      <c r="D2612">
        <v>39.846410156250002</v>
      </c>
      <c r="E2612" s="5">
        <f t="shared" si="285"/>
        <v>39846.41015625</v>
      </c>
      <c r="F2612" s="5">
        <v>2.5736282113939501</v>
      </c>
      <c r="G2612">
        <f t="shared" si="286"/>
        <v>796.92820312499998</v>
      </c>
      <c r="H2612">
        <f t="shared" si="287"/>
        <v>0.25736282113939501</v>
      </c>
      <c r="I2612">
        <f t="shared" si="288"/>
        <v>0.23101652848402668</v>
      </c>
      <c r="K2612" s="5">
        <f t="shared" si="289"/>
        <v>1002.0278937267988</v>
      </c>
      <c r="L2612" s="5">
        <f t="shared" si="290"/>
        <v>0.22901652848402668</v>
      </c>
    </row>
    <row r="2613" spans="2:12">
      <c r="B2613">
        <v>25.443359375</v>
      </c>
      <c r="C2613">
        <v>4.2453077621758002</v>
      </c>
      <c r="D2613">
        <v>39.760453124999998</v>
      </c>
      <c r="E2613" s="5">
        <f t="shared" si="285"/>
        <v>39760.453125</v>
      </c>
      <c r="F2613" s="5">
        <v>2.5776331312954399</v>
      </c>
      <c r="G2613">
        <f t="shared" si="286"/>
        <v>795.20906249999996</v>
      </c>
      <c r="H2613">
        <f t="shared" si="287"/>
        <v>0.25776331312954398</v>
      </c>
      <c r="I2613">
        <f t="shared" si="288"/>
        <v>0.23133499521066683</v>
      </c>
      <c r="K2613" s="5">
        <f t="shared" si="289"/>
        <v>1000.1847850806386</v>
      </c>
      <c r="L2613" s="5">
        <f t="shared" si="290"/>
        <v>0.22933499521066683</v>
      </c>
    </row>
    <row r="2614" spans="2:12">
      <c r="B2614">
        <v>25.453125</v>
      </c>
      <c r="C2614">
        <v>4.2473338544368699</v>
      </c>
      <c r="D2614">
        <v>39.634093749999998</v>
      </c>
      <c r="E2614" s="5">
        <f t="shared" si="285"/>
        <v>39634.09375</v>
      </c>
      <c r="F2614" s="5">
        <v>2.5823886971920702</v>
      </c>
      <c r="G2614">
        <f t="shared" si="286"/>
        <v>792.68187499999999</v>
      </c>
      <c r="H2614">
        <f t="shared" si="287"/>
        <v>0.25823886971920701</v>
      </c>
      <c r="I2614">
        <f t="shared" si="288"/>
        <v>0.231713020793131</v>
      </c>
      <c r="K2614" s="5">
        <f t="shared" si="289"/>
        <v>997.38314644690172</v>
      </c>
      <c r="L2614" s="5">
        <f t="shared" si="290"/>
        <v>0.229713020793131</v>
      </c>
    </row>
    <row r="2615" spans="2:12">
      <c r="B2615">
        <v>25.462890625</v>
      </c>
      <c r="C2615">
        <v>4.2472174391150501</v>
      </c>
      <c r="D2615">
        <v>39.487257812499998</v>
      </c>
      <c r="E2615" s="5">
        <f t="shared" si="285"/>
        <v>39487.2578125</v>
      </c>
      <c r="F2615" s="5">
        <v>2.5877398438751702</v>
      </c>
      <c r="G2615">
        <f t="shared" si="286"/>
        <v>789.74515625000004</v>
      </c>
      <c r="H2615">
        <f t="shared" si="287"/>
        <v>0.25877398438751703</v>
      </c>
      <c r="I2615">
        <f t="shared" si="288"/>
        <v>0.23213821900020326</v>
      </c>
      <c r="K2615" s="5">
        <f t="shared" si="289"/>
        <v>994.11065698355469</v>
      </c>
      <c r="L2615" s="5">
        <f t="shared" si="290"/>
        <v>0.23013821900020326</v>
      </c>
    </row>
    <row r="2616" spans="2:12">
      <c r="B2616">
        <v>25.47265625</v>
      </c>
      <c r="C2616">
        <v>4.2508444748818901</v>
      </c>
      <c r="D2616">
        <v>39.295492187500003</v>
      </c>
      <c r="E2616" s="5">
        <f t="shared" si="285"/>
        <v>39295.4921875</v>
      </c>
      <c r="F2616" s="5">
        <v>2.5949443224817501</v>
      </c>
      <c r="G2616">
        <f t="shared" si="286"/>
        <v>785.90984375000005</v>
      </c>
      <c r="H2616">
        <f t="shared" si="287"/>
        <v>0.25949443224817503</v>
      </c>
      <c r="I2616">
        <f t="shared" si="288"/>
        <v>0.23271039619589401</v>
      </c>
      <c r="K2616" s="5">
        <f t="shared" si="289"/>
        <v>989.84907245215834</v>
      </c>
      <c r="L2616" s="5">
        <f t="shared" si="290"/>
        <v>0.23071039619589401</v>
      </c>
    </row>
    <row r="2617" spans="2:12" s="12" customFormat="1">
      <c r="B2617" s="12">
        <v>25.482421875</v>
      </c>
      <c r="C2617" s="12">
        <v>4.2533739469945404</v>
      </c>
      <c r="D2617" s="12">
        <v>39.00258203125</v>
      </c>
      <c r="E2617" s="12">
        <f t="shared" si="285"/>
        <v>39002.58203125</v>
      </c>
      <c r="F2617" s="12">
        <v>2.60365381836891</v>
      </c>
      <c r="G2617" s="12">
        <f t="shared" si="286"/>
        <v>780.051640625</v>
      </c>
      <c r="H2617" s="12">
        <f t="shared" si="287"/>
        <v>0.26036538183689101</v>
      </c>
      <c r="I2617" s="12">
        <f t="shared" si="288"/>
        <v>0.23340166451052771</v>
      </c>
      <c r="K2617" s="12">
        <f t="shared" si="289"/>
        <v>983.15008388882131</v>
      </c>
      <c r="L2617" s="12">
        <f t="shared" si="290"/>
        <v>0.23140166451052771</v>
      </c>
    </row>
    <row r="2618" spans="2:12">
      <c r="B2618">
        <v>25.4921875</v>
      </c>
      <c r="C2618">
        <v>4.4214990921318504</v>
      </c>
      <c r="D2618">
        <v>-9.6121308593750001</v>
      </c>
      <c r="E2618" s="5">
        <f t="shared" si="285"/>
        <v>-9612.130859375</v>
      </c>
      <c r="F2618" s="5">
        <v>3.4198630601167701</v>
      </c>
      <c r="G2618">
        <f t="shared" si="286"/>
        <v>-192.2426171875</v>
      </c>
      <c r="H2618">
        <f t="shared" si="287"/>
        <v>0.34198630601167701</v>
      </c>
      <c r="I2618">
        <f t="shared" si="288"/>
        <v>0.29615083433325212</v>
      </c>
      <c r="K2618" s="5">
        <f t="shared" si="289"/>
        <v>-257.98695969747007</v>
      </c>
      <c r="L2618" s="5">
        <f t="shared" si="290"/>
        <v>0.29415083433325212</v>
      </c>
    </row>
    <row r="2619" spans="2:12">
      <c r="B2619">
        <v>25.501953125</v>
      </c>
      <c r="C2619">
        <v>4.3363887816667601</v>
      </c>
      <c r="D2619">
        <v>2.8662609863281299</v>
      </c>
      <c r="E2619" s="5">
        <f t="shared" si="285"/>
        <v>2866.26098632813</v>
      </c>
      <c r="F2619" s="5">
        <v>2.6145519223064202</v>
      </c>
      <c r="G2619">
        <f t="shared" si="286"/>
        <v>57.325219726562601</v>
      </c>
      <c r="H2619">
        <f t="shared" si="287"/>
        <v>0.26145519223064201</v>
      </c>
      <c r="I2619">
        <f t="shared" si="288"/>
        <v>0.23426596903147626</v>
      </c>
      <c r="K2619" s="5">
        <f t="shared" si="289"/>
        <v>72.313196069834817</v>
      </c>
      <c r="L2619" s="5">
        <f t="shared" si="290"/>
        <v>0.23226596903147625</v>
      </c>
    </row>
    <row r="2620" spans="2:12">
      <c r="B2620">
        <v>25.51171875</v>
      </c>
      <c r="C2620">
        <v>4.2908154428005201</v>
      </c>
      <c r="D2620">
        <v>2.2323842773437499</v>
      </c>
      <c r="E2620" s="5">
        <f t="shared" si="285"/>
        <v>2232.38427734375</v>
      </c>
      <c r="F2620" s="5">
        <v>2.19692778773606</v>
      </c>
      <c r="G2620">
        <f t="shared" si="286"/>
        <v>44.647685546875003</v>
      </c>
      <c r="H2620">
        <f t="shared" si="287"/>
        <v>0.21969277877360599</v>
      </c>
      <c r="I2620">
        <f t="shared" si="288"/>
        <v>0.20059900635564237</v>
      </c>
      <c r="K2620" s="5">
        <f t="shared" si="289"/>
        <v>54.456459650478138</v>
      </c>
      <c r="L2620" s="5">
        <f t="shared" si="290"/>
        <v>0.19859900635564237</v>
      </c>
    </row>
    <row r="2621" spans="2:12">
      <c r="B2621">
        <v>25.521484375</v>
      </c>
      <c r="C2621">
        <v>4.2843781411647797</v>
      </c>
      <c r="D2621">
        <v>-2.7958750000000001</v>
      </c>
      <c r="E2621" s="5">
        <f t="shared" si="285"/>
        <v>-2795.875</v>
      </c>
      <c r="F2621" s="5">
        <v>1.8236081814393399</v>
      </c>
      <c r="G2621">
        <f t="shared" si="286"/>
        <v>-55.917499999999997</v>
      </c>
      <c r="H2621">
        <f t="shared" si="287"/>
        <v>0.18236081814393398</v>
      </c>
      <c r="I2621">
        <f t="shared" si="288"/>
        <v>0.16951313309840721</v>
      </c>
      <c r="K2621" s="5">
        <f t="shared" si="289"/>
        <v>-66.11466104856342</v>
      </c>
      <c r="L2621" s="5">
        <f t="shared" si="290"/>
        <v>0.16751313309840721</v>
      </c>
    </row>
    <row r="2622" spans="2:12">
      <c r="B2622">
        <v>25.53125</v>
      </c>
      <c r="C2622">
        <v>4.2907833121717003</v>
      </c>
      <c r="D2622">
        <v>0.41115750122070299</v>
      </c>
      <c r="E2622" s="5">
        <f t="shared" si="285"/>
        <v>411.15750122070301</v>
      </c>
      <c r="F2622" s="5">
        <v>1.1588386259973</v>
      </c>
      <c r="G2622">
        <f t="shared" si="286"/>
        <v>8.2231500244140605</v>
      </c>
      <c r="H2622">
        <f t="shared" si="287"/>
        <v>0.11588386259973001</v>
      </c>
      <c r="I2622">
        <f t="shared" si="288"/>
        <v>0.11164679277304995</v>
      </c>
      <c r="K2622" s="5">
        <f t="shared" si="289"/>
        <v>9.1760804119802266</v>
      </c>
      <c r="L2622" s="5">
        <f t="shared" si="290"/>
        <v>0.10964679277304995</v>
      </c>
    </row>
    <row r="2623" spans="2:12">
      <c r="B2623">
        <v>25.541015625</v>
      </c>
      <c r="C2623">
        <v>4.2504472658038104</v>
      </c>
      <c r="D2623">
        <v>1.9535927734375</v>
      </c>
      <c r="E2623" s="5">
        <f t="shared" si="285"/>
        <v>1953.5927734375</v>
      </c>
      <c r="F2623" s="5">
        <v>0.80077559687197197</v>
      </c>
      <c r="G2623">
        <f t="shared" si="286"/>
        <v>39.071855468750002</v>
      </c>
      <c r="H2623">
        <f t="shared" si="287"/>
        <v>8.0077559687197195E-2</v>
      </c>
      <c r="I2623">
        <f t="shared" si="288"/>
        <v>7.9032853082771359E-2</v>
      </c>
      <c r="K2623" s="5">
        <f t="shared" si="289"/>
        <v>42.200634307138372</v>
      </c>
      <c r="L2623" s="5">
        <f t="shared" si="290"/>
        <v>7.7032853082771358E-2</v>
      </c>
    </row>
    <row r="2624" spans="2:12">
      <c r="B2624">
        <v>25.55078125</v>
      </c>
      <c r="C2624">
        <v>4.2890165932476503</v>
      </c>
      <c r="D2624">
        <v>-1.8492729492187501</v>
      </c>
      <c r="E2624" s="5">
        <f t="shared" si="285"/>
        <v>-1849.27294921875</v>
      </c>
      <c r="F2624" s="5">
        <v>0.70351146860048197</v>
      </c>
      <c r="G2624">
        <f t="shared" si="286"/>
        <v>-36.985458984375001</v>
      </c>
      <c r="H2624">
        <f t="shared" si="287"/>
        <v>7.0351146860048203E-2</v>
      </c>
      <c r="I2624">
        <f t="shared" si="288"/>
        <v>6.9986769271856555E-2</v>
      </c>
      <c r="K2624" s="5">
        <f t="shared" si="289"/>
        <v>-39.587428441071054</v>
      </c>
      <c r="L2624" s="5">
        <f t="shared" si="290"/>
        <v>6.7986769271856554E-2</v>
      </c>
    </row>
    <row r="2625" spans="2:12">
      <c r="B2625">
        <v>25.560546875</v>
      </c>
      <c r="C2625">
        <v>4.2694695293903404</v>
      </c>
      <c r="D2625">
        <v>0.99130047607421901</v>
      </c>
      <c r="E2625" s="5">
        <f t="shared" si="285"/>
        <v>991.30047607421898</v>
      </c>
      <c r="F2625" s="5">
        <v>0.553104269783944</v>
      </c>
      <c r="G2625">
        <f t="shared" si="286"/>
        <v>19.82600952148438</v>
      </c>
      <c r="H2625">
        <f t="shared" si="287"/>
        <v>5.5310426978394403E-2</v>
      </c>
      <c r="I2625">
        <f t="shared" si="288"/>
        <v>5.5834967228293626E-2</v>
      </c>
      <c r="K2625" s="5">
        <f t="shared" si="289"/>
        <v>20.922594573395394</v>
      </c>
      <c r="L2625" s="5">
        <f t="shared" si="290"/>
        <v>5.3834967228293625E-2</v>
      </c>
    </row>
    <row r="2626" spans="2:12">
      <c r="B2626">
        <v>25.5703125</v>
      </c>
      <c r="C2626">
        <v>4.2702942155301598</v>
      </c>
      <c r="D2626">
        <v>0.495514587402344</v>
      </c>
      <c r="E2626" s="5">
        <f t="shared" si="285"/>
        <v>495.51458740234398</v>
      </c>
      <c r="F2626" s="5">
        <v>0.62251609051600099</v>
      </c>
      <c r="G2626">
        <f t="shared" si="286"/>
        <v>9.9102917480468804</v>
      </c>
      <c r="H2626">
        <f t="shared" si="287"/>
        <v>6.2251609051600099E-2</v>
      </c>
      <c r="I2626">
        <f t="shared" si="288"/>
        <v>6.2390814769556255E-2</v>
      </c>
      <c r="K2626" s="5">
        <f t="shared" si="289"/>
        <v>10.527223355533593</v>
      </c>
      <c r="L2626" s="5">
        <f t="shared" si="290"/>
        <v>6.0390814769556253E-2</v>
      </c>
    </row>
    <row r="2627" spans="2:12">
      <c r="B2627">
        <v>25.580078125</v>
      </c>
      <c r="C2627">
        <v>4.2788852006197002</v>
      </c>
      <c r="D2627">
        <v>-0.684778198242188</v>
      </c>
      <c r="E2627" s="5">
        <f t="shared" si="285"/>
        <v>-684.77819824218795</v>
      </c>
      <c r="F2627" s="5">
        <v>0.59244578005745996</v>
      </c>
      <c r="G2627">
        <f t="shared" si="286"/>
        <v>-13.695563964843759</v>
      </c>
      <c r="H2627">
        <f t="shared" si="287"/>
        <v>5.9244578005745993E-2</v>
      </c>
      <c r="I2627">
        <f t="shared" si="288"/>
        <v>5.9555991800782811E-2</v>
      </c>
      <c r="K2627" s="5">
        <f t="shared" si="289"/>
        <v>-14.506951872491628</v>
      </c>
      <c r="L2627" s="5">
        <f t="shared" si="290"/>
        <v>5.7555991800782809E-2</v>
      </c>
    </row>
    <row r="2628" spans="2:12">
      <c r="B2628">
        <v>25.58984375</v>
      </c>
      <c r="C2628">
        <v>4.2739403434097802</v>
      </c>
      <c r="D2628">
        <v>0.77413232421875</v>
      </c>
      <c r="E2628" s="5">
        <f t="shared" si="285"/>
        <v>774.13232421875</v>
      </c>
      <c r="F2628" s="5">
        <v>0.58124342467635903</v>
      </c>
      <c r="G2628">
        <f t="shared" si="286"/>
        <v>15.482646484375</v>
      </c>
      <c r="H2628">
        <f t="shared" si="287"/>
        <v>5.8124342467635905E-2</v>
      </c>
      <c r="I2628">
        <f t="shared" si="288"/>
        <v>5.8497852492321492E-2</v>
      </c>
      <c r="K2628" s="5">
        <f t="shared" si="289"/>
        <v>16.382565130938151</v>
      </c>
      <c r="L2628" s="5">
        <f t="shared" si="290"/>
        <v>5.649785249232149E-2</v>
      </c>
    </row>
    <row r="2629" spans="2:12">
      <c r="B2629">
        <v>25.599609375</v>
      </c>
      <c r="C2629">
        <v>4.2773373425006902</v>
      </c>
      <c r="D2629">
        <v>-0.120203239440918</v>
      </c>
      <c r="E2629" s="5">
        <f t="shared" si="285"/>
        <v>-120.203239440918</v>
      </c>
      <c r="F2629" s="5">
        <v>0.57288340758532297</v>
      </c>
      <c r="G2629">
        <f t="shared" si="286"/>
        <v>-2.4040647888183599</v>
      </c>
      <c r="H2629">
        <f t="shared" si="287"/>
        <v>5.72883407585323E-2</v>
      </c>
      <c r="I2629">
        <f t="shared" si="288"/>
        <v>5.7707461322546769E-2</v>
      </c>
      <c r="K2629" s="5">
        <f t="shared" si="289"/>
        <v>-2.5417896716457751</v>
      </c>
      <c r="L2629" s="5">
        <f t="shared" si="290"/>
        <v>5.5707461322546767E-2</v>
      </c>
    </row>
    <row r="2630" spans="2:12">
      <c r="B2630">
        <v>25.609375</v>
      </c>
      <c r="C2630">
        <v>4.2810863815248004</v>
      </c>
      <c r="D2630">
        <v>0.191897857666016</v>
      </c>
      <c r="E2630" s="5">
        <f t="shared" si="285"/>
        <v>191.89785766601599</v>
      </c>
      <c r="F2630" s="5">
        <v>0.57002017274498895</v>
      </c>
      <c r="G2630">
        <f t="shared" si="286"/>
        <v>3.8379571533203198</v>
      </c>
      <c r="H2630">
        <f t="shared" si="287"/>
        <v>5.7002017274498898E-2</v>
      </c>
      <c r="I2630">
        <f t="shared" si="288"/>
        <v>5.7436615376817678E-2</v>
      </c>
      <c r="K2630" s="5">
        <f t="shared" si="289"/>
        <v>4.0567284532726715</v>
      </c>
      <c r="L2630" s="5">
        <f t="shared" si="290"/>
        <v>5.5436615376817676E-2</v>
      </c>
    </row>
    <row r="2631" spans="2:12">
      <c r="B2631">
        <v>25.619140625</v>
      </c>
      <c r="C2631">
        <v>4.2805434204638004</v>
      </c>
      <c r="D2631">
        <v>0.18995581054687499</v>
      </c>
      <c r="E2631" s="5">
        <f t="shared" si="285"/>
        <v>189.955810546875</v>
      </c>
      <c r="F2631" s="5">
        <v>0.54894317872822296</v>
      </c>
      <c r="G2631">
        <f t="shared" si="286"/>
        <v>3.7991162109375001</v>
      </c>
      <c r="H2631">
        <f t="shared" si="287"/>
        <v>5.4894317872822299E-2</v>
      </c>
      <c r="I2631">
        <f t="shared" si="288"/>
        <v>5.5440589278020654E-2</v>
      </c>
      <c r="K2631" s="5">
        <f t="shared" si="289"/>
        <v>4.0076661038564954</v>
      </c>
      <c r="L2631" s="5">
        <f t="shared" si="290"/>
        <v>5.3440589278020652E-2</v>
      </c>
    </row>
    <row r="2632" spans="2:12">
      <c r="B2632">
        <v>25.62890625</v>
      </c>
      <c r="C2632">
        <v>4.2822216637432602</v>
      </c>
      <c r="D2632">
        <v>3.9351871490478502E-2</v>
      </c>
      <c r="E2632" s="5">
        <f t="shared" si="285"/>
        <v>39.351871490478501</v>
      </c>
      <c r="F2632" s="5">
        <v>0.55204302771017</v>
      </c>
      <c r="G2632">
        <f t="shared" si="286"/>
        <v>0.78703742980957003</v>
      </c>
      <c r="H2632">
        <f t="shared" si="287"/>
        <v>5.5204302771016997E-2</v>
      </c>
      <c r="I2632">
        <f t="shared" si="288"/>
        <v>5.5734400095573851E-2</v>
      </c>
      <c r="K2632" s="5">
        <f t="shared" si="289"/>
        <v>0.83048528237690056</v>
      </c>
      <c r="L2632" s="5">
        <f t="shared" si="290"/>
        <v>5.3734400095573849E-2</v>
      </c>
    </row>
    <row r="2633" spans="2:12">
      <c r="B2633">
        <v>25.638671875</v>
      </c>
      <c r="C2633">
        <v>4.2799897491931898</v>
      </c>
      <c r="D2633">
        <v>0.175144760131836</v>
      </c>
      <c r="E2633" s="5">
        <f xml:space="preserve"> D2633*R$3</f>
        <v>175.14476013183599</v>
      </c>
      <c r="F2633" s="5">
        <v>0.54883235134184405</v>
      </c>
      <c r="G2633">
        <f xml:space="preserve"> E2633/C$3</f>
        <v>3.5028952026367199</v>
      </c>
      <c r="H2633">
        <f t="shared" ref="H2633:H2636" si="291" xml:space="preserve"> F2633/C$4</f>
        <v>5.4883235134184402E-2</v>
      </c>
      <c r="I2633">
        <f t="shared" ref="I2633:I2636" si="292">L2633+0.002</f>
        <v>5.5430083204883011E-2</v>
      </c>
      <c r="K2633" s="5">
        <f t="shared" ref="K2633:K2636" si="293" xml:space="preserve"> G2633 * (1 + H2633)</f>
        <v>3.6951454236934373</v>
      </c>
      <c r="L2633" s="5">
        <f t="shared" ref="L2633:L2636" si="294">LN(1 + H2633)</f>
        <v>5.343008320488301E-2</v>
      </c>
    </row>
    <row r="2634" spans="2:12">
      <c r="B2634">
        <v>25.6484375</v>
      </c>
      <c r="C2634">
        <v>4.2839092202484599</v>
      </c>
      <c r="D2634">
        <v>0.19919197082519499</v>
      </c>
      <c r="E2634" s="5">
        <f xml:space="preserve"> D2634*R$3</f>
        <v>199.191970825195</v>
      </c>
      <c r="F2634" s="5">
        <v>0.55207597324624702</v>
      </c>
      <c r="G2634">
        <f xml:space="preserve"> E2634/C$3</f>
        <v>3.9838394165038999</v>
      </c>
      <c r="H2634">
        <f t="shared" si="291"/>
        <v>5.5207597324624699E-2</v>
      </c>
      <c r="I2634">
        <f t="shared" si="292"/>
        <v>5.5737522285708919E-2</v>
      </c>
      <c r="K2634" s="5">
        <f t="shared" si="293"/>
        <v>4.2037776188162148</v>
      </c>
      <c r="L2634" s="5">
        <f t="shared" si="294"/>
        <v>5.3737522285708918E-2</v>
      </c>
    </row>
    <row r="2635" spans="2:12">
      <c r="B2635">
        <v>25.658203125</v>
      </c>
      <c r="C2635">
        <v>4.28191432729363</v>
      </c>
      <c r="D2635">
        <v>-2.1820888519287099E-3</v>
      </c>
      <c r="E2635" s="5">
        <f xml:space="preserve"> D2635*R$3</f>
        <v>-2.18208885192871</v>
      </c>
      <c r="F2635" s="5">
        <v>0.51972339861094996</v>
      </c>
      <c r="G2635">
        <f xml:space="preserve"> E2635/C$3</f>
        <v>-4.3641777038574199E-2</v>
      </c>
      <c r="H2635">
        <f t="shared" si="291"/>
        <v>5.1972339861094993E-2</v>
      </c>
      <c r="I2635">
        <f t="shared" si="292"/>
        <v>5.2666821062149143E-2</v>
      </c>
      <c r="K2635" s="5">
        <f t="shared" si="293"/>
        <v>-4.5909942306965108E-2</v>
      </c>
      <c r="L2635" s="5">
        <f t="shared" si="294"/>
        <v>5.0666821062149141E-2</v>
      </c>
    </row>
    <row r="2636" spans="2:12">
      <c r="B2636">
        <v>25.66796875</v>
      </c>
      <c r="C2636">
        <v>4.2839185334742096</v>
      </c>
      <c r="D2636">
        <v>0.34245336914062502</v>
      </c>
      <c r="E2636" s="5">
        <f xml:space="preserve"> D2636*R$3</f>
        <v>342.453369140625</v>
      </c>
      <c r="F2636" s="5">
        <v>0.51758304471149996</v>
      </c>
      <c r="G2636">
        <f xml:space="preserve"> E2636/C$3</f>
        <v>6.8490673828124997</v>
      </c>
      <c r="H2636">
        <f t="shared" si="291"/>
        <v>5.1758304471149999E-2</v>
      </c>
      <c r="I2636">
        <f t="shared" si="292"/>
        <v>5.2463339317696679E-2</v>
      </c>
      <c r="K2636" s="5">
        <f t="shared" si="293"/>
        <v>7.2035634977555318</v>
      </c>
      <c r="L2636" s="5">
        <f t="shared" si="294"/>
        <v>5.0463339317696677E-2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A769-275E-4C7B-B3AA-6322B8CB0104}">
  <dimension ref="A1:E8"/>
  <sheetViews>
    <sheetView workbookViewId="0">
      <selection activeCell="F3" sqref="F3"/>
    </sheetView>
  </sheetViews>
  <sheetFormatPr defaultRowHeight="14.4"/>
  <cols>
    <col min="5" max="5" width="13.109375" customWidth="1"/>
  </cols>
  <sheetData>
    <row r="1" spans="1:5">
      <c r="A1" t="s">
        <v>46</v>
      </c>
      <c r="B1" t="s">
        <v>47</v>
      </c>
      <c r="C1" t="s">
        <v>48</v>
      </c>
      <c r="D1" t="s">
        <v>50</v>
      </c>
      <c r="E1" t="s">
        <v>49</v>
      </c>
    </row>
    <row r="2" spans="1:5">
      <c r="A2">
        <v>420</v>
      </c>
      <c r="B2">
        <v>0</v>
      </c>
      <c r="C2">
        <f>1240/A2</f>
        <v>2.9523809523809526</v>
      </c>
      <c r="D2">
        <f>2303*B2</f>
        <v>0</v>
      </c>
      <c r="E2">
        <f>(D2*B2)^2</f>
        <v>0</v>
      </c>
    </row>
    <row r="3" spans="1:5">
      <c r="A3">
        <v>400</v>
      </c>
      <c r="B3">
        <v>0.05</v>
      </c>
      <c r="C3">
        <f t="shared" ref="C3:C8" si="0">1240/A3</f>
        <v>3.1</v>
      </c>
      <c r="D3">
        <f t="shared" ref="D3:D8" si="1">2303*B3</f>
        <v>115.15</v>
      </c>
      <c r="E3">
        <f t="shared" ref="E3:E8" si="2">(D3*B3)^2</f>
        <v>33.14880625</v>
      </c>
    </row>
    <row r="4" spans="1:5">
      <c r="A4">
        <v>380</v>
      </c>
      <c r="B4">
        <v>0.15</v>
      </c>
      <c r="C4">
        <f t="shared" si="0"/>
        <v>3.263157894736842</v>
      </c>
      <c r="D4">
        <f t="shared" si="1"/>
        <v>345.45</v>
      </c>
      <c r="E4">
        <f t="shared" si="2"/>
        <v>2685.0533062499994</v>
      </c>
    </row>
    <row r="5" spans="1:5">
      <c r="A5">
        <v>360</v>
      </c>
      <c r="B5">
        <v>0.35</v>
      </c>
      <c r="C5">
        <f t="shared" si="0"/>
        <v>3.4444444444444446</v>
      </c>
      <c r="D5">
        <f t="shared" si="1"/>
        <v>806.05</v>
      </c>
      <c r="E5">
        <f t="shared" si="2"/>
        <v>79590.283806249965</v>
      </c>
    </row>
    <row r="6" spans="1:5">
      <c r="A6">
        <v>340</v>
      </c>
      <c r="B6">
        <v>0.6</v>
      </c>
      <c r="C6">
        <f t="shared" si="0"/>
        <v>3.6470588235294117</v>
      </c>
      <c r="D6">
        <f t="shared" si="1"/>
        <v>1381.8</v>
      </c>
      <c r="E6">
        <f t="shared" si="2"/>
        <v>687373.64639999985</v>
      </c>
    </row>
    <row r="7" spans="1:5">
      <c r="A7">
        <v>320</v>
      </c>
      <c r="B7">
        <v>0.9</v>
      </c>
      <c r="C7">
        <f t="shared" si="0"/>
        <v>3.875</v>
      </c>
      <c r="D7">
        <f t="shared" si="1"/>
        <v>2072.7000000000003</v>
      </c>
      <c r="E7">
        <f t="shared" si="2"/>
        <v>3479829.0849000011</v>
      </c>
    </row>
    <row r="8" spans="1:5">
      <c r="A8">
        <v>300</v>
      </c>
      <c r="B8">
        <v>1.1000000000000001</v>
      </c>
      <c r="C8">
        <f t="shared" si="0"/>
        <v>4.1333333333333337</v>
      </c>
      <c r="D8">
        <f t="shared" si="1"/>
        <v>2533.3000000000002</v>
      </c>
      <c r="E8">
        <f t="shared" si="2"/>
        <v>7765306.7569000032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110C-BC50-4FE9-9135-D4003A32608A}">
  <dimension ref="A1:K2610"/>
  <sheetViews>
    <sheetView workbookViewId="0">
      <selection activeCell="I14" sqref="I14"/>
    </sheetView>
  </sheetViews>
  <sheetFormatPr defaultRowHeight="14.4"/>
  <cols>
    <col min="1" max="1" width="8.88671875" style="12"/>
    <col min="5" max="5" width="19.77734375" customWidth="1"/>
    <col min="6" max="6" width="18.88671875" customWidth="1"/>
    <col min="7" max="7" width="33.21875" customWidth="1"/>
  </cols>
  <sheetData>
    <row r="1" spans="2:11">
      <c r="F1" s="5" t="s">
        <v>52</v>
      </c>
      <c r="G1" s="5" t="s">
        <v>53</v>
      </c>
      <c r="J1" s="11" t="s">
        <v>1064</v>
      </c>
      <c r="K1" s="5" t="s">
        <v>1065</v>
      </c>
    </row>
    <row r="2" spans="2:11">
      <c r="B2" s="5"/>
      <c r="F2" s="5" t="s">
        <v>54</v>
      </c>
      <c r="G2" s="5" t="s">
        <v>55</v>
      </c>
      <c r="J2" s="5" t="s">
        <v>1066</v>
      </c>
      <c r="K2" s="5" t="s">
        <v>1067</v>
      </c>
    </row>
    <row r="3" spans="2:11">
      <c r="B3" s="5"/>
      <c r="F3" s="5" t="s">
        <v>56</v>
      </c>
      <c r="G3" s="5" t="s">
        <v>57</v>
      </c>
      <c r="J3" s="5" t="s">
        <v>1068</v>
      </c>
      <c r="K3" s="5" t="s">
        <v>1069</v>
      </c>
    </row>
    <row r="4" spans="2:11">
      <c r="B4" s="5"/>
      <c r="F4" s="5" t="s">
        <v>58</v>
      </c>
      <c r="G4" s="5" t="s">
        <v>59</v>
      </c>
      <c r="J4" s="5" t="s">
        <v>1070</v>
      </c>
      <c r="K4" s="5" t="s">
        <v>1071</v>
      </c>
    </row>
    <row r="5" spans="2:11">
      <c r="B5" s="5"/>
      <c r="F5" s="5" t="s">
        <v>60</v>
      </c>
      <c r="G5" s="5" t="s">
        <v>61</v>
      </c>
      <c r="J5" s="5" t="s">
        <v>1072</v>
      </c>
      <c r="K5" s="5" t="s">
        <v>1073</v>
      </c>
    </row>
    <row r="6" spans="2:11">
      <c r="B6" s="5"/>
      <c r="F6" s="5" t="s">
        <v>62</v>
      </c>
      <c r="G6" s="5" t="s">
        <v>63</v>
      </c>
      <c r="J6" s="5" t="s">
        <v>1074</v>
      </c>
      <c r="K6" s="5" t="s">
        <v>1075</v>
      </c>
    </row>
    <row r="7" spans="2:11">
      <c r="B7" s="5"/>
      <c r="F7" s="5" t="s">
        <v>64</v>
      </c>
      <c r="G7" s="5" t="s">
        <v>65</v>
      </c>
      <c r="J7" s="5" t="s">
        <v>1076</v>
      </c>
      <c r="K7" s="5" t="s">
        <v>1077</v>
      </c>
    </row>
    <row r="8" spans="2:11">
      <c r="B8" s="5"/>
      <c r="F8" s="5" t="s">
        <v>66</v>
      </c>
      <c r="G8" s="5" t="s">
        <v>67</v>
      </c>
      <c r="J8" s="5" t="s">
        <v>1078</v>
      </c>
      <c r="K8" s="5" t="s">
        <v>1079</v>
      </c>
    </row>
    <row r="9" spans="2:11">
      <c r="B9" s="5"/>
      <c r="F9" s="5" t="s">
        <v>68</v>
      </c>
      <c r="G9" s="5" t="s">
        <v>69</v>
      </c>
      <c r="J9" s="5" t="s">
        <v>1080</v>
      </c>
      <c r="K9" s="5" t="s">
        <v>1081</v>
      </c>
    </row>
    <row r="10" spans="2:11">
      <c r="B10" s="5"/>
      <c r="F10" s="5" t="s">
        <v>70</v>
      </c>
      <c r="G10" s="5" t="s">
        <v>71</v>
      </c>
      <c r="J10" s="5" t="s">
        <v>1082</v>
      </c>
      <c r="K10" s="5" t="s">
        <v>1083</v>
      </c>
    </row>
    <row r="11" spans="2:11">
      <c r="B11" s="5"/>
      <c r="F11" s="5" t="s">
        <v>72</v>
      </c>
      <c r="G11" s="5" t="s">
        <v>73</v>
      </c>
      <c r="J11" s="5" t="s">
        <v>1084</v>
      </c>
      <c r="K11" s="5" t="s">
        <v>1085</v>
      </c>
    </row>
    <row r="12" spans="2:11">
      <c r="B12" s="5"/>
      <c r="F12" s="5" t="s">
        <v>74</v>
      </c>
      <c r="G12" s="5" t="s">
        <v>75</v>
      </c>
      <c r="J12" s="5" t="s">
        <v>1086</v>
      </c>
      <c r="K12" s="5" t="s">
        <v>1087</v>
      </c>
    </row>
    <row r="13" spans="2:11">
      <c r="B13" s="5"/>
      <c r="F13" s="5" t="s">
        <v>76</v>
      </c>
      <c r="G13" s="5" t="s">
        <v>77</v>
      </c>
      <c r="J13" s="5" t="s">
        <v>1088</v>
      </c>
      <c r="K13" s="5" t="s">
        <v>1089</v>
      </c>
    </row>
    <row r="14" spans="2:11">
      <c r="B14" s="5"/>
      <c r="F14" s="5" t="s">
        <v>78</v>
      </c>
      <c r="G14" s="5" t="s">
        <v>79</v>
      </c>
      <c r="J14" s="5" t="s">
        <v>1090</v>
      </c>
      <c r="K14" s="5" t="s">
        <v>1091</v>
      </c>
    </row>
    <row r="15" spans="2:11">
      <c r="B15" s="5"/>
      <c r="F15" s="5" t="s">
        <v>80</v>
      </c>
      <c r="G15" s="5" t="s">
        <v>81</v>
      </c>
      <c r="J15" s="5" t="s">
        <v>1092</v>
      </c>
      <c r="K15" s="5" t="s">
        <v>1093</v>
      </c>
    </row>
    <row r="16" spans="2:11">
      <c r="B16" s="5"/>
      <c r="F16" s="5" t="s">
        <v>82</v>
      </c>
      <c r="G16" s="5" t="s">
        <v>83</v>
      </c>
      <c r="J16" s="5" t="s">
        <v>1094</v>
      </c>
      <c r="K16" s="5" t="s">
        <v>1095</v>
      </c>
    </row>
    <row r="17" spans="2:11">
      <c r="B17" s="5"/>
      <c r="F17" s="5" t="s">
        <v>84</v>
      </c>
      <c r="G17" s="5" t="s">
        <v>85</v>
      </c>
      <c r="J17" s="5" t="s">
        <v>1096</v>
      </c>
      <c r="K17" s="5" t="s">
        <v>1097</v>
      </c>
    </row>
    <row r="18" spans="2:11">
      <c r="B18" s="5"/>
      <c r="F18" s="5" t="s">
        <v>86</v>
      </c>
      <c r="G18" s="5" t="s">
        <v>87</v>
      </c>
      <c r="J18" s="5" t="s">
        <v>1098</v>
      </c>
      <c r="K18" s="5" t="s">
        <v>1099</v>
      </c>
    </row>
    <row r="19" spans="2:11">
      <c r="B19" s="5"/>
      <c r="F19" s="5" t="s">
        <v>88</v>
      </c>
      <c r="G19" s="5" t="s">
        <v>89</v>
      </c>
      <c r="J19" s="5" t="s">
        <v>1100</v>
      </c>
      <c r="K19" s="5" t="s">
        <v>1101</v>
      </c>
    </row>
    <row r="20" spans="2:11">
      <c r="B20" s="5"/>
      <c r="F20" s="5" t="s">
        <v>90</v>
      </c>
      <c r="G20" s="5" t="s">
        <v>91</v>
      </c>
      <c r="J20" s="5" t="s">
        <v>1102</v>
      </c>
      <c r="K20" s="5" t="s">
        <v>1103</v>
      </c>
    </row>
    <row r="21" spans="2:11">
      <c r="B21" s="5"/>
      <c r="F21" s="5" t="s">
        <v>92</v>
      </c>
      <c r="G21" s="5" t="s">
        <v>93</v>
      </c>
      <c r="J21" s="5" t="s">
        <v>1104</v>
      </c>
      <c r="K21" s="5" t="s">
        <v>1105</v>
      </c>
    </row>
    <row r="22" spans="2:11">
      <c r="B22" s="5"/>
      <c r="F22" s="5" t="s">
        <v>94</v>
      </c>
      <c r="G22" s="5" t="s">
        <v>95</v>
      </c>
      <c r="J22" s="5" t="s">
        <v>1106</v>
      </c>
      <c r="K22" s="5" t="s">
        <v>1107</v>
      </c>
    </row>
    <row r="23" spans="2:11">
      <c r="B23" s="5"/>
      <c r="F23" s="5" t="s">
        <v>96</v>
      </c>
      <c r="G23" s="5" t="s">
        <v>97</v>
      </c>
      <c r="J23" s="5" t="s">
        <v>1108</v>
      </c>
      <c r="K23" s="5" t="s">
        <v>1109</v>
      </c>
    </row>
    <row r="24" spans="2:11">
      <c r="B24" s="5"/>
      <c r="F24" s="5" t="s">
        <v>98</v>
      </c>
      <c r="G24" s="5" t="s">
        <v>99</v>
      </c>
      <c r="J24" s="5" t="s">
        <v>1110</v>
      </c>
      <c r="K24" s="5" t="s">
        <v>1111</v>
      </c>
    </row>
    <row r="25" spans="2:11">
      <c r="B25" s="5"/>
      <c r="F25" s="5" t="s">
        <v>100</v>
      </c>
      <c r="G25" s="5" t="s">
        <v>101</v>
      </c>
      <c r="J25" s="5" t="s">
        <v>1112</v>
      </c>
      <c r="K25" s="5" t="s">
        <v>1113</v>
      </c>
    </row>
    <row r="26" spans="2:11">
      <c r="B26" s="5"/>
      <c r="F26" s="5" t="s">
        <v>102</v>
      </c>
      <c r="G26" s="5" t="s">
        <v>103</v>
      </c>
      <c r="J26" s="5" t="s">
        <v>1114</v>
      </c>
      <c r="K26" s="5" t="s">
        <v>1115</v>
      </c>
    </row>
    <row r="27" spans="2:11">
      <c r="B27" s="5"/>
      <c r="F27" s="5" t="s">
        <v>104</v>
      </c>
      <c r="G27" s="5" t="s">
        <v>105</v>
      </c>
      <c r="J27" s="5" t="s">
        <v>1116</v>
      </c>
      <c r="K27" s="5" t="s">
        <v>1117</v>
      </c>
    </row>
    <row r="28" spans="2:11">
      <c r="B28" s="5"/>
      <c r="F28" s="5" t="s">
        <v>106</v>
      </c>
      <c r="G28" s="5" t="s">
        <v>107</v>
      </c>
      <c r="J28" s="5" t="s">
        <v>1118</v>
      </c>
      <c r="K28" s="5" t="s">
        <v>1119</v>
      </c>
    </row>
    <row r="29" spans="2:11">
      <c r="B29" s="5"/>
      <c r="F29" s="5" t="s">
        <v>108</v>
      </c>
      <c r="G29" s="5" t="s">
        <v>109</v>
      </c>
      <c r="J29" s="5" t="s">
        <v>1120</v>
      </c>
      <c r="K29" s="5" t="s">
        <v>1121</v>
      </c>
    </row>
    <row r="30" spans="2:11">
      <c r="B30" s="5"/>
      <c r="F30" s="5" t="s">
        <v>110</v>
      </c>
      <c r="G30" s="5" t="s">
        <v>111</v>
      </c>
      <c r="J30" s="5" t="s">
        <v>1122</v>
      </c>
      <c r="K30" s="5" t="s">
        <v>1123</v>
      </c>
    </row>
    <row r="31" spans="2:11">
      <c r="B31" s="5"/>
      <c r="F31" s="5" t="s">
        <v>112</v>
      </c>
      <c r="G31" s="5" t="s">
        <v>113</v>
      </c>
      <c r="J31" s="5" t="s">
        <v>1124</v>
      </c>
      <c r="K31" s="5" t="s">
        <v>1125</v>
      </c>
    </row>
    <row r="32" spans="2:11">
      <c r="B32" s="5"/>
      <c r="F32" s="5" t="s">
        <v>114</v>
      </c>
      <c r="G32" s="5" t="s">
        <v>115</v>
      </c>
      <c r="J32" s="5" t="s">
        <v>1126</v>
      </c>
      <c r="K32" s="5" t="s">
        <v>1127</v>
      </c>
    </row>
    <row r="33" spans="2:11">
      <c r="B33" s="5"/>
      <c r="F33" s="5" t="s">
        <v>116</v>
      </c>
      <c r="G33" s="5" t="s">
        <v>117</v>
      </c>
      <c r="J33" s="5" t="s">
        <v>1128</v>
      </c>
      <c r="K33" s="5" t="s">
        <v>1129</v>
      </c>
    </row>
    <row r="34" spans="2:11">
      <c r="B34" s="5"/>
      <c r="F34" s="5" t="s">
        <v>118</v>
      </c>
      <c r="G34" s="5" t="s">
        <v>119</v>
      </c>
      <c r="J34" s="5" t="s">
        <v>1130</v>
      </c>
      <c r="K34" s="5" t="s">
        <v>1131</v>
      </c>
    </row>
    <row r="35" spans="2:11">
      <c r="B35" s="5"/>
      <c r="F35" s="5" t="s">
        <v>120</v>
      </c>
      <c r="G35" s="5" t="s">
        <v>121</v>
      </c>
      <c r="J35" s="5" t="s">
        <v>1132</v>
      </c>
      <c r="K35" s="5" t="s">
        <v>1133</v>
      </c>
    </row>
    <row r="36" spans="2:11">
      <c r="B36" s="5"/>
      <c r="F36" s="5" t="s">
        <v>122</v>
      </c>
      <c r="G36" s="5" t="s">
        <v>123</v>
      </c>
      <c r="J36" s="5" t="s">
        <v>1134</v>
      </c>
      <c r="K36" s="5" t="s">
        <v>1135</v>
      </c>
    </row>
    <row r="37" spans="2:11">
      <c r="B37" s="5"/>
      <c r="F37" s="5" t="s">
        <v>124</v>
      </c>
      <c r="G37" s="5" t="s">
        <v>125</v>
      </c>
      <c r="J37" s="5" t="s">
        <v>1136</v>
      </c>
      <c r="K37" s="5" t="s">
        <v>1137</v>
      </c>
    </row>
    <row r="38" spans="2:11">
      <c r="B38" s="5"/>
      <c r="F38" s="5" t="s">
        <v>126</v>
      </c>
      <c r="G38" s="5" t="s">
        <v>127</v>
      </c>
      <c r="J38" s="5" t="s">
        <v>1138</v>
      </c>
      <c r="K38" s="5" t="s">
        <v>1139</v>
      </c>
    </row>
    <row r="39" spans="2:11">
      <c r="B39" s="5"/>
      <c r="F39" s="5" t="s">
        <v>128</v>
      </c>
      <c r="G39" s="5" t="s">
        <v>129</v>
      </c>
      <c r="J39" s="5" t="s">
        <v>1140</v>
      </c>
      <c r="K39" s="5" t="s">
        <v>1141</v>
      </c>
    </row>
    <row r="40" spans="2:11">
      <c r="B40" s="5"/>
      <c r="F40" s="5" t="s">
        <v>130</v>
      </c>
      <c r="G40" s="5" t="s">
        <v>131</v>
      </c>
      <c r="J40" s="5" t="s">
        <v>1142</v>
      </c>
      <c r="K40" s="5" t="s">
        <v>1143</v>
      </c>
    </row>
    <row r="41" spans="2:11">
      <c r="B41" s="5"/>
      <c r="F41" s="5" t="s">
        <v>132</v>
      </c>
      <c r="G41" s="5" t="s">
        <v>133</v>
      </c>
      <c r="J41" s="5" t="s">
        <v>1144</v>
      </c>
      <c r="K41" s="5" t="s">
        <v>1145</v>
      </c>
    </row>
    <row r="42" spans="2:11">
      <c r="B42" s="5"/>
      <c r="F42" s="5" t="s">
        <v>134</v>
      </c>
      <c r="G42" s="5" t="s">
        <v>135</v>
      </c>
      <c r="J42" s="5" t="s">
        <v>1146</v>
      </c>
      <c r="K42" s="5" t="s">
        <v>1147</v>
      </c>
    </row>
    <row r="43" spans="2:11">
      <c r="B43" s="5"/>
      <c r="F43" s="5" t="s">
        <v>136</v>
      </c>
      <c r="G43" s="5" t="s">
        <v>137</v>
      </c>
      <c r="J43" s="5" t="s">
        <v>1148</v>
      </c>
      <c r="K43" s="5" t="s">
        <v>1149</v>
      </c>
    </row>
    <row r="44" spans="2:11">
      <c r="B44" s="5"/>
      <c r="F44" s="5" t="s">
        <v>138</v>
      </c>
      <c r="G44" s="5" t="s">
        <v>139</v>
      </c>
      <c r="J44" s="5" t="s">
        <v>1150</v>
      </c>
      <c r="K44" s="5" t="s">
        <v>1151</v>
      </c>
    </row>
    <row r="45" spans="2:11">
      <c r="B45" s="5"/>
      <c r="F45" s="5" t="s">
        <v>140</v>
      </c>
      <c r="G45" s="5" t="s">
        <v>141</v>
      </c>
      <c r="J45" s="5" t="s">
        <v>1152</v>
      </c>
      <c r="K45" s="5" t="s">
        <v>1153</v>
      </c>
    </row>
    <row r="46" spans="2:11">
      <c r="B46" s="5"/>
      <c r="F46" s="5" t="s">
        <v>142</v>
      </c>
      <c r="G46" s="5" t="s">
        <v>143</v>
      </c>
      <c r="J46" s="5" t="s">
        <v>1154</v>
      </c>
      <c r="K46" s="5" t="s">
        <v>1155</v>
      </c>
    </row>
    <row r="47" spans="2:11">
      <c r="B47" s="5"/>
      <c r="F47" s="5" t="s">
        <v>144</v>
      </c>
      <c r="G47" s="5" t="s">
        <v>145</v>
      </c>
      <c r="J47" s="5" t="s">
        <v>1156</v>
      </c>
      <c r="K47" s="5" t="s">
        <v>1157</v>
      </c>
    </row>
    <row r="48" spans="2:11">
      <c r="B48" s="5"/>
      <c r="F48" s="5" t="s">
        <v>146</v>
      </c>
      <c r="G48" s="5" t="s">
        <v>147</v>
      </c>
      <c r="J48" s="5" t="s">
        <v>1158</v>
      </c>
      <c r="K48" s="5" t="s">
        <v>1159</v>
      </c>
    </row>
    <row r="49" spans="2:11">
      <c r="B49" s="5"/>
      <c r="F49" s="5" t="s">
        <v>148</v>
      </c>
      <c r="G49" s="5" t="s">
        <v>149</v>
      </c>
      <c r="J49" s="5" t="s">
        <v>1160</v>
      </c>
      <c r="K49" s="5" t="s">
        <v>1161</v>
      </c>
    </row>
    <row r="50" spans="2:11">
      <c r="B50" s="5"/>
      <c r="F50" s="5" t="s">
        <v>150</v>
      </c>
      <c r="G50" s="5" t="s">
        <v>151</v>
      </c>
      <c r="J50" s="5" t="s">
        <v>1162</v>
      </c>
      <c r="K50" s="5" t="s">
        <v>1163</v>
      </c>
    </row>
    <row r="51" spans="2:11">
      <c r="B51" s="5"/>
      <c r="F51" s="5" t="s">
        <v>152</v>
      </c>
      <c r="G51" s="5" t="s">
        <v>153</v>
      </c>
      <c r="J51" s="5" t="s">
        <v>1164</v>
      </c>
      <c r="K51" s="5" t="s">
        <v>1165</v>
      </c>
    </row>
    <row r="52" spans="2:11">
      <c r="B52" s="5"/>
      <c r="F52" s="5" t="s">
        <v>154</v>
      </c>
      <c r="G52" s="5" t="s">
        <v>155</v>
      </c>
      <c r="J52" s="5" t="s">
        <v>1166</v>
      </c>
      <c r="K52" s="5" t="s">
        <v>1167</v>
      </c>
    </row>
    <row r="53" spans="2:11">
      <c r="B53" s="5"/>
      <c r="F53" s="5" t="s">
        <v>156</v>
      </c>
      <c r="G53" s="5" t="s">
        <v>157</v>
      </c>
      <c r="J53" s="5" t="s">
        <v>1168</v>
      </c>
      <c r="K53" s="5" t="s">
        <v>1169</v>
      </c>
    </row>
    <row r="54" spans="2:11">
      <c r="B54" s="5"/>
      <c r="F54" s="5" t="s">
        <v>158</v>
      </c>
      <c r="G54" s="5" t="s">
        <v>159</v>
      </c>
      <c r="J54" s="5" t="s">
        <v>1170</v>
      </c>
      <c r="K54" s="5" t="s">
        <v>1171</v>
      </c>
    </row>
    <row r="55" spans="2:11">
      <c r="B55" s="5"/>
      <c r="F55" s="5" t="s">
        <v>160</v>
      </c>
      <c r="G55" s="5" t="s">
        <v>161</v>
      </c>
      <c r="J55" s="5" t="s">
        <v>1172</v>
      </c>
      <c r="K55" s="5" t="s">
        <v>1173</v>
      </c>
    </row>
    <row r="56" spans="2:11">
      <c r="B56" s="5"/>
      <c r="F56" s="5" t="s">
        <v>162</v>
      </c>
      <c r="G56" s="5" t="s">
        <v>163</v>
      </c>
      <c r="J56" s="5" t="s">
        <v>1174</v>
      </c>
      <c r="K56" s="5" t="s">
        <v>1175</v>
      </c>
    </row>
    <row r="57" spans="2:11">
      <c r="B57" s="5"/>
      <c r="F57" s="5" t="s">
        <v>164</v>
      </c>
      <c r="G57" s="5" t="s">
        <v>165</v>
      </c>
      <c r="J57" s="5" t="s">
        <v>1176</v>
      </c>
      <c r="K57" s="5" t="s">
        <v>1177</v>
      </c>
    </row>
    <row r="58" spans="2:11">
      <c r="B58" s="5"/>
      <c r="F58" s="5" t="s">
        <v>166</v>
      </c>
      <c r="G58" s="5" t="s">
        <v>167</v>
      </c>
      <c r="J58" s="5" t="s">
        <v>1178</v>
      </c>
      <c r="K58" s="5" t="s">
        <v>1179</v>
      </c>
    </row>
    <row r="59" spans="2:11">
      <c r="B59" s="5"/>
      <c r="F59" s="5" t="s">
        <v>168</v>
      </c>
      <c r="G59" s="5" t="s">
        <v>169</v>
      </c>
      <c r="J59" s="5" t="s">
        <v>1180</v>
      </c>
      <c r="K59" s="5" t="s">
        <v>1181</v>
      </c>
    </row>
    <row r="60" spans="2:11">
      <c r="B60" s="5"/>
      <c r="F60" s="5" t="s">
        <v>170</v>
      </c>
      <c r="G60" s="5" t="s">
        <v>171</v>
      </c>
      <c r="J60" s="5" t="s">
        <v>1182</v>
      </c>
      <c r="K60" s="5" t="s">
        <v>1183</v>
      </c>
    </row>
    <row r="61" spans="2:11">
      <c r="B61" s="5"/>
      <c r="F61" s="5" t="s">
        <v>172</v>
      </c>
      <c r="G61" s="5" t="s">
        <v>173</v>
      </c>
      <c r="J61" s="5" t="s">
        <v>1184</v>
      </c>
      <c r="K61" s="5" t="s">
        <v>1185</v>
      </c>
    </row>
    <row r="62" spans="2:11">
      <c r="B62" s="5"/>
      <c r="F62" s="5" t="s">
        <v>174</v>
      </c>
      <c r="G62" s="5" t="s">
        <v>175</v>
      </c>
      <c r="J62" s="5" t="s">
        <v>1186</v>
      </c>
      <c r="K62" s="5" t="s">
        <v>1187</v>
      </c>
    </row>
    <row r="63" spans="2:11">
      <c r="B63" s="5"/>
      <c r="F63" s="5" t="s">
        <v>176</v>
      </c>
      <c r="G63" s="5" t="s">
        <v>177</v>
      </c>
      <c r="J63" s="5" t="s">
        <v>1188</v>
      </c>
      <c r="K63" s="5" t="s">
        <v>1189</v>
      </c>
    </row>
    <row r="64" spans="2:11">
      <c r="B64" s="5"/>
      <c r="F64" s="5" t="s">
        <v>178</v>
      </c>
      <c r="G64" s="5" t="s">
        <v>179</v>
      </c>
      <c r="J64" s="5" t="s">
        <v>1190</v>
      </c>
      <c r="K64" s="5" t="s">
        <v>1191</v>
      </c>
    </row>
    <row r="65" spans="2:11">
      <c r="B65" s="5"/>
      <c r="F65" s="5" t="s">
        <v>180</v>
      </c>
      <c r="G65" s="5" t="s">
        <v>181</v>
      </c>
      <c r="J65" s="5" t="s">
        <v>1192</v>
      </c>
      <c r="K65" s="5" t="s">
        <v>1193</v>
      </c>
    </row>
    <row r="66" spans="2:11">
      <c r="B66" s="5"/>
      <c r="F66" s="5" t="s">
        <v>182</v>
      </c>
      <c r="G66" s="5" t="s">
        <v>183</v>
      </c>
      <c r="J66" s="5" t="s">
        <v>1194</v>
      </c>
      <c r="K66" s="5" t="s">
        <v>1195</v>
      </c>
    </row>
    <row r="67" spans="2:11">
      <c r="B67" s="5"/>
      <c r="F67" s="5" t="s">
        <v>184</v>
      </c>
      <c r="G67" s="5" t="s">
        <v>185</v>
      </c>
      <c r="J67" s="5" t="s">
        <v>1196</v>
      </c>
      <c r="K67" s="5" t="s">
        <v>1197</v>
      </c>
    </row>
    <row r="68" spans="2:11">
      <c r="B68" s="5"/>
      <c r="F68" s="5" t="s">
        <v>186</v>
      </c>
      <c r="G68" s="5" t="s">
        <v>187</v>
      </c>
      <c r="J68" s="5" t="s">
        <v>1198</v>
      </c>
      <c r="K68" s="5" t="s">
        <v>1199</v>
      </c>
    </row>
    <row r="69" spans="2:11">
      <c r="B69" s="5"/>
      <c r="F69" s="5" t="s">
        <v>188</v>
      </c>
      <c r="G69" s="5" t="s">
        <v>189</v>
      </c>
      <c r="J69" s="5" t="s">
        <v>1200</v>
      </c>
      <c r="K69" s="5" t="s">
        <v>1201</v>
      </c>
    </row>
    <row r="70" spans="2:11">
      <c r="B70" s="5"/>
      <c r="F70" s="5" t="s">
        <v>190</v>
      </c>
      <c r="G70" s="5" t="s">
        <v>191</v>
      </c>
      <c r="J70" s="5" t="s">
        <v>1202</v>
      </c>
      <c r="K70" s="5" t="s">
        <v>1203</v>
      </c>
    </row>
    <row r="71" spans="2:11">
      <c r="B71" s="5"/>
      <c r="F71" s="5" t="s">
        <v>192</v>
      </c>
      <c r="G71" s="5" t="s">
        <v>193</v>
      </c>
      <c r="J71" s="5" t="s">
        <v>1204</v>
      </c>
      <c r="K71" s="5" t="s">
        <v>1205</v>
      </c>
    </row>
    <row r="72" spans="2:11">
      <c r="B72" s="5"/>
      <c r="F72" s="5" t="s">
        <v>194</v>
      </c>
      <c r="G72" s="5" t="s">
        <v>195</v>
      </c>
      <c r="J72" s="5" t="s">
        <v>1206</v>
      </c>
      <c r="K72" s="5" t="s">
        <v>1207</v>
      </c>
    </row>
    <row r="73" spans="2:11">
      <c r="B73" s="5"/>
      <c r="F73" s="5" t="s">
        <v>196</v>
      </c>
      <c r="G73" s="5" t="s">
        <v>197</v>
      </c>
      <c r="J73" s="5" t="s">
        <v>1208</v>
      </c>
      <c r="K73" s="5" t="s">
        <v>1209</v>
      </c>
    </row>
    <row r="74" spans="2:11">
      <c r="B74" s="5"/>
      <c r="F74" s="5" t="s">
        <v>198</v>
      </c>
      <c r="G74" s="5" t="s">
        <v>199</v>
      </c>
      <c r="J74" s="5" t="s">
        <v>1210</v>
      </c>
      <c r="K74" s="5" t="s">
        <v>1211</v>
      </c>
    </row>
    <row r="75" spans="2:11">
      <c r="B75" s="5"/>
      <c r="F75" s="5" t="s">
        <v>200</v>
      </c>
      <c r="G75" s="5" t="s">
        <v>201</v>
      </c>
      <c r="J75" s="5" t="s">
        <v>1212</v>
      </c>
      <c r="K75" s="5" t="s">
        <v>1213</v>
      </c>
    </row>
    <row r="76" spans="2:11">
      <c r="B76" s="5"/>
      <c r="F76" s="5" t="s">
        <v>202</v>
      </c>
      <c r="G76" s="5" t="s">
        <v>203</v>
      </c>
      <c r="J76" s="5" t="s">
        <v>1214</v>
      </c>
      <c r="K76" s="5" t="s">
        <v>1215</v>
      </c>
    </row>
    <row r="77" spans="2:11">
      <c r="B77" s="5"/>
      <c r="F77" s="5" t="s">
        <v>204</v>
      </c>
      <c r="G77" s="5" t="s">
        <v>205</v>
      </c>
      <c r="J77" s="5" t="s">
        <v>1216</v>
      </c>
      <c r="K77" s="5" t="s">
        <v>1217</v>
      </c>
    </row>
    <row r="78" spans="2:11">
      <c r="B78" s="5"/>
      <c r="F78" s="5" t="s">
        <v>206</v>
      </c>
      <c r="G78" s="5" t="s">
        <v>207</v>
      </c>
      <c r="J78" s="5" t="s">
        <v>1218</v>
      </c>
      <c r="K78" s="5" t="s">
        <v>1219</v>
      </c>
    </row>
    <row r="79" spans="2:11">
      <c r="B79" s="5"/>
      <c r="F79" s="5" t="s">
        <v>208</v>
      </c>
      <c r="G79" s="5" t="s">
        <v>209</v>
      </c>
      <c r="J79" s="5" t="s">
        <v>1220</v>
      </c>
      <c r="K79" s="5" t="s">
        <v>1221</v>
      </c>
    </row>
    <row r="80" spans="2:11">
      <c r="B80" s="5"/>
      <c r="F80" s="5" t="s">
        <v>210</v>
      </c>
      <c r="G80" s="5" t="s">
        <v>211</v>
      </c>
      <c r="J80" s="5" t="s">
        <v>1222</v>
      </c>
      <c r="K80" s="5" t="s">
        <v>1223</v>
      </c>
    </row>
    <row r="81" spans="2:11">
      <c r="B81" s="5"/>
      <c r="F81" s="5" t="s">
        <v>212</v>
      </c>
      <c r="G81" s="5" t="s">
        <v>213</v>
      </c>
      <c r="J81" s="5" t="s">
        <v>1224</v>
      </c>
      <c r="K81" s="5" t="s">
        <v>1225</v>
      </c>
    </row>
    <row r="82" spans="2:11">
      <c r="B82" s="5"/>
      <c r="F82" s="5" t="s">
        <v>214</v>
      </c>
      <c r="G82" s="5" t="s">
        <v>215</v>
      </c>
      <c r="J82" s="5" t="s">
        <v>1226</v>
      </c>
      <c r="K82" s="5" t="s">
        <v>1227</v>
      </c>
    </row>
    <row r="83" spans="2:11">
      <c r="B83" s="5"/>
      <c r="F83" s="5" t="s">
        <v>216</v>
      </c>
      <c r="G83" s="5" t="s">
        <v>217</v>
      </c>
      <c r="J83" s="5" t="s">
        <v>1228</v>
      </c>
      <c r="K83" s="5" t="s">
        <v>1229</v>
      </c>
    </row>
    <row r="84" spans="2:11">
      <c r="B84" s="5"/>
      <c r="F84" s="5" t="s">
        <v>218</v>
      </c>
      <c r="G84" s="5" t="s">
        <v>219</v>
      </c>
      <c r="J84" s="5" t="s">
        <v>1230</v>
      </c>
      <c r="K84" s="5" t="s">
        <v>1231</v>
      </c>
    </row>
    <row r="85" spans="2:11">
      <c r="B85" s="5"/>
      <c r="F85" s="5" t="s">
        <v>220</v>
      </c>
      <c r="G85" s="5" t="s">
        <v>221</v>
      </c>
      <c r="J85" s="5" t="s">
        <v>1232</v>
      </c>
      <c r="K85" s="5" t="s">
        <v>1233</v>
      </c>
    </row>
    <row r="86" spans="2:11">
      <c r="B86" s="5"/>
      <c r="F86" s="5" t="s">
        <v>222</v>
      </c>
      <c r="G86" s="5" t="s">
        <v>223</v>
      </c>
      <c r="J86" s="5" t="s">
        <v>1234</v>
      </c>
      <c r="K86" s="5" t="s">
        <v>1235</v>
      </c>
    </row>
    <row r="87" spans="2:11">
      <c r="B87" s="5"/>
      <c r="F87" s="5" t="s">
        <v>224</v>
      </c>
      <c r="G87" s="5" t="s">
        <v>225</v>
      </c>
      <c r="J87" s="5" t="s">
        <v>1236</v>
      </c>
      <c r="K87" s="5" t="s">
        <v>1237</v>
      </c>
    </row>
    <row r="88" spans="2:11">
      <c r="B88" s="5"/>
      <c r="F88" s="5" t="s">
        <v>226</v>
      </c>
      <c r="G88" s="5" t="s">
        <v>227</v>
      </c>
      <c r="J88" s="5" t="s">
        <v>1238</v>
      </c>
      <c r="K88" s="5" t="s">
        <v>1239</v>
      </c>
    </row>
    <row r="89" spans="2:11">
      <c r="B89" s="5"/>
      <c r="F89" s="5" t="s">
        <v>228</v>
      </c>
      <c r="G89" s="5" t="s">
        <v>229</v>
      </c>
      <c r="J89" s="5" t="s">
        <v>1240</v>
      </c>
      <c r="K89" s="5" t="s">
        <v>1241</v>
      </c>
    </row>
    <row r="90" spans="2:11">
      <c r="B90" s="5"/>
      <c r="F90" s="5" t="s">
        <v>230</v>
      </c>
      <c r="G90" s="5" t="s">
        <v>231</v>
      </c>
      <c r="J90" s="5" t="s">
        <v>1242</v>
      </c>
      <c r="K90" s="5" t="s">
        <v>1243</v>
      </c>
    </row>
    <row r="91" spans="2:11">
      <c r="B91" s="5"/>
      <c r="F91" s="5" t="s">
        <v>232</v>
      </c>
      <c r="G91" s="5" t="s">
        <v>233</v>
      </c>
      <c r="J91" s="5" t="s">
        <v>1244</v>
      </c>
      <c r="K91" s="5" t="s">
        <v>1245</v>
      </c>
    </row>
    <row r="92" spans="2:11">
      <c r="B92" s="5"/>
      <c r="F92" s="5" t="s">
        <v>234</v>
      </c>
      <c r="G92" s="5" t="s">
        <v>235</v>
      </c>
      <c r="J92" s="5" t="s">
        <v>1246</v>
      </c>
      <c r="K92" s="5" t="s">
        <v>1247</v>
      </c>
    </row>
    <row r="93" spans="2:11">
      <c r="B93" s="5"/>
      <c r="F93" s="5" t="s">
        <v>236</v>
      </c>
      <c r="G93" s="5" t="s">
        <v>237</v>
      </c>
      <c r="J93" s="5" t="s">
        <v>1248</v>
      </c>
      <c r="K93" s="5" t="s">
        <v>1249</v>
      </c>
    </row>
    <row r="94" spans="2:11">
      <c r="B94" s="5"/>
      <c r="F94" s="5" t="s">
        <v>238</v>
      </c>
      <c r="G94" s="5" t="s">
        <v>239</v>
      </c>
      <c r="J94" s="5" t="s">
        <v>1250</v>
      </c>
      <c r="K94" s="5" t="s">
        <v>1251</v>
      </c>
    </row>
    <row r="95" spans="2:11">
      <c r="B95" s="5"/>
      <c r="F95" s="5" t="s">
        <v>240</v>
      </c>
      <c r="G95" s="5" t="s">
        <v>241</v>
      </c>
      <c r="J95" s="5" t="s">
        <v>1252</v>
      </c>
      <c r="K95" s="5" t="s">
        <v>1253</v>
      </c>
    </row>
    <row r="96" spans="2:11">
      <c r="B96" s="5"/>
      <c r="F96" s="5" t="s">
        <v>242</v>
      </c>
      <c r="G96" s="5" t="s">
        <v>243</v>
      </c>
      <c r="J96" s="5" t="s">
        <v>1254</v>
      </c>
      <c r="K96" s="5" t="s">
        <v>1255</v>
      </c>
    </row>
    <row r="97" spans="2:11">
      <c r="B97" s="5"/>
      <c r="F97" s="5" t="s">
        <v>244</v>
      </c>
      <c r="G97" s="5" t="s">
        <v>245</v>
      </c>
      <c r="J97" s="5" t="s">
        <v>1256</v>
      </c>
      <c r="K97" s="5" t="s">
        <v>1257</v>
      </c>
    </row>
    <row r="98" spans="2:11">
      <c r="B98" s="5"/>
      <c r="F98" s="5" t="s">
        <v>246</v>
      </c>
      <c r="G98" s="5" t="s">
        <v>247</v>
      </c>
      <c r="J98" s="5" t="s">
        <v>1258</v>
      </c>
      <c r="K98" s="5" t="s">
        <v>1259</v>
      </c>
    </row>
    <row r="99" spans="2:11">
      <c r="B99" s="5"/>
      <c r="F99" s="5" t="s">
        <v>248</v>
      </c>
      <c r="G99" s="5" t="s">
        <v>249</v>
      </c>
      <c r="J99" s="5" t="s">
        <v>1260</v>
      </c>
      <c r="K99" s="5" t="s">
        <v>1261</v>
      </c>
    </row>
    <row r="100" spans="2:11">
      <c r="B100" s="5"/>
      <c r="F100" s="5" t="s">
        <v>250</v>
      </c>
      <c r="G100" s="5" t="s">
        <v>251</v>
      </c>
      <c r="J100" s="5" t="s">
        <v>1262</v>
      </c>
      <c r="K100" s="5" t="s">
        <v>1263</v>
      </c>
    </row>
    <row r="101" spans="2:11">
      <c r="B101" s="5"/>
      <c r="F101" s="5" t="s">
        <v>252</v>
      </c>
      <c r="G101" s="5" t="s">
        <v>253</v>
      </c>
      <c r="J101" s="5" t="s">
        <v>1264</v>
      </c>
      <c r="K101" s="5" t="s">
        <v>1265</v>
      </c>
    </row>
    <row r="102" spans="2:11">
      <c r="B102" s="5"/>
      <c r="F102" s="5" t="s">
        <v>254</v>
      </c>
      <c r="G102" s="5" t="s">
        <v>255</v>
      </c>
      <c r="J102" s="5" t="s">
        <v>1266</v>
      </c>
      <c r="K102" s="5" t="s">
        <v>1267</v>
      </c>
    </row>
    <row r="103" spans="2:11">
      <c r="B103" s="5"/>
      <c r="F103" s="5" t="s">
        <v>256</v>
      </c>
      <c r="G103" s="5" t="s">
        <v>257</v>
      </c>
      <c r="J103" s="5" t="s">
        <v>1268</v>
      </c>
      <c r="K103" s="5" t="s">
        <v>1269</v>
      </c>
    </row>
    <row r="104" spans="2:11">
      <c r="B104" s="5"/>
      <c r="F104" s="5" t="s">
        <v>258</v>
      </c>
      <c r="G104" s="5" t="s">
        <v>259</v>
      </c>
      <c r="J104" s="5" t="s">
        <v>1270</v>
      </c>
      <c r="K104" s="5" t="s">
        <v>1271</v>
      </c>
    </row>
    <row r="105" spans="2:11">
      <c r="B105" s="5"/>
      <c r="F105" s="5" t="s">
        <v>260</v>
      </c>
      <c r="G105" s="5" t="s">
        <v>261</v>
      </c>
      <c r="J105" s="5" t="s">
        <v>1272</v>
      </c>
      <c r="K105" s="5" t="s">
        <v>1273</v>
      </c>
    </row>
    <row r="106" spans="2:11">
      <c r="B106" s="5"/>
      <c r="F106" s="5" t="s">
        <v>262</v>
      </c>
      <c r="G106" s="5" t="s">
        <v>263</v>
      </c>
      <c r="J106" s="5" t="s">
        <v>1274</v>
      </c>
      <c r="K106" s="5" t="s">
        <v>1275</v>
      </c>
    </row>
    <row r="107" spans="2:11">
      <c r="B107" s="5"/>
      <c r="F107" s="5" t="s">
        <v>264</v>
      </c>
      <c r="G107" s="5" t="s">
        <v>265</v>
      </c>
      <c r="J107" s="5" t="s">
        <v>1276</v>
      </c>
      <c r="K107" s="5" t="s">
        <v>1277</v>
      </c>
    </row>
    <row r="108" spans="2:11">
      <c r="B108" s="5"/>
      <c r="F108" s="5" t="s">
        <v>266</v>
      </c>
      <c r="G108" s="5" t="s">
        <v>267</v>
      </c>
      <c r="J108" s="5" t="s">
        <v>1278</v>
      </c>
      <c r="K108" s="5" t="s">
        <v>1279</v>
      </c>
    </row>
    <row r="109" spans="2:11">
      <c r="B109" s="5"/>
      <c r="F109" s="5" t="s">
        <v>268</v>
      </c>
      <c r="G109" s="5" t="s">
        <v>269</v>
      </c>
      <c r="J109" s="5" t="s">
        <v>1280</v>
      </c>
      <c r="K109" s="5" t="s">
        <v>1281</v>
      </c>
    </row>
    <row r="110" spans="2:11">
      <c r="B110" s="5"/>
      <c r="F110" s="5" t="s">
        <v>270</v>
      </c>
      <c r="G110" s="5" t="s">
        <v>271</v>
      </c>
      <c r="J110" s="5" t="s">
        <v>1282</v>
      </c>
      <c r="K110" s="5" t="s">
        <v>1283</v>
      </c>
    </row>
    <row r="111" spans="2:11">
      <c r="B111" s="5"/>
      <c r="F111" s="5" t="s">
        <v>272</v>
      </c>
      <c r="G111" s="5" t="s">
        <v>273</v>
      </c>
      <c r="J111" s="5" t="s">
        <v>1284</v>
      </c>
      <c r="K111" s="5" t="s">
        <v>1285</v>
      </c>
    </row>
    <row r="112" spans="2:11">
      <c r="B112" s="5"/>
      <c r="F112" s="5" t="s">
        <v>274</v>
      </c>
      <c r="G112" s="5" t="s">
        <v>275</v>
      </c>
      <c r="J112" s="5" t="s">
        <v>1286</v>
      </c>
      <c r="K112" s="5" t="s">
        <v>1287</v>
      </c>
    </row>
    <row r="113" spans="2:11">
      <c r="B113" s="5"/>
      <c r="F113" s="5" t="s">
        <v>276</v>
      </c>
      <c r="G113" s="5" t="s">
        <v>277</v>
      </c>
      <c r="J113" s="5" t="s">
        <v>1288</v>
      </c>
      <c r="K113" s="5" t="s">
        <v>1289</v>
      </c>
    </row>
    <row r="114" spans="2:11">
      <c r="B114" s="5"/>
      <c r="F114" s="5" t="s">
        <v>278</v>
      </c>
      <c r="G114" s="5" t="s">
        <v>279</v>
      </c>
      <c r="J114" s="5" t="s">
        <v>1290</v>
      </c>
      <c r="K114" s="5" t="s">
        <v>1291</v>
      </c>
    </row>
    <row r="115" spans="2:11">
      <c r="B115" s="5"/>
      <c r="F115" s="5" t="s">
        <v>280</v>
      </c>
      <c r="G115" s="5" t="s">
        <v>281</v>
      </c>
      <c r="J115" s="5" t="s">
        <v>1292</v>
      </c>
      <c r="K115" s="5" t="s">
        <v>1293</v>
      </c>
    </row>
    <row r="116" spans="2:11">
      <c r="B116" s="5"/>
      <c r="F116" s="5" t="s">
        <v>282</v>
      </c>
      <c r="G116" s="5" t="s">
        <v>283</v>
      </c>
      <c r="J116" s="5" t="s">
        <v>1294</v>
      </c>
      <c r="K116" s="5" t="s">
        <v>1295</v>
      </c>
    </row>
    <row r="117" spans="2:11">
      <c r="B117" s="5"/>
      <c r="F117" s="5" t="s">
        <v>284</v>
      </c>
      <c r="G117" s="5" t="s">
        <v>285</v>
      </c>
      <c r="J117" s="5" t="s">
        <v>1296</v>
      </c>
      <c r="K117" s="5" t="s">
        <v>1297</v>
      </c>
    </row>
    <row r="118" spans="2:11">
      <c r="B118" s="5"/>
      <c r="F118" s="5" t="s">
        <v>286</v>
      </c>
      <c r="G118" s="5" t="s">
        <v>287</v>
      </c>
      <c r="J118" s="5" t="s">
        <v>1298</v>
      </c>
      <c r="K118" s="5" t="s">
        <v>1299</v>
      </c>
    </row>
    <row r="119" spans="2:11">
      <c r="B119" s="5"/>
      <c r="F119" s="5" t="s">
        <v>288</v>
      </c>
      <c r="G119" s="5" t="s">
        <v>289</v>
      </c>
      <c r="J119" s="5" t="s">
        <v>1300</v>
      </c>
      <c r="K119" s="5" t="s">
        <v>1301</v>
      </c>
    </row>
    <row r="120" spans="2:11">
      <c r="B120" s="5"/>
      <c r="F120" s="5" t="s">
        <v>290</v>
      </c>
      <c r="G120" s="5" t="s">
        <v>291</v>
      </c>
      <c r="J120" s="5" t="s">
        <v>1302</v>
      </c>
      <c r="K120" s="5" t="s">
        <v>1303</v>
      </c>
    </row>
    <row r="121" spans="2:11">
      <c r="B121" s="5"/>
      <c r="F121" s="5" t="s">
        <v>292</v>
      </c>
      <c r="G121" s="5" t="s">
        <v>293</v>
      </c>
      <c r="J121" s="5" t="s">
        <v>1304</v>
      </c>
      <c r="K121" s="5" t="s">
        <v>1305</v>
      </c>
    </row>
    <row r="122" spans="2:11">
      <c r="B122" s="5"/>
      <c r="F122" s="5" t="s">
        <v>294</v>
      </c>
      <c r="G122" s="5" t="s">
        <v>295</v>
      </c>
      <c r="J122" s="5" t="s">
        <v>1306</v>
      </c>
      <c r="K122" s="5" t="s">
        <v>1307</v>
      </c>
    </row>
    <row r="123" spans="2:11">
      <c r="B123" s="5"/>
      <c r="F123" s="5" t="s">
        <v>296</v>
      </c>
      <c r="G123" s="5" t="s">
        <v>297</v>
      </c>
      <c r="J123" s="5" t="s">
        <v>1308</v>
      </c>
      <c r="K123" s="5" t="s">
        <v>1309</v>
      </c>
    </row>
    <row r="124" spans="2:11">
      <c r="B124" s="5"/>
      <c r="F124" s="5" t="s">
        <v>298</v>
      </c>
      <c r="G124" s="5" t="s">
        <v>299</v>
      </c>
      <c r="J124" s="5" t="s">
        <v>1310</v>
      </c>
      <c r="K124" s="5" t="s">
        <v>1311</v>
      </c>
    </row>
    <row r="125" spans="2:11">
      <c r="B125" s="5"/>
      <c r="F125" s="5" t="s">
        <v>300</v>
      </c>
      <c r="G125" s="5" t="s">
        <v>301</v>
      </c>
      <c r="J125" s="5" t="s">
        <v>1312</v>
      </c>
      <c r="K125" s="5" t="s">
        <v>1313</v>
      </c>
    </row>
    <row r="126" spans="2:11">
      <c r="B126" s="5"/>
      <c r="F126" s="5" t="s">
        <v>302</v>
      </c>
      <c r="G126" s="5" t="s">
        <v>303</v>
      </c>
      <c r="J126" s="5" t="s">
        <v>1314</v>
      </c>
      <c r="K126" s="5" t="s">
        <v>1315</v>
      </c>
    </row>
    <row r="127" spans="2:11">
      <c r="B127" s="5"/>
      <c r="F127" s="5" t="s">
        <v>304</v>
      </c>
      <c r="G127" s="5" t="s">
        <v>305</v>
      </c>
      <c r="J127" s="5" t="s">
        <v>1316</v>
      </c>
      <c r="K127" s="5" t="s">
        <v>1317</v>
      </c>
    </row>
    <row r="128" spans="2:11">
      <c r="B128" s="5"/>
      <c r="F128" s="5" t="s">
        <v>306</v>
      </c>
      <c r="G128" s="5" t="s">
        <v>307</v>
      </c>
      <c r="J128" s="5" t="s">
        <v>1318</v>
      </c>
      <c r="K128" s="5" t="s">
        <v>1319</v>
      </c>
    </row>
    <row r="129" spans="2:11">
      <c r="B129" s="5"/>
      <c r="F129" s="5" t="s">
        <v>308</v>
      </c>
      <c r="G129" s="5" t="s">
        <v>309</v>
      </c>
      <c r="J129" s="5" t="s">
        <v>1320</v>
      </c>
      <c r="K129" s="5" t="s">
        <v>1321</v>
      </c>
    </row>
    <row r="130" spans="2:11">
      <c r="B130" s="5"/>
      <c r="F130" s="5" t="s">
        <v>310</v>
      </c>
      <c r="G130" s="5" t="s">
        <v>311</v>
      </c>
      <c r="J130" s="5" t="s">
        <v>1322</v>
      </c>
      <c r="K130" s="5" t="s">
        <v>1323</v>
      </c>
    </row>
    <row r="131" spans="2:11">
      <c r="B131" s="5"/>
      <c r="F131" s="5" t="s">
        <v>312</v>
      </c>
      <c r="G131" s="5" t="s">
        <v>313</v>
      </c>
      <c r="J131" s="5" t="s">
        <v>1324</v>
      </c>
      <c r="K131" s="5" t="s">
        <v>1325</v>
      </c>
    </row>
    <row r="132" spans="2:11">
      <c r="B132" s="5"/>
      <c r="F132" s="5" t="s">
        <v>314</v>
      </c>
      <c r="G132" s="5" t="s">
        <v>315</v>
      </c>
      <c r="J132" s="5" t="s">
        <v>1326</v>
      </c>
      <c r="K132" s="5" t="s">
        <v>1327</v>
      </c>
    </row>
    <row r="133" spans="2:11">
      <c r="B133" s="5"/>
      <c r="F133" s="5" t="s">
        <v>316</v>
      </c>
      <c r="G133" s="5" t="s">
        <v>317</v>
      </c>
      <c r="J133" s="5" t="s">
        <v>1328</v>
      </c>
      <c r="K133" s="5" t="s">
        <v>1329</v>
      </c>
    </row>
    <row r="134" spans="2:11">
      <c r="B134" s="5"/>
      <c r="F134" s="5" t="s">
        <v>318</v>
      </c>
      <c r="G134" s="5" t="s">
        <v>319</v>
      </c>
      <c r="J134" s="5" t="s">
        <v>1330</v>
      </c>
      <c r="K134" s="5" t="s">
        <v>1331</v>
      </c>
    </row>
    <row r="135" spans="2:11">
      <c r="B135" s="5"/>
      <c r="F135" s="5" t="s">
        <v>320</v>
      </c>
      <c r="G135" s="5" t="s">
        <v>321</v>
      </c>
      <c r="J135" s="5" t="s">
        <v>1332</v>
      </c>
      <c r="K135" s="5" t="s">
        <v>1333</v>
      </c>
    </row>
    <row r="136" spans="2:11">
      <c r="B136" s="5"/>
      <c r="F136" s="5" t="s">
        <v>322</v>
      </c>
      <c r="G136" s="5" t="s">
        <v>323</v>
      </c>
      <c r="J136" s="5" t="s">
        <v>1334</v>
      </c>
      <c r="K136" s="5" t="s">
        <v>1335</v>
      </c>
    </row>
    <row r="137" spans="2:11">
      <c r="B137" s="5"/>
      <c r="F137" s="5" t="s">
        <v>324</v>
      </c>
      <c r="G137" s="5" t="s">
        <v>325</v>
      </c>
      <c r="J137" s="5" t="s">
        <v>1336</v>
      </c>
      <c r="K137" s="5" t="s">
        <v>1337</v>
      </c>
    </row>
    <row r="138" spans="2:11">
      <c r="B138" s="5"/>
      <c r="F138" s="5" t="s">
        <v>326</v>
      </c>
      <c r="G138" s="5" t="s">
        <v>327</v>
      </c>
      <c r="J138" s="5" t="s">
        <v>1338</v>
      </c>
      <c r="K138" s="5" t="s">
        <v>1339</v>
      </c>
    </row>
    <row r="139" spans="2:11">
      <c r="B139" s="5"/>
      <c r="F139" s="5" t="s">
        <v>328</v>
      </c>
      <c r="G139" s="5" t="s">
        <v>329</v>
      </c>
      <c r="J139" s="5" t="s">
        <v>1340</v>
      </c>
      <c r="K139" s="5" t="s">
        <v>1341</v>
      </c>
    </row>
    <row r="140" spans="2:11">
      <c r="B140" s="5"/>
      <c r="F140" s="5" t="s">
        <v>330</v>
      </c>
      <c r="G140" s="5" t="s">
        <v>331</v>
      </c>
      <c r="J140" s="5" t="s">
        <v>1342</v>
      </c>
      <c r="K140" s="5" t="s">
        <v>1343</v>
      </c>
    </row>
    <row r="141" spans="2:11">
      <c r="B141" s="5"/>
      <c r="F141" s="5" t="s">
        <v>332</v>
      </c>
      <c r="G141" s="5" t="s">
        <v>333</v>
      </c>
      <c r="J141" s="5" t="s">
        <v>1344</v>
      </c>
      <c r="K141" s="5" t="s">
        <v>1345</v>
      </c>
    </row>
    <row r="142" spans="2:11">
      <c r="B142" s="5"/>
      <c r="F142" s="5" t="s">
        <v>334</v>
      </c>
      <c r="G142" s="5" t="s">
        <v>335</v>
      </c>
      <c r="J142" s="5" t="s">
        <v>1346</v>
      </c>
      <c r="K142" s="5" t="s">
        <v>1347</v>
      </c>
    </row>
    <row r="143" spans="2:11">
      <c r="B143" s="5"/>
      <c r="F143" s="5" t="s">
        <v>336</v>
      </c>
      <c r="G143" s="5" t="s">
        <v>337</v>
      </c>
      <c r="J143" s="5" t="s">
        <v>1348</v>
      </c>
      <c r="K143" s="5" t="s">
        <v>1349</v>
      </c>
    </row>
    <row r="144" spans="2:11">
      <c r="B144" s="5"/>
      <c r="F144" s="5" t="s">
        <v>338</v>
      </c>
      <c r="G144" s="5" t="s">
        <v>339</v>
      </c>
      <c r="J144" s="5" t="s">
        <v>1350</v>
      </c>
      <c r="K144" s="5" t="s">
        <v>1351</v>
      </c>
    </row>
    <row r="145" spans="2:11">
      <c r="B145" s="5"/>
      <c r="F145" s="5" t="s">
        <v>340</v>
      </c>
      <c r="G145" s="5" t="s">
        <v>341</v>
      </c>
      <c r="J145" s="5" t="s">
        <v>1352</v>
      </c>
      <c r="K145" s="5" t="s">
        <v>1353</v>
      </c>
    </row>
    <row r="146" spans="2:11">
      <c r="B146" s="5"/>
      <c r="F146" s="5" t="s">
        <v>342</v>
      </c>
      <c r="G146" s="5" t="s">
        <v>343</v>
      </c>
      <c r="J146" s="5" t="s">
        <v>1354</v>
      </c>
      <c r="K146" s="5" t="s">
        <v>1355</v>
      </c>
    </row>
    <row r="147" spans="2:11">
      <c r="B147" s="5"/>
      <c r="F147" s="5" t="s">
        <v>344</v>
      </c>
      <c r="G147" s="5" t="s">
        <v>345</v>
      </c>
      <c r="J147" s="5" t="s">
        <v>1356</v>
      </c>
      <c r="K147" s="5" t="s">
        <v>1357</v>
      </c>
    </row>
    <row r="148" spans="2:11">
      <c r="B148" s="5"/>
      <c r="F148" s="5" t="s">
        <v>346</v>
      </c>
      <c r="G148" s="5" t="s">
        <v>347</v>
      </c>
      <c r="J148" s="5" t="s">
        <v>1358</v>
      </c>
      <c r="K148" s="5" t="s">
        <v>1359</v>
      </c>
    </row>
    <row r="149" spans="2:11">
      <c r="B149" s="5"/>
      <c r="F149" s="5" t="s">
        <v>348</v>
      </c>
      <c r="G149" s="5" t="s">
        <v>349</v>
      </c>
      <c r="J149" s="5" t="s">
        <v>1360</v>
      </c>
      <c r="K149" s="5" t="s">
        <v>1361</v>
      </c>
    </row>
    <row r="150" spans="2:11">
      <c r="B150" s="5"/>
      <c r="F150" s="5" t="s">
        <v>350</v>
      </c>
      <c r="G150" s="5" t="s">
        <v>351</v>
      </c>
      <c r="J150" s="5" t="s">
        <v>1362</v>
      </c>
      <c r="K150" s="5" t="s">
        <v>1363</v>
      </c>
    </row>
    <row r="151" spans="2:11">
      <c r="B151" s="5"/>
      <c r="F151" s="5" t="s">
        <v>352</v>
      </c>
      <c r="G151" s="5" t="s">
        <v>353</v>
      </c>
      <c r="J151" s="5" t="s">
        <v>1364</v>
      </c>
      <c r="K151" s="5" t="s">
        <v>1365</v>
      </c>
    </row>
    <row r="152" spans="2:11">
      <c r="B152" s="5"/>
      <c r="F152" s="5" t="s">
        <v>354</v>
      </c>
      <c r="G152" s="5" t="s">
        <v>355</v>
      </c>
      <c r="J152" s="5" t="s">
        <v>1366</v>
      </c>
      <c r="K152" s="5" t="s">
        <v>1367</v>
      </c>
    </row>
    <row r="153" spans="2:11">
      <c r="B153" s="5"/>
      <c r="F153" s="5" t="s">
        <v>356</v>
      </c>
      <c r="G153" s="5" t="s">
        <v>357</v>
      </c>
      <c r="J153" s="5" t="s">
        <v>1368</v>
      </c>
      <c r="K153" s="5" t="s">
        <v>1369</v>
      </c>
    </row>
    <row r="154" spans="2:11">
      <c r="B154" s="5"/>
      <c r="F154" s="5" t="s">
        <v>358</v>
      </c>
      <c r="G154" s="5" t="s">
        <v>359</v>
      </c>
      <c r="J154" s="5" t="s">
        <v>1370</v>
      </c>
      <c r="K154" s="5" t="s">
        <v>1371</v>
      </c>
    </row>
    <row r="155" spans="2:11">
      <c r="B155" s="5"/>
      <c r="F155" s="5" t="s">
        <v>360</v>
      </c>
      <c r="G155" s="5" t="s">
        <v>361</v>
      </c>
      <c r="J155" s="5" t="s">
        <v>1372</v>
      </c>
      <c r="K155" s="5" t="s">
        <v>1373</v>
      </c>
    </row>
    <row r="156" spans="2:11">
      <c r="B156" s="5"/>
      <c r="F156" s="5" t="s">
        <v>362</v>
      </c>
      <c r="G156" s="5" t="s">
        <v>363</v>
      </c>
      <c r="J156" s="5" t="s">
        <v>1374</v>
      </c>
      <c r="K156" s="5" t="s">
        <v>1375</v>
      </c>
    </row>
    <row r="157" spans="2:11">
      <c r="B157" s="5"/>
      <c r="F157" s="5" t="s">
        <v>364</v>
      </c>
      <c r="G157" s="5" t="s">
        <v>365</v>
      </c>
      <c r="J157" s="5" t="s">
        <v>1376</v>
      </c>
      <c r="K157" s="5" t="s">
        <v>1377</v>
      </c>
    </row>
    <row r="158" spans="2:11">
      <c r="B158" s="5"/>
      <c r="F158" s="5" t="s">
        <v>366</v>
      </c>
      <c r="G158" s="5" t="s">
        <v>367</v>
      </c>
      <c r="J158" s="5" t="s">
        <v>1378</v>
      </c>
      <c r="K158" s="5" t="s">
        <v>1379</v>
      </c>
    </row>
    <row r="159" spans="2:11">
      <c r="B159" s="5"/>
      <c r="F159" s="5" t="s">
        <v>368</v>
      </c>
      <c r="G159" s="5" t="s">
        <v>369</v>
      </c>
      <c r="J159" s="5" t="s">
        <v>1380</v>
      </c>
      <c r="K159" s="5" t="s">
        <v>1381</v>
      </c>
    </row>
    <row r="160" spans="2:11">
      <c r="B160" s="5"/>
      <c r="F160" s="5" t="s">
        <v>370</v>
      </c>
      <c r="G160" s="5" t="s">
        <v>371</v>
      </c>
      <c r="J160" s="5" t="s">
        <v>1382</v>
      </c>
      <c r="K160" s="5" t="s">
        <v>1383</v>
      </c>
    </row>
    <row r="161" spans="2:11">
      <c r="B161" s="5"/>
      <c r="F161" s="5" t="s">
        <v>372</v>
      </c>
      <c r="G161" s="5" t="s">
        <v>373</v>
      </c>
      <c r="J161" s="5" t="s">
        <v>1384</v>
      </c>
      <c r="K161" s="5" t="s">
        <v>1385</v>
      </c>
    </row>
    <row r="162" spans="2:11">
      <c r="B162" s="5"/>
      <c r="F162" s="5" t="s">
        <v>374</v>
      </c>
      <c r="G162" s="5" t="s">
        <v>375</v>
      </c>
      <c r="J162" s="5" t="s">
        <v>1386</v>
      </c>
      <c r="K162" s="5" t="s">
        <v>1387</v>
      </c>
    </row>
    <row r="163" spans="2:11">
      <c r="B163" s="5"/>
      <c r="F163" s="5" t="s">
        <v>376</v>
      </c>
      <c r="G163" s="5" t="s">
        <v>377</v>
      </c>
      <c r="J163" s="5" t="s">
        <v>1388</v>
      </c>
      <c r="K163" s="5" t="s">
        <v>1389</v>
      </c>
    </row>
    <row r="164" spans="2:11">
      <c r="B164" s="5"/>
      <c r="F164" s="5" t="s">
        <v>378</v>
      </c>
      <c r="G164" s="5" t="s">
        <v>379</v>
      </c>
      <c r="J164" s="5" t="s">
        <v>1390</v>
      </c>
      <c r="K164" s="5" t="s">
        <v>1391</v>
      </c>
    </row>
    <row r="165" spans="2:11">
      <c r="B165" s="5"/>
      <c r="F165" s="5" t="s">
        <v>380</v>
      </c>
      <c r="G165" s="5" t="s">
        <v>381</v>
      </c>
      <c r="J165" s="5" t="s">
        <v>1392</v>
      </c>
      <c r="K165" s="5" t="s">
        <v>1393</v>
      </c>
    </row>
    <row r="166" spans="2:11">
      <c r="B166" s="5"/>
      <c r="F166" s="5" t="s">
        <v>382</v>
      </c>
      <c r="G166" s="5" t="s">
        <v>383</v>
      </c>
      <c r="J166" s="5" t="s">
        <v>1394</v>
      </c>
      <c r="K166" s="5" t="s">
        <v>1395</v>
      </c>
    </row>
    <row r="167" spans="2:11">
      <c r="B167" s="5"/>
      <c r="F167" s="5" t="s">
        <v>384</v>
      </c>
      <c r="G167" s="5" t="s">
        <v>385</v>
      </c>
      <c r="J167" s="5" t="s">
        <v>1396</v>
      </c>
      <c r="K167" s="5" t="s">
        <v>1397</v>
      </c>
    </row>
    <row r="168" spans="2:11">
      <c r="B168" s="5"/>
      <c r="F168" s="5" t="s">
        <v>386</v>
      </c>
      <c r="G168" s="5" t="s">
        <v>387</v>
      </c>
      <c r="J168" s="5" t="s">
        <v>1398</v>
      </c>
      <c r="K168" s="5" t="s">
        <v>1399</v>
      </c>
    </row>
    <row r="169" spans="2:11">
      <c r="B169" s="5"/>
      <c r="F169" s="5" t="s">
        <v>388</v>
      </c>
      <c r="G169" s="5" t="s">
        <v>389</v>
      </c>
      <c r="J169" s="5" t="s">
        <v>1400</v>
      </c>
      <c r="K169" s="5" t="s">
        <v>1401</v>
      </c>
    </row>
    <row r="170" spans="2:11">
      <c r="B170" s="5"/>
      <c r="F170" s="5" t="s">
        <v>390</v>
      </c>
      <c r="G170" s="5" t="s">
        <v>391</v>
      </c>
      <c r="J170" s="5" t="s">
        <v>1402</v>
      </c>
      <c r="K170" s="5" t="s">
        <v>1403</v>
      </c>
    </row>
    <row r="171" spans="2:11">
      <c r="B171" s="5"/>
      <c r="F171" s="5" t="s">
        <v>392</v>
      </c>
      <c r="G171" s="5" t="s">
        <v>393</v>
      </c>
      <c r="J171" s="5" t="s">
        <v>1404</v>
      </c>
      <c r="K171" s="5" t="s">
        <v>1405</v>
      </c>
    </row>
    <row r="172" spans="2:11">
      <c r="B172" s="5"/>
      <c r="F172" s="5" t="s">
        <v>394</v>
      </c>
      <c r="G172" s="5" t="s">
        <v>395</v>
      </c>
      <c r="J172" s="5" t="s">
        <v>1406</v>
      </c>
      <c r="K172" s="5" t="s">
        <v>1407</v>
      </c>
    </row>
    <row r="173" spans="2:11">
      <c r="B173" s="5"/>
      <c r="F173" s="5" t="s">
        <v>396</v>
      </c>
      <c r="G173" s="5" t="s">
        <v>397</v>
      </c>
      <c r="J173" s="5" t="s">
        <v>1408</v>
      </c>
      <c r="K173" s="5" t="s">
        <v>1409</v>
      </c>
    </row>
    <row r="174" spans="2:11">
      <c r="B174" s="5"/>
      <c r="F174" s="5" t="s">
        <v>398</v>
      </c>
      <c r="G174" s="5" t="s">
        <v>399</v>
      </c>
      <c r="J174" s="5" t="s">
        <v>1410</v>
      </c>
      <c r="K174" s="5" t="s">
        <v>1411</v>
      </c>
    </row>
    <row r="175" spans="2:11">
      <c r="B175" s="5"/>
      <c r="F175" s="5" t="s">
        <v>400</v>
      </c>
      <c r="G175" s="5" t="s">
        <v>401</v>
      </c>
      <c r="J175" s="5" t="s">
        <v>1412</v>
      </c>
      <c r="K175" s="5" t="s">
        <v>1413</v>
      </c>
    </row>
    <row r="176" spans="2:11">
      <c r="B176" s="5"/>
      <c r="F176" s="5" t="s">
        <v>402</v>
      </c>
      <c r="G176" s="5" t="s">
        <v>403</v>
      </c>
      <c r="J176" s="5" t="s">
        <v>1414</v>
      </c>
      <c r="K176" s="5" t="s">
        <v>1415</v>
      </c>
    </row>
    <row r="177" spans="2:11">
      <c r="B177" s="5"/>
      <c r="F177" s="5" t="s">
        <v>404</v>
      </c>
      <c r="G177" s="5" t="s">
        <v>405</v>
      </c>
      <c r="J177" s="5" t="s">
        <v>1416</v>
      </c>
      <c r="K177" s="5" t="s">
        <v>1417</v>
      </c>
    </row>
    <row r="178" spans="2:11">
      <c r="B178" s="5"/>
      <c r="F178" s="5" t="s">
        <v>406</v>
      </c>
      <c r="G178" s="5" t="s">
        <v>407</v>
      </c>
      <c r="J178" s="5" t="s">
        <v>1418</v>
      </c>
      <c r="K178" s="5" t="s">
        <v>1419</v>
      </c>
    </row>
    <row r="179" spans="2:11">
      <c r="B179" s="5"/>
      <c r="F179" s="5" t="s">
        <v>408</v>
      </c>
      <c r="G179" s="5" t="s">
        <v>409</v>
      </c>
      <c r="J179" s="5" t="s">
        <v>1420</v>
      </c>
      <c r="K179" s="5" t="s">
        <v>1421</v>
      </c>
    </row>
    <row r="180" spans="2:11">
      <c r="B180" s="5"/>
      <c r="F180" s="5" t="s">
        <v>410</v>
      </c>
      <c r="G180" s="5" t="s">
        <v>411</v>
      </c>
      <c r="J180" s="5" t="s">
        <v>1422</v>
      </c>
      <c r="K180" s="5" t="s">
        <v>1423</v>
      </c>
    </row>
    <row r="181" spans="2:11">
      <c r="B181" s="5"/>
      <c r="F181" s="5" t="s">
        <v>412</v>
      </c>
      <c r="G181" s="5" t="s">
        <v>413</v>
      </c>
      <c r="J181" s="5" t="s">
        <v>1424</v>
      </c>
      <c r="K181" s="5" t="s">
        <v>1425</v>
      </c>
    </row>
    <row r="182" spans="2:11">
      <c r="B182" s="5"/>
      <c r="F182" s="5" t="s">
        <v>414</v>
      </c>
      <c r="G182" s="5" t="s">
        <v>415</v>
      </c>
      <c r="J182" s="5" t="s">
        <v>1426</v>
      </c>
      <c r="K182" s="5" t="s">
        <v>1427</v>
      </c>
    </row>
    <row r="183" spans="2:11">
      <c r="B183" s="5"/>
      <c r="F183" s="5" t="s">
        <v>416</v>
      </c>
      <c r="G183" s="5" t="s">
        <v>417</v>
      </c>
      <c r="J183" s="5" t="s">
        <v>1428</v>
      </c>
      <c r="K183" s="5" t="s">
        <v>1429</v>
      </c>
    </row>
    <row r="184" spans="2:11">
      <c r="B184" s="5"/>
      <c r="F184" s="5" t="s">
        <v>418</v>
      </c>
      <c r="G184" s="5" t="s">
        <v>419</v>
      </c>
      <c r="J184" s="5" t="s">
        <v>1430</v>
      </c>
      <c r="K184" s="5" t="s">
        <v>1431</v>
      </c>
    </row>
    <row r="185" spans="2:11">
      <c r="B185" s="5"/>
      <c r="F185" s="5" t="s">
        <v>420</v>
      </c>
      <c r="G185" s="5" t="s">
        <v>421</v>
      </c>
      <c r="J185" s="5" t="s">
        <v>1432</v>
      </c>
      <c r="K185" s="5" t="s">
        <v>1433</v>
      </c>
    </row>
    <row r="186" spans="2:11">
      <c r="B186" s="5"/>
      <c r="F186" s="5" t="s">
        <v>422</v>
      </c>
      <c r="G186" s="5" t="s">
        <v>423</v>
      </c>
      <c r="J186" s="5" t="s">
        <v>1434</v>
      </c>
      <c r="K186" s="5" t="s">
        <v>1435</v>
      </c>
    </row>
    <row r="187" spans="2:11">
      <c r="B187" s="5"/>
      <c r="F187" s="5" t="s">
        <v>424</v>
      </c>
      <c r="G187" s="5" t="s">
        <v>425</v>
      </c>
      <c r="J187" s="5" t="s">
        <v>1436</v>
      </c>
      <c r="K187" s="5" t="s">
        <v>1437</v>
      </c>
    </row>
    <row r="188" spans="2:11">
      <c r="B188" s="5"/>
      <c r="F188" s="5" t="s">
        <v>426</v>
      </c>
      <c r="G188" s="5" t="s">
        <v>427</v>
      </c>
      <c r="J188" s="5" t="s">
        <v>1438</v>
      </c>
      <c r="K188" s="5" t="s">
        <v>1439</v>
      </c>
    </row>
    <row r="189" spans="2:11">
      <c r="B189" s="5"/>
      <c r="F189" s="5" t="s">
        <v>428</v>
      </c>
      <c r="G189" s="5" t="s">
        <v>429</v>
      </c>
      <c r="J189" s="5" t="s">
        <v>1440</v>
      </c>
      <c r="K189" s="5" t="s">
        <v>1441</v>
      </c>
    </row>
    <row r="190" spans="2:11">
      <c r="B190" s="5"/>
      <c r="F190" s="5" t="s">
        <v>430</v>
      </c>
      <c r="G190" s="5" t="s">
        <v>431</v>
      </c>
      <c r="J190" s="5" t="s">
        <v>1442</v>
      </c>
      <c r="K190" s="5" t="s">
        <v>1443</v>
      </c>
    </row>
    <row r="191" spans="2:11">
      <c r="B191" s="5"/>
      <c r="F191" s="5" t="s">
        <v>432</v>
      </c>
      <c r="G191" s="5" t="s">
        <v>433</v>
      </c>
      <c r="J191" s="5" t="s">
        <v>1444</v>
      </c>
      <c r="K191" s="5" t="s">
        <v>1445</v>
      </c>
    </row>
    <row r="192" spans="2:11">
      <c r="B192" s="5"/>
      <c r="F192" s="5" t="s">
        <v>434</v>
      </c>
      <c r="G192" s="5" t="s">
        <v>435</v>
      </c>
      <c r="J192" s="5" t="s">
        <v>1446</v>
      </c>
      <c r="K192" s="5" t="s">
        <v>1447</v>
      </c>
    </row>
    <row r="193" spans="2:11">
      <c r="B193" s="5"/>
      <c r="F193" s="5" t="s">
        <v>436</v>
      </c>
      <c r="G193" s="5" t="s">
        <v>437</v>
      </c>
      <c r="J193" s="5" t="s">
        <v>1448</v>
      </c>
      <c r="K193" s="5" t="s">
        <v>1449</v>
      </c>
    </row>
    <row r="194" spans="2:11">
      <c r="B194" s="5"/>
      <c r="F194" s="5" t="s">
        <v>438</v>
      </c>
      <c r="G194" s="5" t="s">
        <v>439</v>
      </c>
      <c r="J194" s="5" t="s">
        <v>1450</v>
      </c>
      <c r="K194" s="5" t="s">
        <v>1451</v>
      </c>
    </row>
    <row r="195" spans="2:11">
      <c r="B195" s="5"/>
      <c r="F195" s="5" t="s">
        <v>440</v>
      </c>
      <c r="G195" s="5" t="s">
        <v>441</v>
      </c>
      <c r="J195" s="5" t="s">
        <v>1452</v>
      </c>
      <c r="K195" s="5" t="s">
        <v>1453</v>
      </c>
    </row>
    <row r="196" spans="2:11">
      <c r="B196" s="5"/>
      <c r="F196" s="5" t="s">
        <v>442</v>
      </c>
      <c r="G196" s="5" t="s">
        <v>443</v>
      </c>
      <c r="J196" s="5" t="s">
        <v>1454</v>
      </c>
      <c r="K196" s="5" t="s">
        <v>1455</v>
      </c>
    </row>
    <row r="197" spans="2:11">
      <c r="B197" s="5"/>
      <c r="F197" s="5" t="s">
        <v>444</v>
      </c>
      <c r="G197" s="5" t="s">
        <v>445</v>
      </c>
      <c r="J197" s="5" t="s">
        <v>1456</v>
      </c>
      <c r="K197" s="5" t="s">
        <v>1457</v>
      </c>
    </row>
    <row r="198" spans="2:11">
      <c r="B198" s="5"/>
      <c r="F198" s="5" t="s">
        <v>446</v>
      </c>
      <c r="G198" s="5" t="s">
        <v>447</v>
      </c>
      <c r="J198" s="5" t="s">
        <v>1458</v>
      </c>
      <c r="K198" s="5" t="s">
        <v>1459</v>
      </c>
    </row>
    <row r="199" spans="2:11">
      <c r="B199" s="5"/>
      <c r="F199" s="5" t="s">
        <v>448</v>
      </c>
      <c r="G199" s="5" t="s">
        <v>449</v>
      </c>
      <c r="J199" s="5" t="s">
        <v>1460</v>
      </c>
      <c r="K199" s="5" t="s">
        <v>1461</v>
      </c>
    </row>
    <row r="200" spans="2:11">
      <c r="B200" s="5"/>
      <c r="F200" s="5" t="s">
        <v>450</v>
      </c>
      <c r="G200" s="5" t="s">
        <v>451</v>
      </c>
      <c r="J200" s="5" t="s">
        <v>1462</v>
      </c>
      <c r="K200" s="5" t="s">
        <v>1463</v>
      </c>
    </row>
    <row r="201" spans="2:11">
      <c r="B201" s="5"/>
      <c r="F201" s="5" t="s">
        <v>452</v>
      </c>
      <c r="G201" s="5" t="s">
        <v>453</v>
      </c>
      <c r="J201" s="5" t="s">
        <v>1464</v>
      </c>
      <c r="K201" s="5" t="s">
        <v>1465</v>
      </c>
    </row>
    <row r="202" spans="2:11">
      <c r="B202" s="5"/>
      <c r="F202" s="5" t="s">
        <v>454</v>
      </c>
      <c r="G202" s="5" t="s">
        <v>455</v>
      </c>
      <c r="J202" s="5" t="s">
        <v>1466</v>
      </c>
      <c r="K202" s="5" t="s">
        <v>1467</v>
      </c>
    </row>
    <row r="203" spans="2:11">
      <c r="B203" s="5"/>
      <c r="F203" s="5" t="s">
        <v>456</v>
      </c>
      <c r="G203" s="5" t="s">
        <v>457</v>
      </c>
      <c r="J203" s="5" t="s">
        <v>1468</v>
      </c>
      <c r="K203" s="5" t="s">
        <v>1469</v>
      </c>
    </row>
    <row r="204" spans="2:11">
      <c r="B204" s="5"/>
      <c r="F204" s="5" t="s">
        <v>458</v>
      </c>
      <c r="G204" s="5" t="s">
        <v>459</v>
      </c>
      <c r="J204" s="5" t="s">
        <v>1470</v>
      </c>
      <c r="K204" s="5" t="s">
        <v>1471</v>
      </c>
    </row>
    <row r="205" spans="2:11">
      <c r="B205" s="5"/>
      <c r="F205" s="5" t="s">
        <v>460</v>
      </c>
      <c r="G205" s="5" t="s">
        <v>461</v>
      </c>
      <c r="J205" s="5" t="s">
        <v>1472</v>
      </c>
      <c r="K205" s="5" t="s">
        <v>1473</v>
      </c>
    </row>
    <row r="206" spans="2:11">
      <c r="B206" s="5"/>
      <c r="F206" s="5" t="s">
        <v>462</v>
      </c>
      <c r="G206" s="5" t="s">
        <v>463</v>
      </c>
      <c r="J206" s="5" t="s">
        <v>1474</v>
      </c>
      <c r="K206" s="5" t="s">
        <v>1475</v>
      </c>
    </row>
    <row r="207" spans="2:11">
      <c r="B207" s="5"/>
      <c r="F207" s="5" t="s">
        <v>464</v>
      </c>
      <c r="G207" s="5" t="s">
        <v>465</v>
      </c>
      <c r="J207" s="5" t="s">
        <v>1476</v>
      </c>
      <c r="K207" s="5" t="s">
        <v>1477</v>
      </c>
    </row>
    <row r="208" spans="2:11">
      <c r="B208" s="5"/>
      <c r="F208" s="5" t="s">
        <v>466</v>
      </c>
      <c r="G208" s="5" t="s">
        <v>467</v>
      </c>
      <c r="J208" s="5" t="s">
        <v>1478</v>
      </c>
      <c r="K208" s="5" t="s">
        <v>1479</v>
      </c>
    </row>
    <row r="209" spans="2:11">
      <c r="B209" s="5"/>
      <c r="F209" s="5" t="s">
        <v>468</v>
      </c>
      <c r="G209" s="5" t="s">
        <v>469</v>
      </c>
      <c r="J209" s="5" t="s">
        <v>1480</v>
      </c>
      <c r="K209" s="5" t="s">
        <v>1481</v>
      </c>
    </row>
    <row r="210" spans="2:11">
      <c r="B210" s="5"/>
      <c r="F210" s="5" t="s">
        <v>470</v>
      </c>
      <c r="G210" s="5" t="s">
        <v>471</v>
      </c>
      <c r="J210" s="5" t="s">
        <v>1482</v>
      </c>
      <c r="K210" s="5" t="s">
        <v>1483</v>
      </c>
    </row>
    <row r="211" spans="2:11">
      <c r="B211" s="5"/>
      <c r="F211" s="5" t="s">
        <v>472</v>
      </c>
      <c r="G211" s="5" t="s">
        <v>473</v>
      </c>
      <c r="J211" s="5" t="s">
        <v>1484</v>
      </c>
      <c r="K211" s="5" t="s">
        <v>1485</v>
      </c>
    </row>
    <row r="212" spans="2:11">
      <c r="B212" s="5"/>
      <c r="F212" s="5" t="s">
        <v>474</v>
      </c>
      <c r="G212" s="5" t="s">
        <v>475</v>
      </c>
      <c r="J212" s="5" t="s">
        <v>1486</v>
      </c>
      <c r="K212" s="5" t="s">
        <v>1487</v>
      </c>
    </row>
    <row r="213" spans="2:11">
      <c r="B213" s="5"/>
      <c r="F213" s="5" t="s">
        <v>476</v>
      </c>
      <c r="G213" s="5" t="s">
        <v>477</v>
      </c>
      <c r="J213" s="5" t="s">
        <v>1488</v>
      </c>
      <c r="K213" s="5" t="s">
        <v>1489</v>
      </c>
    </row>
    <row r="214" spans="2:11">
      <c r="B214" s="5"/>
      <c r="F214" s="5" t="s">
        <v>478</v>
      </c>
      <c r="G214" s="5" t="s">
        <v>479</v>
      </c>
      <c r="J214" s="5" t="s">
        <v>1490</v>
      </c>
      <c r="K214" s="5" t="s">
        <v>1491</v>
      </c>
    </row>
    <row r="215" spans="2:11">
      <c r="B215" s="5"/>
      <c r="F215" s="5" t="s">
        <v>480</v>
      </c>
      <c r="G215" s="5" t="s">
        <v>481</v>
      </c>
      <c r="J215" s="5" t="s">
        <v>1492</v>
      </c>
      <c r="K215" s="5" t="s">
        <v>1493</v>
      </c>
    </row>
    <row r="216" spans="2:11">
      <c r="B216" s="5"/>
      <c r="F216" s="5" t="s">
        <v>482</v>
      </c>
      <c r="G216" s="5" t="s">
        <v>483</v>
      </c>
      <c r="J216" s="5" t="s">
        <v>1494</v>
      </c>
      <c r="K216" s="5" t="s">
        <v>1495</v>
      </c>
    </row>
    <row r="217" spans="2:11">
      <c r="B217" s="5"/>
      <c r="F217" s="5" t="s">
        <v>484</v>
      </c>
      <c r="G217" s="5" t="s">
        <v>485</v>
      </c>
      <c r="J217" s="5" t="s">
        <v>1496</v>
      </c>
      <c r="K217" s="5" t="s">
        <v>1497</v>
      </c>
    </row>
    <row r="218" spans="2:11">
      <c r="B218" s="5"/>
      <c r="F218" s="5" t="s">
        <v>486</v>
      </c>
      <c r="G218" s="5" t="s">
        <v>487</v>
      </c>
      <c r="J218" s="5" t="s">
        <v>1498</v>
      </c>
      <c r="K218" s="5" t="s">
        <v>1499</v>
      </c>
    </row>
    <row r="219" spans="2:11">
      <c r="B219" s="5"/>
      <c r="F219" s="5" t="s">
        <v>488</v>
      </c>
      <c r="G219" s="5" t="s">
        <v>489</v>
      </c>
      <c r="J219" s="5" t="s">
        <v>1500</v>
      </c>
      <c r="K219" s="5" t="s">
        <v>1501</v>
      </c>
    </row>
    <row r="220" spans="2:11">
      <c r="B220" s="5"/>
      <c r="F220" s="5" t="s">
        <v>490</v>
      </c>
      <c r="G220" s="5" t="s">
        <v>491</v>
      </c>
      <c r="J220" s="5" t="s">
        <v>1502</v>
      </c>
      <c r="K220" s="5" t="s">
        <v>1503</v>
      </c>
    </row>
    <row r="221" spans="2:11">
      <c r="B221" s="5"/>
      <c r="F221" s="5" t="s">
        <v>492</v>
      </c>
      <c r="G221" s="5" t="s">
        <v>493</v>
      </c>
      <c r="J221" s="5" t="s">
        <v>1504</v>
      </c>
      <c r="K221" s="5" t="s">
        <v>1505</v>
      </c>
    </row>
    <row r="222" spans="2:11">
      <c r="B222" s="5"/>
      <c r="F222" s="5" t="s">
        <v>494</v>
      </c>
      <c r="G222" s="5" t="s">
        <v>495</v>
      </c>
      <c r="J222" s="5" t="s">
        <v>1506</v>
      </c>
      <c r="K222" s="5" t="s">
        <v>1507</v>
      </c>
    </row>
    <row r="223" spans="2:11">
      <c r="B223" s="5"/>
      <c r="F223" s="5" t="s">
        <v>496</v>
      </c>
      <c r="G223" s="5" t="s">
        <v>497</v>
      </c>
      <c r="J223" s="5" t="s">
        <v>1508</v>
      </c>
      <c r="K223" s="5" t="s">
        <v>1509</v>
      </c>
    </row>
    <row r="224" spans="2:11">
      <c r="B224" s="5"/>
      <c r="F224" s="5" t="s">
        <v>498</v>
      </c>
      <c r="G224" s="5" t="s">
        <v>499</v>
      </c>
      <c r="J224" s="5" t="s">
        <v>1510</v>
      </c>
      <c r="K224" s="5" t="s">
        <v>1511</v>
      </c>
    </row>
    <row r="225" spans="2:11">
      <c r="B225" s="5"/>
      <c r="F225" s="5" t="s">
        <v>500</v>
      </c>
      <c r="G225" s="5" t="s">
        <v>501</v>
      </c>
      <c r="J225" s="5" t="s">
        <v>1512</v>
      </c>
      <c r="K225" s="5" t="s">
        <v>1513</v>
      </c>
    </row>
    <row r="226" spans="2:11">
      <c r="B226" s="5"/>
      <c r="F226" s="5" t="s">
        <v>502</v>
      </c>
      <c r="G226" s="5" t="s">
        <v>503</v>
      </c>
      <c r="J226" s="5" t="s">
        <v>1514</v>
      </c>
      <c r="K226" s="5" t="s">
        <v>1515</v>
      </c>
    </row>
    <row r="227" spans="2:11">
      <c r="B227" s="5"/>
      <c r="F227" s="5" t="s">
        <v>504</v>
      </c>
      <c r="G227" s="5" t="s">
        <v>505</v>
      </c>
      <c r="J227" s="5" t="s">
        <v>1516</v>
      </c>
      <c r="K227" s="5" t="s">
        <v>1517</v>
      </c>
    </row>
    <row r="228" spans="2:11">
      <c r="B228" s="5"/>
      <c r="F228" s="5" t="s">
        <v>506</v>
      </c>
      <c r="G228" s="5" t="s">
        <v>507</v>
      </c>
      <c r="J228" s="5" t="s">
        <v>1518</v>
      </c>
      <c r="K228" s="5" t="s">
        <v>1519</v>
      </c>
    </row>
    <row r="229" spans="2:11">
      <c r="B229" s="5"/>
      <c r="F229" s="5" t="s">
        <v>508</v>
      </c>
      <c r="G229" s="5" t="s">
        <v>509</v>
      </c>
      <c r="J229" s="5" t="s">
        <v>1520</v>
      </c>
      <c r="K229" s="5" t="s">
        <v>1521</v>
      </c>
    </row>
    <row r="230" spans="2:11">
      <c r="B230" s="5"/>
      <c r="F230" s="5" t="s">
        <v>510</v>
      </c>
      <c r="G230" s="5" t="s">
        <v>511</v>
      </c>
      <c r="J230" s="5" t="s">
        <v>1522</v>
      </c>
      <c r="K230" s="5" t="s">
        <v>1523</v>
      </c>
    </row>
    <row r="231" spans="2:11">
      <c r="B231" s="5"/>
      <c r="F231" s="5" t="s">
        <v>512</v>
      </c>
      <c r="G231" s="5" t="s">
        <v>513</v>
      </c>
      <c r="J231" s="5" t="s">
        <v>1524</v>
      </c>
      <c r="K231" s="5" t="s">
        <v>1525</v>
      </c>
    </row>
    <row r="232" spans="2:11">
      <c r="B232" s="5"/>
      <c r="F232" s="5" t="s">
        <v>514</v>
      </c>
      <c r="G232" s="5" t="s">
        <v>515</v>
      </c>
      <c r="J232" s="5" t="s">
        <v>1526</v>
      </c>
      <c r="K232" s="5" t="s">
        <v>1527</v>
      </c>
    </row>
    <row r="233" spans="2:11">
      <c r="B233" s="5"/>
      <c r="F233" s="5" t="s">
        <v>516</v>
      </c>
      <c r="G233" s="5" t="s">
        <v>517</v>
      </c>
      <c r="J233" s="5" t="s">
        <v>1528</v>
      </c>
      <c r="K233" s="5" t="s">
        <v>1529</v>
      </c>
    </row>
    <row r="234" spans="2:11">
      <c r="B234" s="5"/>
      <c r="F234" s="5" t="s">
        <v>518</v>
      </c>
      <c r="G234" s="5" t="s">
        <v>519</v>
      </c>
      <c r="J234" s="5" t="s">
        <v>1530</v>
      </c>
      <c r="K234" s="5" t="s">
        <v>1531</v>
      </c>
    </row>
    <row r="235" spans="2:11">
      <c r="B235" s="5"/>
      <c r="F235" s="5" t="s">
        <v>520</v>
      </c>
      <c r="G235" s="5" t="s">
        <v>521</v>
      </c>
      <c r="J235" s="5" t="s">
        <v>1532</v>
      </c>
      <c r="K235" s="5" t="s">
        <v>1533</v>
      </c>
    </row>
    <row r="236" spans="2:11">
      <c r="B236" s="5"/>
      <c r="F236" s="5" t="s">
        <v>522</v>
      </c>
      <c r="G236" s="5" t="s">
        <v>523</v>
      </c>
      <c r="J236" s="5" t="s">
        <v>1534</v>
      </c>
      <c r="K236" s="5" t="s">
        <v>1535</v>
      </c>
    </row>
    <row r="237" spans="2:11">
      <c r="B237" s="5"/>
      <c r="F237" s="5" t="s">
        <v>524</v>
      </c>
      <c r="G237" s="5" t="s">
        <v>525</v>
      </c>
      <c r="J237" s="5" t="s">
        <v>1536</v>
      </c>
      <c r="K237" s="5" t="s">
        <v>1537</v>
      </c>
    </row>
    <row r="238" spans="2:11">
      <c r="B238" s="5"/>
      <c r="F238" s="5" t="s">
        <v>526</v>
      </c>
      <c r="G238" s="5" t="s">
        <v>527</v>
      </c>
      <c r="J238" s="5" t="s">
        <v>1538</v>
      </c>
      <c r="K238" s="5" t="s">
        <v>1539</v>
      </c>
    </row>
    <row r="239" spans="2:11">
      <c r="B239" s="5"/>
      <c r="F239" s="5" t="s">
        <v>528</v>
      </c>
      <c r="G239" s="5" t="s">
        <v>529</v>
      </c>
      <c r="J239" s="5" t="s">
        <v>1540</v>
      </c>
      <c r="K239" s="5" t="s">
        <v>1541</v>
      </c>
    </row>
    <row r="240" spans="2:11">
      <c r="B240" s="5"/>
      <c r="F240" s="5" t="s">
        <v>530</v>
      </c>
      <c r="G240" s="5" t="s">
        <v>531</v>
      </c>
      <c r="J240" s="5" t="s">
        <v>1542</v>
      </c>
      <c r="K240" s="5" t="s">
        <v>1543</v>
      </c>
    </row>
    <row r="241" spans="2:11">
      <c r="B241" s="5"/>
      <c r="F241" s="5" t="s">
        <v>532</v>
      </c>
      <c r="G241" s="5" t="s">
        <v>533</v>
      </c>
      <c r="J241" s="5" t="s">
        <v>1544</v>
      </c>
      <c r="K241" s="5" t="s">
        <v>1545</v>
      </c>
    </row>
    <row r="242" spans="2:11">
      <c r="B242" s="5"/>
      <c r="F242" s="5" t="s">
        <v>534</v>
      </c>
      <c r="G242" s="5" t="s">
        <v>535</v>
      </c>
      <c r="J242" s="5" t="s">
        <v>1546</v>
      </c>
      <c r="K242" s="5" t="s">
        <v>1547</v>
      </c>
    </row>
    <row r="243" spans="2:11">
      <c r="B243" s="5"/>
      <c r="F243" s="5" t="s">
        <v>536</v>
      </c>
      <c r="G243" s="5" t="s">
        <v>537</v>
      </c>
      <c r="J243" s="5" t="s">
        <v>1548</v>
      </c>
      <c r="K243" s="5" t="s">
        <v>1549</v>
      </c>
    </row>
    <row r="244" spans="2:11">
      <c r="B244" s="5"/>
      <c r="F244" s="5" t="s">
        <v>538</v>
      </c>
      <c r="G244" s="5" t="s">
        <v>539</v>
      </c>
      <c r="J244" s="5" t="s">
        <v>1550</v>
      </c>
      <c r="K244" s="5" t="s">
        <v>1551</v>
      </c>
    </row>
    <row r="245" spans="2:11">
      <c r="B245" s="5"/>
      <c r="F245" s="5" t="s">
        <v>540</v>
      </c>
      <c r="G245" s="5" t="s">
        <v>541</v>
      </c>
      <c r="J245" s="5" t="s">
        <v>1552</v>
      </c>
      <c r="K245" s="5" t="s">
        <v>1553</v>
      </c>
    </row>
    <row r="246" spans="2:11">
      <c r="B246" s="5"/>
      <c r="F246" s="5" t="s">
        <v>542</v>
      </c>
      <c r="G246" s="5" t="s">
        <v>543</v>
      </c>
      <c r="J246" s="5" t="s">
        <v>1554</v>
      </c>
      <c r="K246" s="5" t="s">
        <v>1555</v>
      </c>
    </row>
    <row r="247" spans="2:11">
      <c r="B247" s="5"/>
      <c r="F247" s="5" t="s">
        <v>544</v>
      </c>
      <c r="G247" s="5" t="s">
        <v>545</v>
      </c>
      <c r="J247" s="5" t="s">
        <v>1556</v>
      </c>
      <c r="K247" s="5" t="s">
        <v>1557</v>
      </c>
    </row>
    <row r="248" spans="2:11">
      <c r="B248" s="5"/>
      <c r="F248" s="5" t="s">
        <v>546</v>
      </c>
      <c r="G248" s="5" t="s">
        <v>547</v>
      </c>
      <c r="J248" s="5" t="s">
        <v>1558</v>
      </c>
      <c r="K248" s="5" t="s">
        <v>1559</v>
      </c>
    </row>
    <row r="249" spans="2:11">
      <c r="B249" s="5"/>
      <c r="F249" s="5" t="s">
        <v>548</v>
      </c>
      <c r="G249" s="5" t="s">
        <v>549</v>
      </c>
      <c r="J249" s="5" t="s">
        <v>1560</v>
      </c>
      <c r="K249" s="5" t="s">
        <v>1561</v>
      </c>
    </row>
    <row r="250" spans="2:11">
      <c r="B250" s="5"/>
      <c r="F250" s="5" t="s">
        <v>550</v>
      </c>
      <c r="G250" s="5" t="s">
        <v>551</v>
      </c>
      <c r="J250" s="5" t="s">
        <v>1562</v>
      </c>
      <c r="K250" s="5" t="s">
        <v>1563</v>
      </c>
    </row>
    <row r="251" spans="2:11">
      <c r="B251" s="5"/>
      <c r="F251" s="5" t="s">
        <v>552</v>
      </c>
      <c r="G251" s="5" t="s">
        <v>553</v>
      </c>
      <c r="J251" s="5" t="s">
        <v>1564</v>
      </c>
      <c r="K251" s="5" t="s">
        <v>1565</v>
      </c>
    </row>
    <row r="252" spans="2:11">
      <c r="B252" s="5"/>
      <c r="F252" s="5" t="s">
        <v>554</v>
      </c>
      <c r="G252" s="5" t="s">
        <v>555</v>
      </c>
      <c r="J252" s="5" t="s">
        <v>1566</v>
      </c>
      <c r="K252" s="5" t="s">
        <v>1567</v>
      </c>
    </row>
    <row r="253" spans="2:11">
      <c r="B253" s="5"/>
      <c r="F253" s="5" t="s">
        <v>556</v>
      </c>
      <c r="G253" s="5" t="s">
        <v>557</v>
      </c>
      <c r="J253" s="5" t="s">
        <v>1568</v>
      </c>
      <c r="K253" s="5" t="s">
        <v>1569</v>
      </c>
    </row>
    <row r="254" spans="2:11">
      <c r="B254" s="5"/>
      <c r="F254" s="5" t="s">
        <v>558</v>
      </c>
      <c r="G254" s="5" t="s">
        <v>559</v>
      </c>
      <c r="J254" s="5" t="s">
        <v>1570</v>
      </c>
      <c r="K254" s="5" t="s">
        <v>1571</v>
      </c>
    </row>
    <row r="255" spans="2:11">
      <c r="B255" s="5"/>
      <c r="F255" s="5" t="s">
        <v>560</v>
      </c>
      <c r="G255" s="5" t="s">
        <v>561</v>
      </c>
      <c r="J255" s="5" t="s">
        <v>1572</v>
      </c>
      <c r="K255" s="5" t="s">
        <v>1573</v>
      </c>
    </row>
    <row r="256" spans="2:11">
      <c r="B256" s="5"/>
      <c r="F256" s="5" t="s">
        <v>562</v>
      </c>
      <c r="G256" s="5" t="s">
        <v>563</v>
      </c>
      <c r="J256" s="5" t="s">
        <v>1574</v>
      </c>
      <c r="K256" s="5" t="s">
        <v>1575</v>
      </c>
    </row>
    <row r="257" spans="2:11">
      <c r="B257" s="5"/>
      <c r="F257" s="5" t="s">
        <v>564</v>
      </c>
      <c r="G257" s="5" t="s">
        <v>565</v>
      </c>
      <c r="J257" s="5" t="s">
        <v>1576</v>
      </c>
      <c r="K257" s="5" t="s">
        <v>1577</v>
      </c>
    </row>
    <row r="258" spans="2:11">
      <c r="B258" s="5"/>
      <c r="F258" s="5" t="s">
        <v>566</v>
      </c>
      <c r="G258" s="5" t="s">
        <v>567</v>
      </c>
      <c r="J258" s="5" t="s">
        <v>1578</v>
      </c>
      <c r="K258" s="5" t="s">
        <v>1579</v>
      </c>
    </row>
    <row r="259" spans="2:11">
      <c r="B259" s="5"/>
      <c r="F259" s="5" t="s">
        <v>568</v>
      </c>
      <c r="G259" s="5" t="s">
        <v>569</v>
      </c>
      <c r="J259" s="5" t="s">
        <v>1580</v>
      </c>
      <c r="K259" s="5" t="s">
        <v>1581</v>
      </c>
    </row>
    <row r="260" spans="2:11">
      <c r="B260" s="5"/>
      <c r="F260" s="5" t="s">
        <v>570</v>
      </c>
      <c r="G260" s="5" t="s">
        <v>571</v>
      </c>
      <c r="J260" s="5" t="s">
        <v>1582</v>
      </c>
      <c r="K260" s="5" t="s">
        <v>1583</v>
      </c>
    </row>
    <row r="261" spans="2:11">
      <c r="B261" s="5"/>
      <c r="F261" s="5" t="s">
        <v>572</v>
      </c>
      <c r="G261" s="5" t="s">
        <v>573</v>
      </c>
      <c r="J261" s="5" t="s">
        <v>1584</v>
      </c>
      <c r="K261" s="5" t="s">
        <v>1585</v>
      </c>
    </row>
    <row r="262" spans="2:11">
      <c r="B262" s="5"/>
      <c r="F262" s="5" t="s">
        <v>574</v>
      </c>
      <c r="G262" s="5" t="s">
        <v>575</v>
      </c>
      <c r="J262" s="5" t="s">
        <v>1586</v>
      </c>
      <c r="K262" s="5" t="s">
        <v>1587</v>
      </c>
    </row>
    <row r="263" spans="2:11">
      <c r="B263" s="5"/>
      <c r="F263" s="5" t="s">
        <v>576</v>
      </c>
      <c r="G263" s="5" t="s">
        <v>577</v>
      </c>
      <c r="J263" s="5" t="s">
        <v>1588</v>
      </c>
      <c r="K263" s="5" t="s">
        <v>1589</v>
      </c>
    </row>
    <row r="264" spans="2:11">
      <c r="B264" s="5"/>
      <c r="F264" s="5" t="s">
        <v>578</v>
      </c>
      <c r="G264" s="5" t="s">
        <v>579</v>
      </c>
      <c r="J264" s="5" t="s">
        <v>1590</v>
      </c>
      <c r="K264" s="5" t="s">
        <v>1591</v>
      </c>
    </row>
    <row r="265" spans="2:11">
      <c r="B265" s="5"/>
      <c r="F265" s="5" t="s">
        <v>580</v>
      </c>
      <c r="G265" s="5" t="s">
        <v>581</v>
      </c>
      <c r="J265" s="5" t="s">
        <v>1592</v>
      </c>
      <c r="K265" s="5" t="s">
        <v>1593</v>
      </c>
    </row>
    <row r="266" spans="2:11">
      <c r="B266" s="5"/>
      <c r="F266" s="5" t="s">
        <v>582</v>
      </c>
      <c r="G266" s="5" t="s">
        <v>583</v>
      </c>
      <c r="J266" s="5" t="s">
        <v>1594</v>
      </c>
      <c r="K266" s="5" t="s">
        <v>1595</v>
      </c>
    </row>
    <row r="267" spans="2:11">
      <c r="B267" s="5"/>
      <c r="F267" s="5" t="s">
        <v>584</v>
      </c>
      <c r="G267" s="5" t="s">
        <v>585</v>
      </c>
      <c r="J267" s="5" t="s">
        <v>1596</v>
      </c>
      <c r="K267" s="5" t="s">
        <v>1597</v>
      </c>
    </row>
    <row r="268" spans="2:11">
      <c r="B268" s="5"/>
      <c r="F268" s="5" t="s">
        <v>586</v>
      </c>
      <c r="G268" s="5" t="s">
        <v>587</v>
      </c>
      <c r="J268" s="5" t="s">
        <v>1598</v>
      </c>
      <c r="K268" s="5" t="s">
        <v>1599</v>
      </c>
    </row>
    <row r="269" spans="2:11">
      <c r="B269" s="5"/>
      <c r="F269" s="5" t="s">
        <v>588</v>
      </c>
      <c r="G269" s="5" t="s">
        <v>589</v>
      </c>
      <c r="J269" s="5" t="s">
        <v>1600</v>
      </c>
      <c r="K269" s="5" t="s">
        <v>1601</v>
      </c>
    </row>
    <row r="270" spans="2:11">
      <c r="B270" s="5"/>
      <c r="F270" s="5" t="s">
        <v>590</v>
      </c>
      <c r="G270" s="5" t="s">
        <v>591</v>
      </c>
      <c r="J270" s="5" t="s">
        <v>1602</v>
      </c>
      <c r="K270" s="5" t="s">
        <v>1603</v>
      </c>
    </row>
    <row r="271" spans="2:11">
      <c r="B271" s="5"/>
      <c r="F271" s="5" t="s">
        <v>592</v>
      </c>
      <c r="G271" s="5" t="s">
        <v>593</v>
      </c>
      <c r="J271" s="5" t="s">
        <v>1604</v>
      </c>
      <c r="K271" s="5" t="s">
        <v>1605</v>
      </c>
    </row>
    <row r="272" spans="2:11">
      <c r="B272" s="5"/>
      <c r="F272" s="5" t="s">
        <v>594</v>
      </c>
      <c r="G272" s="5" t="s">
        <v>595</v>
      </c>
      <c r="J272" s="5" t="s">
        <v>1606</v>
      </c>
      <c r="K272" s="5" t="s">
        <v>1607</v>
      </c>
    </row>
    <row r="273" spans="2:11">
      <c r="B273" s="5"/>
      <c r="F273" s="5" t="s">
        <v>596</v>
      </c>
      <c r="G273" s="5" t="s">
        <v>597</v>
      </c>
      <c r="J273" s="5" t="s">
        <v>1608</v>
      </c>
      <c r="K273" s="5" t="s">
        <v>1609</v>
      </c>
    </row>
    <row r="274" spans="2:11">
      <c r="B274" s="5"/>
      <c r="F274" s="5" t="s">
        <v>598</v>
      </c>
      <c r="G274" s="5" t="s">
        <v>599</v>
      </c>
      <c r="J274" s="5" t="s">
        <v>1610</v>
      </c>
      <c r="K274" s="5" t="s">
        <v>1611</v>
      </c>
    </row>
    <row r="275" spans="2:11">
      <c r="B275" s="5"/>
      <c r="F275" s="5" t="s">
        <v>600</v>
      </c>
      <c r="G275" s="5" t="s">
        <v>601</v>
      </c>
      <c r="J275" s="5" t="s">
        <v>1612</v>
      </c>
      <c r="K275" s="5" t="s">
        <v>1613</v>
      </c>
    </row>
    <row r="276" spans="2:11">
      <c r="B276" s="5"/>
      <c r="F276" s="5" t="s">
        <v>602</v>
      </c>
      <c r="G276" s="5" t="s">
        <v>603</v>
      </c>
      <c r="J276" s="5" t="s">
        <v>1614</v>
      </c>
      <c r="K276" s="5" t="s">
        <v>1615</v>
      </c>
    </row>
    <row r="277" spans="2:11">
      <c r="B277" s="5"/>
      <c r="F277" s="5" t="s">
        <v>604</v>
      </c>
      <c r="G277" s="5" t="s">
        <v>605</v>
      </c>
      <c r="J277" s="5" t="s">
        <v>1616</v>
      </c>
      <c r="K277" s="5" t="s">
        <v>1617</v>
      </c>
    </row>
    <row r="278" spans="2:11">
      <c r="B278" s="5"/>
      <c r="F278" s="5" t="s">
        <v>606</v>
      </c>
      <c r="G278" s="5" t="s">
        <v>607</v>
      </c>
      <c r="J278" s="5" t="s">
        <v>1618</v>
      </c>
      <c r="K278" s="5" t="s">
        <v>1619</v>
      </c>
    </row>
    <row r="279" spans="2:11">
      <c r="B279" s="5"/>
      <c r="F279" s="5" t="s">
        <v>608</v>
      </c>
      <c r="G279" s="5" t="s">
        <v>609</v>
      </c>
      <c r="J279" s="5" t="s">
        <v>1620</v>
      </c>
      <c r="K279" s="5" t="s">
        <v>1621</v>
      </c>
    </row>
    <row r="280" spans="2:11">
      <c r="B280" s="5"/>
      <c r="F280" s="5" t="s">
        <v>610</v>
      </c>
      <c r="G280" s="5" t="s">
        <v>611</v>
      </c>
      <c r="J280" s="5" t="s">
        <v>1622</v>
      </c>
      <c r="K280" s="5" t="s">
        <v>1623</v>
      </c>
    </row>
    <row r="281" spans="2:11">
      <c r="B281" s="5"/>
      <c r="F281" s="5" t="s">
        <v>612</v>
      </c>
      <c r="G281" s="5" t="s">
        <v>613</v>
      </c>
      <c r="J281" s="5" t="s">
        <v>1624</v>
      </c>
      <c r="K281" s="5" t="s">
        <v>1625</v>
      </c>
    </row>
    <row r="282" spans="2:11">
      <c r="B282" s="5"/>
      <c r="F282" s="5" t="s">
        <v>614</v>
      </c>
      <c r="G282" s="5" t="s">
        <v>615</v>
      </c>
      <c r="J282" s="5" t="s">
        <v>1626</v>
      </c>
      <c r="K282" s="5" t="s">
        <v>1627</v>
      </c>
    </row>
    <row r="283" spans="2:11">
      <c r="B283" s="5"/>
      <c r="F283" s="5" t="s">
        <v>616</v>
      </c>
      <c r="G283" s="5" t="s">
        <v>617</v>
      </c>
      <c r="J283" s="5" t="s">
        <v>1628</v>
      </c>
      <c r="K283" s="5" t="s">
        <v>1629</v>
      </c>
    </row>
    <row r="284" spans="2:11">
      <c r="B284" s="5"/>
      <c r="F284" s="5" t="s">
        <v>618</v>
      </c>
      <c r="G284" s="5" t="s">
        <v>619</v>
      </c>
      <c r="J284" s="5" t="s">
        <v>1630</v>
      </c>
      <c r="K284" s="5" t="s">
        <v>1631</v>
      </c>
    </row>
    <row r="285" spans="2:11">
      <c r="B285" s="5"/>
      <c r="F285" s="5" t="s">
        <v>620</v>
      </c>
      <c r="G285" s="5" t="s">
        <v>621</v>
      </c>
      <c r="J285" s="5" t="s">
        <v>1632</v>
      </c>
      <c r="K285" s="5" t="s">
        <v>1633</v>
      </c>
    </row>
    <row r="286" spans="2:11">
      <c r="B286" s="5"/>
      <c r="F286" s="5" t="s">
        <v>622</v>
      </c>
      <c r="G286" s="5" t="s">
        <v>623</v>
      </c>
      <c r="J286" s="5" t="s">
        <v>1634</v>
      </c>
      <c r="K286" s="5" t="s">
        <v>1635</v>
      </c>
    </row>
    <row r="287" spans="2:11">
      <c r="B287" s="5"/>
      <c r="F287" s="5" t="s">
        <v>624</v>
      </c>
      <c r="G287" s="5" t="s">
        <v>625</v>
      </c>
      <c r="J287" s="5" t="s">
        <v>1636</v>
      </c>
      <c r="K287" s="5" t="s">
        <v>1637</v>
      </c>
    </row>
    <row r="288" spans="2:11">
      <c r="B288" s="5"/>
      <c r="F288" s="5" t="s">
        <v>626</v>
      </c>
      <c r="G288" s="5" t="s">
        <v>627</v>
      </c>
      <c r="J288" s="5" t="s">
        <v>1638</v>
      </c>
      <c r="K288" s="5" t="s">
        <v>1639</v>
      </c>
    </row>
    <row r="289" spans="2:11">
      <c r="B289" s="5"/>
      <c r="F289" s="5" t="s">
        <v>628</v>
      </c>
      <c r="G289" s="5" t="s">
        <v>629</v>
      </c>
      <c r="J289" s="5" t="s">
        <v>1640</v>
      </c>
      <c r="K289" s="5" t="s">
        <v>1641</v>
      </c>
    </row>
    <row r="290" spans="2:11">
      <c r="B290" s="5"/>
      <c r="F290" s="5" t="s">
        <v>630</v>
      </c>
      <c r="G290" s="5" t="s">
        <v>631</v>
      </c>
      <c r="J290" s="5" t="s">
        <v>1642</v>
      </c>
      <c r="K290" s="5" t="s">
        <v>1643</v>
      </c>
    </row>
    <row r="291" spans="2:11">
      <c r="B291" s="5"/>
      <c r="F291" s="5" t="s">
        <v>632</v>
      </c>
      <c r="G291" s="5" t="s">
        <v>633</v>
      </c>
      <c r="J291" s="5" t="s">
        <v>1644</v>
      </c>
      <c r="K291" s="5" t="s">
        <v>1645</v>
      </c>
    </row>
    <row r="292" spans="2:11">
      <c r="B292" s="5"/>
      <c r="F292" s="5" t="s">
        <v>634</v>
      </c>
      <c r="G292" s="5" t="s">
        <v>635</v>
      </c>
      <c r="J292" s="5" t="s">
        <v>1646</v>
      </c>
      <c r="K292" s="5" t="s">
        <v>1647</v>
      </c>
    </row>
    <row r="293" spans="2:11">
      <c r="B293" s="5"/>
      <c r="F293" s="5" t="s">
        <v>636</v>
      </c>
      <c r="G293" s="5" t="s">
        <v>637</v>
      </c>
      <c r="J293" s="5" t="s">
        <v>1648</v>
      </c>
      <c r="K293" s="5" t="s">
        <v>1649</v>
      </c>
    </row>
    <row r="294" spans="2:11">
      <c r="B294" s="5"/>
      <c r="F294" s="5" t="s">
        <v>638</v>
      </c>
      <c r="G294" s="5" t="s">
        <v>639</v>
      </c>
      <c r="J294" s="5" t="s">
        <v>1650</v>
      </c>
      <c r="K294" s="5" t="s">
        <v>1651</v>
      </c>
    </row>
    <row r="295" spans="2:11">
      <c r="B295" s="5"/>
      <c r="F295" s="5" t="s">
        <v>640</v>
      </c>
      <c r="G295" s="5" t="s">
        <v>641</v>
      </c>
      <c r="J295" s="5" t="s">
        <v>1652</v>
      </c>
      <c r="K295" s="5" t="s">
        <v>1653</v>
      </c>
    </row>
    <row r="296" spans="2:11">
      <c r="B296" s="5"/>
      <c r="F296" s="5" t="s">
        <v>642</v>
      </c>
      <c r="G296" s="5" t="s">
        <v>643</v>
      </c>
      <c r="J296" s="5" t="s">
        <v>1654</v>
      </c>
      <c r="K296" s="5" t="s">
        <v>1655</v>
      </c>
    </row>
    <row r="297" spans="2:11">
      <c r="B297" s="5"/>
      <c r="F297" s="5" t="s">
        <v>644</v>
      </c>
      <c r="G297" s="5" t="s">
        <v>645</v>
      </c>
      <c r="J297" s="5" t="s">
        <v>1656</v>
      </c>
      <c r="K297" s="5" t="s">
        <v>1657</v>
      </c>
    </row>
    <row r="298" spans="2:11">
      <c r="B298" s="5"/>
      <c r="F298" s="5" t="s">
        <v>646</v>
      </c>
      <c r="G298" s="5" t="s">
        <v>647</v>
      </c>
      <c r="J298" s="5" t="s">
        <v>1658</v>
      </c>
      <c r="K298" s="5" t="s">
        <v>1659</v>
      </c>
    </row>
    <row r="299" spans="2:11">
      <c r="B299" s="5"/>
      <c r="F299" s="5" t="s">
        <v>648</v>
      </c>
      <c r="G299" s="5" t="s">
        <v>649</v>
      </c>
      <c r="J299" s="5" t="s">
        <v>1660</v>
      </c>
      <c r="K299" s="5" t="s">
        <v>1661</v>
      </c>
    </row>
    <row r="300" spans="2:11">
      <c r="B300" s="5"/>
      <c r="F300" s="5" t="s">
        <v>650</v>
      </c>
      <c r="G300" s="5" t="s">
        <v>651</v>
      </c>
      <c r="J300" s="5" t="s">
        <v>1662</v>
      </c>
      <c r="K300" s="5" t="s">
        <v>1663</v>
      </c>
    </row>
    <row r="301" spans="2:11">
      <c r="B301" s="5"/>
      <c r="F301" s="5" t="s">
        <v>652</v>
      </c>
      <c r="G301" s="5" t="s">
        <v>653</v>
      </c>
      <c r="J301" s="5" t="s">
        <v>1664</v>
      </c>
      <c r="K301" s="5" t="s">
        <v>1665</v>
      </c>
    </row>
    <row r="302" spans="2:11">
      <c r="B302" s="5"/>
      <c r="F302" s="5" t="s">
        <v>654</v>
      </c>
      <c r="G302" s="5" t="s">
        <v>655</v>
      </c>
      <c r="J302" s="5" t="s">
        <v>1666</v>
      </c>
      <c r="K302" s="5" t="s">
        <v>1667</v>
      </c>
    </row>
    <row r="303" spans="2:11">
      <c r="B303" s="5"/>
      <c r="F303" s="5" t="s">
        <v>656</v>
      </c>
      <c r="G303" s="5" t="s">
        <v>657</v>
      </c>
      <c r="J303" s="5" t="s">
        <v>1668</v>
      </c>
      <c r="K303" s="5" t="s">
        <v>1669</v>
      </c>
    </row>
    <row r="304" spans="2:11">
      <c r="B304" s="5"/>
      <c r="F304" s="5" t="s">
        <v>658</v>
      </c>
      <c r="G304" s="5" t="s">
        <v>659</v>
      </c>
      <c r="J304" s="5" t="s">
        <v>1670</v>
      </c>
      <c r="K304" s="5" t="s">
        <v>1671</v>
      </c>
    </row>
    <row r="305" spans="2:11">
      <c r="B305" s="5"/>
      <c r="F305" s="5" t="s">
        <v>660</v>
      </c>
      <c r="G305" s="5" t="s">
        <v>661</v>
      </c>
      <c r="J305" s="5" t="s">
        <v>1672</v>
      </c>
      <c r="K305" s="5" t="s">
        <v>1673</v>
      </c>
    </row>
    <row r="306" spans="2:11">
      <c r="B306" s="5"/>
      <c r="F306" s="5" t="s">
        <v>662</v>
      </c>
      <c r="G306" s="5" t="s">
        <v>663</v>
      </c>
      <c r="J306" s="5" t="s">
        <v>1674</v>
      </c>
      <c r="K306" s="5" t="s">
        <v>1675</v>
      </c>
    </row>
    <row r="307" spans="2:11">
      <c r="B307" s="5"/>
      <c r="F307" s="5" t="s">
        <v>664</v>
      </c>
      <c r="G307" s="5" t="s">
        <v>665</v>
      </c>
      <c r="J307" s="5" t="s">
        <v>1676</v>
      </c>
      <c r="K307" s="5" t="s">
        <v>1677</v>
      </c>
    </row>
    <row r="308" spans="2:11">
      <c r="B308" s="5"/>
      <c r="F308" s="5" t="s">
        <v>666</v>
      </c>
      <c r="G308" s="5" t="s">
        <v>667</v>
      </c>
      <c r="J308" s="5" t="s">
        <v>1678</v>
      </c>
      <c r="K308" s="5" t="s">
        <v>1679</v>
      </c>
    </row>
    <row r="309" spans="2:11">
      <c r="B309" s="5"/>
      <c r="F309" s="5" t="s">
        <v>668</v>
      </c>
      <c r="G309" s="5" t="s">
        <v>669</v>
      </c>
      <c r="J309" s="5" t="s">
        <v>1680</v>
      </c>
      <c r="K309" s="5" t="s">
        <v>1681</v>
      </c>
    </row>
    <row r="310" spans="2:11">
      <c r="B310" s="5"/>
      <c r="F310" s="5" t="s">
        <v>670</v>
      </c>
      <c r="G310" s="5" t="s">
        <v>671</v>
      </c>
      <c r="J310" s="5" t="s">
        <v>1682</v>
      </c>
      <c r="K310" s="5" t="s">
        <v>1683</v>
      </c>
    </row>
    <row r="311" spans="2:11">
      <c r="B311" s="5"/>
      <c r="F311" s="5" t="s">
        <v>672</v>
      </c>
      <c r="G311" s="5" t="s">
        <v>673</v>
      </c>
      <c r="J311" s="5" t="s">
        <v>1684</v>
      </c>
      <c r="K311" s="5" t="s">
        <v>1685</v>
      </c>
    </row>
    <row r="312" spans="2:11">
      <c r="B312" s="5"/>
      <c r="F312" s="5" t="s">
        <v>674</v>
      </c>
      <c r="G312" s="5" t="s">
        <v>675</v>
      </c>
      <c r="J312" s="5" t="s">
        <v>1686</v>
      </c>
      <c r="K312" s="5" t="s">
        <v>1687</v>
      </c>
    </row>
    <row r="313" spans="2:11">
      <c r="B313" s="5"/>
      <c r="F313" s="5" t="s">
        <v>676</v>
      </c>
      <c r="G313" s="5" t="s">
        <v>677</v>
      </c>
      <c r="J313" s="5" t="s">
        <v>1688</v>
      </c>
      <c r="K313" s="5" t="s">
        <v>1689</v>
      </c>
    </row>
    <row r="314" spans="2:11">
      <c r="B314" s="5"/>
      <c r="F314" s="5" t="s">
        <v>678</v>
      </c>
      <c r="G314" s="5" t="s">
        <v>679</v>
      </c>
      <c r="J314" s="5" t="s">
        <v>1690</v>
      </c>
      <c r="K314" s="5" t="s">
        <v>1691</v>
      </c>
    </row>
    <row r="315" spans="2:11">
      <c r="B315" s="5"/>
      <c r="F315" s="5" t="s">
        <v>680</v>
      </c>
      <c r="G315" s="5" t="s">
        <v>681</v>
      </c>
      <c r="J315" s="5" t="s">
        <v>1692</v>
      </c>
      <c r="K315" s="5" t="s">
        <v>1693</v>
      </c>
    </row>
    <row r="316" spans="2:11">
      <c r="B316" s="5"/>
      <c r="F316" s="5" t="s">
        <v>682</v>
      </c>
      <c r="G316" s="5" t="s">
        <v>683</v>
      </c>
      <c r="J316" s="5" t="s">
        <v>1694</v>
      </c>
      <c r="K316" s="5" t="s">
        <v>1695</v>
      </c>
    </row>
    <row r="317" spans="2:11">
      <c r="B317" s="5"/>
      <c r="F317" s="5" t="s">
        <v>684</v>
      </c>
      <c r="G317" s="5" t="s">
        <v>685</v>
      </c>
      <c r="J317" s="5" t="s">
        <v>1696</v>
      </c>
      <c r="K317" s="5" t="s">
        <v>1697</v>
      </c>
    </row>
    <row r="318" spans="2:11">
      <c r="B318" s="5"/>
      <c r="F318" s="5" t="s">
        <v>686</v>
      </c>
      <c r="G318" s="5" t="s">
        <v>687</v>
      </c>
      <c r="J318" s="5" t="s">
        <v>1698</v>
      </c>
      <c r="K318" s="5" t="s">
        <v>1699</v>
      </c>
    </row>
    <row r="319" spans="2:11">
      <c r="B319" s="5"/>
      <c r="F319" s="5" t="s">
        <v>688</v>
      </c>
      <c r="G319" s="5" t="s">
        <v>689</v>
      </c>
      <c r="J319" s="5" t="s">
        <v>1700</v>
      </c>
      <c r="K319" s="5" t="s">
        <v>1701</v>
      </c>
    </row>
    <row r="320" spans="2:11">
      <c r="B320" s="5"/>
      <c r="F320" s="5" t="s">
        <v>690</v>
      </c>
      <c r="G320" s="5" t="s">
        <v>691</v>
      </c>
      <c r="J320" s="5" t="s">
        <v>1702</v>
      </c>
      <c r="K320" s="5" t="s">
        <v>1703</v>
      </c>
    </row>
    <row r="321" spans="2:11">
      <c r="B321" s="5"/>
      <c r="F321" s="5" t="s">
        <v>692</v>
      </c>
      <c r="G321" s="5" t="s">
        <v>693</v>
      </c>
      <c r="J321" s="5" t="s">
        <v>1704</v>
      </c>
      <c r="K321" s="5" t="s">
        <v>1705</v>
      </c>
    </row>
    <row r="322" spans="2:11">
      <c r="B322" s="5"/>
      <c r="F322" s="5" t="s">
        <v>694</v>
      </c>
      <c r="G322" s="5" t="s">
        <v>695</v>
      </c>
      <c r="J322" s="5" t="s">
        <v>1706</v>
      </c>
      <c r="K322" s="5" t="s">
        <v>1707</v>
      </c>
    </row>
    <row r="323" spans="2:11">
      <c r="B323" s="5"/>
      <c r="F323" s="5" t="s">
        <v>696</v>
      </c>
      <c r="G323" s="5" t="s">
        <v>697</v>
      </c>
      <c r="J323" s="5" t="s">
        <v>1708</v>
      </c>
      <c r="K323" s="5" t="s">
        <v>1709</v>
      </c>
    </row>
    <row r="324" spans="2:11">
      <c r="B324" s="5"/>
      <c r="F324" s="5" t="s">
        <v>698</v>
      </c>
      <c r="G324" s="5" t="s">
        <v>699</v>
      </c>
      <c r="J324" s="5" t="s">
        <v>1710</v>
      </c>
      <c r="K324" s="5" t="s">
        <v>1711</v>
      </c>
    </row>
    <row r="325" spans="2:11">
      <c r="B325" s="5"/>
      <c r="F325" s="5" t="s">
        <v>700</v>
      </c>
      <c r="G325" s="5" t="s">
        <v>701</v>
      </c>
      <c r="J325" s="5" t="s">
        <v>1712</v>
      </c>
      <c r="K325" s="5" t="s">
        <v>1713</v>
      </c>
    </row>
    <row r="326" spans="2:11">
      <c r="B326" s="5"/>
      <c r="F326" s="5" t="s">
        <v>702</v>
      </c>
      <c r="G326" s="5" t="s">
        <v>703</v>
      </c>
      <c r="J326" s="5" t="s">
        <v>1714</v>
      </c>
      <c r="K326" s="5" t="s">
        <v>1715</v>
      </c>
    </row>
    <row r="327" spans="2:11">
      <c r="B327" s="5"/>
      <c r="F327" s="5" t="s">
        <v>704</v>
      </c>
      <c r="G327" s="5" t="s">
        <v>705</v>
      </c>
      <c r="J327" s="5" t="s">
        <v>1716</v>
      </c>
      <c r="K327" s="5" t="s">
        <v>1717</v>
      </c>
    </row>
    <row r="328" spans="2:11">
      <c r="B328" s="5"/>
      <c r="F328" s="5" t="s">
        <v>706</v>
      </c>
      <c r="G328" s="5" t="s">
        <v>707</v>
      </c>
      <c r="J328" s="5" t="s">
        <v>1718</v>
      </c>
      <c r="K328" s="5" t="s">
        <v>1719</v>
      </c>
    </row>
    <row r="329" spans="2:11">
      <c r="B329" s="5"/>
      <c r="F329" s="5" t="s">
        <v>708</v>
      </c>
      <c r="G329" s="5" t="s">
        <v>709</v>
      </c>
      <c r="J329" s="5" t="s">
        <v>1720</v>
      </c>
      <c r="K329" s="5" t="s">
        <v>1721</v>
      </c>
    </row>
    <row r="330" spans="2:11">
      <c r="B330" s="5"/>
      <c r="F330" s="5" t="s">
        <v>710</v>
      </c>
      <c r="G330" s="5" t="s">
        <v>711</v>
      </c>
      <c r="J330" s="5" t="s">
        <v>1722</v>
      </c>
      <c r="K330" s="5" t="s">
        <v>1723</v>
      </c>
    </row>
    <row r="331" spans="2:11">
      <c r="B331" s="5"/>
      <c r="F331" s="5" t="s">
        <v>712</v>
      </c>
      <c r="G331" s="5" t="s">
        <v>713</v>
      </c>
      <c r="J331" s="5" t="s">
        <v>1724</v>
      </c>
      <c r="K331" s="5" t="s">
        <v>1725</v>
      </c>
    </row>
    <row r="332" spans="2:11">
      <c r="B332" s="5"/>
      <c r="F332" s="5" t="s">
        <v>714</v>
      </c>
      <c r="G332" s="5" t="s">
        <v>715</v>
      </c>
      <c r="J332" s="5" t="s">
        <v>1726</v>
      </c>
      <c r="K332" s="5" t="s">
        <v>1727</v>
      </c>
    </row>
    <row r="333" spans="2:11">
      <c r="B333" s="5"/>
      <c r="F333" s="5" t="s">
        <v>716</v>
      </c>
      <c r="G333" s="5" t="s">
        <v>717</v>
      </c>
      <c r="J333" s="5" t="s">
        <v>1728</v>
      </c>
      <c r="K333" s="5" t="s">
        <v>1729</v>
      </c>
    </row>
    <row r="334" spans="2:11">
      <c r="B334" s="5"/>
      <c r="F334" s="5" t="s">
        <v>718</v>
      </c>
      <c r="G334" s="5" t="s">
        <v>719</v>
      </c>
      <c r="J334" s="5" t="s">
        <v>1730</v>
      </c>
      <c r="K334" s="5" t="s">
        <v>1731</v>
      </c>
    </row>
    <row r="335" spans="2:11">
      <c r="B335" s="5"/>
      <c r="F335" s="5" t="s">
        <v>720</v>
      </c>
      <c r="G335" s="5" t="s">
        <v>721</v>
      </c>
      <c r="J335" s="5" t="s">
        <v>1732</v>
      </c>
      <c r="K335" s="5" t="s">
        <v>1733</v>
      </c>
    </row>
    <row r="336" spans="2:11">
      <c r="B336" s="5"/>
      <c r="F336" s="5" t="s">
        <v>722</v>
      </c>
      <c r="G336" s="5" t="s">
        <v>723</v>
      </c>
      <c r="J336" s="5" t="s">
        <v>1734</v>
      </c>
      <c r="K336" s="5" t="s">
        <v>1735</v>
      </c>
    </row>
    <row r="337" spans="2:11">
      <c r="B337" s="5"/>
      <c r="F337" s="5" t="s">
        <v>724</v>
      </c>
      <c r="G337" s="5" t="s">
        <v>725</v>
      </c>
      <c r="J337" s="5" t="s">
        <v>1736</v>
      </c>
      <c r="K337" s="5" t="s">
        <v>1737</v>
      </c>
    </row>
    <row r="338" spans="2:11">
      <c r="B338" s="5"/>
      <c r="F338" s="5" t="s">
        <v>726</v>
      </c>
      <c r="G338" s="5" t="s">
        <v>727</v>
      </c>
      <c r="J338" s="5" t="s">
        <v>1738</v>
      </c>
      <c r="K338" s="5" t="s">
        <v>1739</v>
      </c>
    </row>
    <row r="339" spans="2:11">
      <c r="B339" s="5"/>
      <c r="F339" s="5" t="s">
        <v>728</v>
      </c>
      <c r="G339" s="5" t="s">
        <v>729</v>
      </c>
      <c r="J339" s="5" t="s">
        <v>1740</v>
      </c>
      <c r="K339" s="5" t="s">
        <v>1741</v>
      </c>
    </row>
    <row r="340" spans="2:11">
      <c r="B340" s="5"/>
      <c r="F340" s="5" t="s">
        <v>730</v>
      </c>
      <c r="G340" s="5" t="s">
        <v>731</v>
      </c>
      <c r="J340" s="5" t="s">
        <v>1742</v>
      </c>
      <c r="K340" s="5" t="s">
        <v>1743</v>
      </c>
    </row>
    <row r="341" spans="2:11">
      <c r="B341" s="5"/>
      <c r="F341" s="5" t="s">
        <v>732</v>
      </c>
      <c r="G341" s="5" t="s">
        <v>733</v>
      </c>
      <c r="J341" s="5" t="s">
        <v>1744</v>
      </c>
      <c r="K341" s="5" t="s">
        <v>1745</v>
      </c>
    </row>
    <row r="342" spans="2:11">
      <c r="B342" s="5"/>
      <c r="F342" s="5" t="s">
        <v>734</v>
      </c>
      <c r="G342" s="5" t="s">
        <v>735</v>
      </c>
      <c r="J342" s="5" t="s">
        <v>1746</v>
      </c>
      <c r="K342" s="5" t="s">
        <v>1747</v>
      </c>
    </row>
    <row r="343" spans="2:11">
      <c r="B343" s="5"/>
      <c r="F343" s="5" t="s">
        <v>736</v>
      </c>
      <c r="G343" s="5" t="s">
        <v>737</v>
      </c>
      <c r="J343" s="5" t="s">
        <v>1748</v>
      </c>
      <c r="K343" s="5" t="s">
        <v>1749</v>
      </c>
    </row>
    <row r="344" spans="2:11">
      <c r="B344" s="5"/>
      <c r="F344" s="5" t="s">
        <v>738</v>
      </c>
      <c r="G344" s="5" t="s">
        <v>739</v>
      </c>
      <c r="J344" s="5" t="s">
        <v>1750</v>
      </c>
      <c r="K344" s="5" t="s">
        <v>1751</v>
      </c>
    </row>
    <row r="345" spans="2:11">
      <c r="B345" s="5"/>
      <c r="F345" s="5" t="s">
        <v>740</v>
      </c>
      <c r="G345" s="5" t="s">
        <v>741</v>
      </c>
      <c r="J345" s="5" t="s">
        <v>1752</v>
      </c>
      <c r="K345" s="5" t="s">
        <v>1753</v>
      </c>
    </row>
    <row r="346" spans="2:11">
      <c r="B346" s="5"/>
      <c r="F346" s="5" t="s">
        <v>742</v>
      </c>
      <c r="G346" s="5" t="s">
        <v>743</v>
      </c>
      <c r="J346" s="5" t="s">
        <v>1754</v>
      </c>
      <c r="K346" s="5" t="s">
        <v>1755</v>
      </c>
    </row>
    <row r="347" spans="2:11">
      <c r="B347" s="5"/>
      <c r="F347" s="5" t="s">
        <v>744</v>
      </c>
      <c r="G347" s="5" t="s">
        <v>745</v>
      </c>
      <c r="J347" s="5" t="s">
        <v>1756</v>
      </c>
      <c r="K347" s="5" t="s">
        <v>1757</v>
      </c>
    </row>
    <row r="348" spans="2:11">
      <c r="B348" s="5"/>
      <c r="F348" s="5" t="s">
        <v>746</v>
      </c>
      <c r="G348" s="5" t="s">
        <v>747</v>
      </c>
      <c r="J348" s="5" t="s">
        <v>1758</v>
      </c>
      <c r="K348" s="5" t="s">
        <v>1759</v>
      </c>
    </row>
    <row r="349" spans="2:11">
      <c r="B349" s="5"/>
      <c r="F349" s="5" t="s">
        <v>748</v>
      </c>
      <c r="G349" s="5" t="s">
        <v>749</v>
      </c>
      <c r="J349" s="5" t="s">
        <v>1760</v>
      </c>
      <c r="K349" s="5" t="s">
        <v>1761</v>
      </c>
    </row>
    <row r="350" spans="2:11">
      <c r="B350" s="5"/>
      <c r="F350" s="5" t="s">
        <v>750</v>
      </c>
      <c r="G350" s="5" t="s">
        <v>751</v>
      </c>
      <c r="J350" s="5" t="s">
        <v>1762</v>
      </c>
      <c r="K350" s="5" t="s">
        <v>1763</v>
      </c>
    </row>
    <row r="351" spans="2:11">
      <c r="B351" s="5"/>
      <c r="F351" s="5" t="s">
        <v>752</v>
      </c>
      <c r="G351" s="5" t="s">
        <v>753</v>
      </c>
      <c r="J351" s="5" t="s">
        <v>1764</v>
      </c>
      <c r="K351" s="5" t="s">
        <v>1765</v>
      </c>
    </row>
    <row r="352" spans="2:11">
      <c r="B352" s="5"/>
      <c r="F352" s="5" t="s">
        <v>754</v>
      </c>
      <c r="G352" s="5" t="s">
        <v>755</v>
      </c>
      <c r="J352" s="5" t="s">
        <v>1766</v>
      </c>
      <c r="K352" s="5" t="s">
        <v>1767</v>
      </c>
    </row>
    <row r="353" spans="2:11">
      <c r="B353" s="5"/>
      <c r="F353" s="5" t="s">
        <v>756</v>
      </c>
      <c r="G353" s="5" t="s">
        <v>757</v>
      </c>
      <c r="J353" s="5" t="s">
        <v>1768</v>
      </c>
      <c r="K353" s="5" t="s">
        <v>1769</v>
      </c>
    </row>
    <row r="354" spans="2:11">
      <c r="B354" s="5"/>
      <c r="F354" s="5" t="s">
        <v>758</v>
      </c>
      <c r="G354" s="5" t="s">
        <v>759</v>
      </c>
      <c r="J354" s="5" t="s">
        <v>1770</v>
      </c>
      <c r="K354" s="5" t="s">
        <v>1771</v>
      </c>
    </row>
    <row r="355" spans="2:11">
      <c r="B355" s="5"/>
      <c r="F355" s="5" t="s">
        <v>760</v>
      </c>
      <c r="G355" s="5" t="s">
        <v>761</v>
      </c>
      <c r="J355" s="5" t="s">
        <v>1772</v>
      </c>
      <c r="K355" s="5" t="s">
        <v>1773</v>
      </c>
    </row>
    <row r="356" spans="2:11">
      <c r="B356" s="5"/>
      <c r="F356" s="5" t="s">
        <v>762</v>
      </c>
      <c r="G356" s="5" t="s">
        <v>763</v>
      </c>
      <c r="J356" s="5" t="s">
        <v>1774</v>
      </c>
      <c r="K356" s="5" t="s">
        <v>1775</v>
      </c>
    </row>
    <row r="357" spans="2:11">
      <c r="B357" s="5"/>
      <c r="F357" s="5" t="s">
        <v>764</v>
      </c>
      <c r="G357" s="5" t="s">
        <v>765</v>
      </c>
      <c r="J357" s="5" t="s">
        <v>1776</v>
      </c>
      <c r="K357" s="5" t="s">
        <v>1777</v>
      </c>
    </row>
    <row r="358" spans="2:11">
      <c r="B358" s="5"/>
      <c r="F358" s="5" t="s">
        <v>766</v>
      </c>
      <c r="G358" s="5" t="s">
        <v>767</v>
      </c>
      <c r="J358" s="5" t="s">
        <v>1778</v>
      </c>
      <c r="K358" s="5" t="s">
        <v>1779</v>
      </c>
    </row>
    <row r="359" spans="2:11">
      <c r="B359" s="5"/>
      <c r="F359" s="5" t="s">
        <v>768</v>
      </c>
      <c r="G359" s="5" t="s">
        <v>769</v>
      </c>
      <c r="J359" s="5" t="s">
        <v>1780</v>
      </c>
      <c r="K359" s="5" t="s">
        <v>1781</v>
      </c>
    </row>
    <row r="360" spans="2:11">
      <c r="B360" s="5"/>
      <c r="F360" s="5" t="s">
        <v>770</v>
      </c>
      <c r="G360" s="5" t="s">
        <v>771</v>
      </c>
      <c r="J360" s="5" t="s">
        <v>1782</v>
      </c>
      <c r="K360" s="5" t="s">
        <v>1783</v>
      </c>
    </row>
    <row r="361" spans="2:11">
      <c r="B361" s="5"/>
      <c r="F361" s="5" t="s">
        <v>772</v>
      </c>
      <c r="G361" s="5" t="s">
        <v>773</v>
      </c>
      <c r="J361" s="5" t="s">
        <v>1784</v>
      </c>
      <c r="K361" s="5" t="s">
        <v>1785</v>
      </c>
    </row>
    <row r="362" spans="2:11">
      <c r="B362" s="5"/>
      <c r="F362" s="5" t="s">
        <v>774</v>
      </c>
      <c r="G362" s="5" t="s">
        <v>775</v>
      </c>
      <c r="J362" s="5" t="s">
        <v>1786</v>
      </c>
      <c r="K362" s="5" t="s">
        <v>1787</v>
      </c>
    </row>
    <row r="363" spans="2:11">
      <c r="B363" s="5"/>
      <c r="F363" s="5" t="s">
        <v>776</v>
      </c>
      <c r="G363" s="5" t="s">
        <v>777</v>
      </c>
      <c r="J363" s="5" t="s">
        <v>1788</v>
      </c>
      <c r="K363" s="5" t="s">
        <v>1789</v>
      </c>
    </row>
    <row r="364" spans="2:11">
      <c r="B364" s="5"/>
      <c r="F364" s="5" t="s">
        <v>778</v>
      </c>
      <c r="G364" s="5" t="s">
        <v>779</v>
      </c>
      <c r="J364" s="5" t="s">
        <v>1790</v>
      </c>
      <c r="K364" s="5" t="s">
        <v>1791</v>
      </c>
    </row>
    <row r="365" spans="2:11">
      <c r="B365" s="5"/>
      <c r="F365" s="5" t="s">
        <v>780</v>
      </c>
      <c r="G365" s="5" t="s">
        <v>781</v>
      </c>
      <c r="J365" s="5" t="s">
        <v>1792</v>
      </c>
      <c r="K365" s="5" t="s">
        <v>1793</v>
      </c>
    </row>
    <row r="366" spans="2:11">
      <c r="B366" s="5"/>
      <c r="F366" s="5" t="s">
        <v>782</v>
      </c>
      <c r="G366" s="5" t="s">
        <v>783</v>
      </c>
      <c r="J366" s="5" t="s">
        <v>1794</v>
      </c>
      <c r="K366" s="5" t="s">
        <v>1795</v>
      </c>
    </row>
    <row r="367" spans="2:11">
      <c r="B367" s="5"/>
      <c r="F367" s="5" t="s">
        <v>784</v>
      </c>
      <c r="G367" s="5" t="s">
        <v>785</v>
      </c>
      <c r="J367" s="5" t="s">
        <v>1796</v>
      </c>
      <c r="K367" s="5" t="s">
        <v>1797</v>
      </c>
    </row>
    <row r="368" spans="2:11">
      <c r="B368" s="5"/>
      <c r="F368" s="5" t="s">
        <v>786</v>
      </c>
      <c r="G368" s="5" t="s">
        <v>787</v>
      </c>
      <c r="J368" s="5" t="s">
        <v>1798</v>
      </c>
      <c r="K368" s="5" t="s">
        <v>1799</v>
      </c>
    </row>
    <row r="369" spans="2:11">
      <c r="B369" s="5"/>
      <c r="F369" s="5" t="s">
        <v>788</v>
      </c>
      <c r="G369" s="5" t="s">
        <v>789</v>
      </c>
      <c r="J369" s="5" t="s">
        <v>1800</v>
      </c>
      <c r="K369" s="5" t="s">
        <v>1801</v>
      </c>
    </row>
    <row r="370" spans="2:11">
      <c r="B370" s="5"/>
      <c r="F370" s="5" t="s">
        <v>790</v>
      </c>
      <c r="G370" s="5" t="s">
        <v>791</v>
      </c>
      <c r="J370" s="5" t="s">
        <v>1802</v>
      </c>
      <c r="K370" s="5" t="s">
        <v>1803</v>
      </c>
    </row>
    <row r="371" spans="2:11">
      <c r="B371" s="5"/>
      <c r="F371" s="5" t="s">
        <v>792</v>
      </c>
      <c r="G371" s="5" t="s">
        <v>793</v>
      </c>
      <c r="J371" s="5" t="s">
        <v>1804</v>
      </c>
      <c r="K371" s="5" t="s">
        <v>1805</v>
      </c>
    </row>
    <row r="372" spans="2:11">
      <c r="B372" s="5"/>
      <c r="F372" s="5" t="s">
        <v>794</v>
      </c>
      <c r="G372" s="5" t="s">
        <v>795</v>
      </c>
      <c r="J372" s="5" t="s">
        <v>1806</v>
      </c>
      <c r="K372" s="5" t="s">
        <v>1807</v>
      </c>
    </row>
    <row r="373" spans="2:11">
      <c r="B373" s="5"/>
      <c r="F373" s="5" t="s">
        <v>796</v>
      </c>
      <c r="G373" s="5" t="s">
        <v>797</v>
      </c>
      <c r="J373" s="5" t="s">
        <v>1808</v>
      </c>
      <c r="K373" s="5" t="s">
        <v>1809</v>
      </c>
    </row>
    <row r="374" spans="2:11">
      <c r="B374" s="5"/>
      <c r="F374" s="5" t="s">
        <v>798</v>
      </c>
      <c r="G374" s="5" t="s">
        <v>799</v>
      </c>
      <c r="J374" s="5" t="s">
        <v>1810</v>
      </c>
      <c r="K374" s="5" t="s">
        <v>1811</v>
      </c>
    </row>
    <row r="375" spans="2:11">
      <c r="B375" s="5"/>
      <c r="F375" s="5" t="s">
        <v>800</v>
      </c>
      <c r="G375" s="5" t="s">
        <v>801</v>
      </c>
      <c r="J375" s="5" t="s">
        <v>1812</v>
      </c>
      <c r="K375" s="5" t="s">
        <v>1813</v>
      </c>
    </row>
    <row r="376" spans="2:11">
      <c r="B376" s="5"/>
      <c r="F376" s="5" t="s">
        <v>802</v>
      </c>
      <c r="G376" s="5" t="s">
        <v>803</v>
      </c>
      <c r="J376" s="5" t="s">
        <v>1814</v>
      </c>
      <c r="K376" s="5" t="s">
        <v>1815</v>
      </c>
    </row>
    <row r="377" spans="2:11">
      <c r="B377" s="5"/>
      <c r="F377" s="5" t="s">
        <v>804</v>
      </c>
      <c r="G377" s="5" t="s">
        <v>805</v>
      </c>
      <c r="J377" s="5" t="s">
        <v>1816</v>
      </c>
      <c r="K377" s="5" t="s">
        <v>1817</v>
      </c>
    </row>
    <row r="378" spans="2:11">
      <c r="B378" s="5"/>
      <c r="F378" s="5" t="s">
        <v>806</v>
      </c>
      <c r="G378" s="5" t="s">
        <v>807</v>
      </c>
      <c r="J378" s="5" t="s">
        <v>1818</v>
      </c>
      <c r="K378" s="5" t="s">
        <v>1819</v>
      </c>
    </row>
    <row r="379" spans="2:11">
      <c r="B379" s="5"/>
      <c r="F379" s="5" t="s">
        <v>808</v>
      </c>
      <c r="G379" s="5" t="s">
        <v>809</v>
      </c>
      <c r="J379" s="5" t="s">
        <v>1820</v>
      </c>
      <c r="K379" s="5" t="s">
        <v>1821</v>
      </c>
    </row>
    <row r="380" spans="2:11">
      <c r="B380" s="5"/>
      <c r="F380" s="5" t="s">
        <v>810</v>
      </c>
      <c r="G380" s="5" t="s">
        <v>811</v>
      </c>
      <c r="J380" s="5" t="s">
        <v>1822</v>
      </c>
      <c r="K380" s="5" t="s">
        <v>1823</v>
      </c>
    </row>
    <row r="381" spans="2:11">
      <c r="B381" s="5"/>
      <c r="F381" s="5" t="s">
        <v>812</v>
      </c>
      <c r="G381" s="5" t="s">
        <v>813</v>
      </c>
      <c r="J381" s="5" t="s">
        <v>1824</v>
      </c>
      <c r="K381" s="5" t="s">
        <v>1825</v>
      </c>
    </row>
    <row r="382" spans="2:11">
      <c r="B382" s="5"/>
      <c r="F382" s="5" t="s">
        <v>814</v>
      </c>
      <c r="G382" s="5" t="s">
        <v>815</v>
      </c>
      <c r="J382" s="5" t="s">
        <v>1826</v>
      </c>
      <c r="K382" s="5" t="s">
        <v>1827</v>
      </c>
    </row>
    <row r="383" spans="2:11">
      <c r="B383" s="5"/>
      <c r="F383" s="5" t="s">
        <v>816</v>
      </c>
      <c r="G383" s="5" t="s">
        <v>817</v>
      </c>
      <c r="J383" s="5" t="s">
        <v>1828</v>
      </c>
      <c r="K383" s="5" t="s">
        <v>1829</v>
      </c>
    </row>
    <row r="384" spans="2:11">
      <c r="B384" s="5"/>
      <c r="F384" s="5" t="s">
        <v>818</v>
      </c>
      <c r="G384" s="5" t="s">
        <v>819</v>
      </c>
      <c r="J384" s="5" t="s">
        <v>1830</v>
      </c>
      <c r="K384" s="5" t="s">
        <v>1831</v>
      </c>
    </row>
    <row r="385" spans="2:11">
      <c r="B385" s="5"/>
      <c r="F385" s="5" t="s">
        <v>820</v>
      </c>
      <c r="G385" s="5" t="s">
        <v>821</v>
      </c>
      <c r="J385" s="5" t="s">
        <v>1832</v>
      </c>
      <c r="K385" s="5" t="s">
        <v>1833</v>
      </c>
    </row>
    <row r="386" spans="2:11">
      <c r="B386" s="5"/>
      <c r="F386" s="5" t="s">
        <v>822</v>
      </c>
      <c r="G386" s="5" t="s">
        <v>823</v>
      </c>
      <c r="J386" s="5" t="s">
        <v>1834</v>
      </c>
      <c r="K386" s="5" t="s">
        <v>1835</v>
      </c>
    </row>
    <row r="387" spans="2:11">
      <c r="B387" s="5"/>
      <c r="F387" s="5" t="s">
        <v>824</v>
      </c>
      <c r="G387" s="5" t="s">
        <v>825</v>
      </c>
      <c r="J387" s="5" t="s">
        <v>1836</v>
      </c>
      <c r="K387" s="5" t="s">
        <v>1837</v>
      </c>
    </row>
    <row r="388" spans="2:11">
      <c r="B388" s="5"/>
      <c r="F388" s="5" t="s">
        <v>826</v>
      </c>
      <c r="G388" s="5" t="s">
        <v>827</v>
      </c>
      <c r="J388" s="5" t="s">
        <v>1838</v>
      </c>
      <c r="K388" s="5" t="s">
        <v>1839</v>
      </c>
    </row>
    <row r="389" spans="2:11">
      <c r="B389" s="5"/>
      <c r="F389" s="5" t="s">
        <v>828</v>
      </c>
      <c r="G389" s="5" t="s">
        <v>829</v>
      </c>
      <c r="J389" s="5" t="s">
        <v>1840</v>
      </c>
      <c r="K389" s="5" t="s">
        <v>1841</v>
      </c>
    </row>
    <row r="390" spans="2:11">
      <c r="B390" s="5"/>
      <c r="F390" s="5" t="s">
        <v>830</v>
      </c>
      <c r="G390" s="5" t="s">
        <v>831</v>
      </c>
      <c r="J390" s="5" t="s">
        <v>1842</v>
      </c>
      <c r="K390" s="5" t="s">
        <v>1843</v>
      </c>
    </row>
    <row r="391" spans="2:11">
      <c r="B391" s="5"/>
      <c r="F391" s="5" t="s">
        <v>832</v>
      </c>
      <c r="G391" s="5" t="s">
        <v>833</v>
      </c>
      <c r="J391" s="5" t="s">
        <v>1844</v>
      </c>
      <c r="K391" s="5" t="s">
        <v>1845</v>
      </c>
    </row>
    <row r="392" spans="2:11">
      <c r="B392" s="5"/>
      <c r="F392" s="5" t="s">
        <v>834</v>
      </c>
      <c r="G392" s="5" t="s">
        <v>835</v>
      </c>
      <c r="J392" s="5" t="s">
        <v>1846</v>
      </c>
      <c r="K392" s="5" t="s">
        <v>1847</v>
      </c>
    </row>
    <row r="393" spans="2:11">
      <c r="B393" s="5"/>
      <c r="F393" s="5" t="s">
        <v>836</v>
      </c>
      <c r="G393" s="5" t="s">
        <v>837</v>
      </c>
      <c r="J393" s="5" t="s">
        <v>1848</v>
      </c>
      <c r="K393" s="5" t="s">
        <v>1849</v>
      </c>
    </row>
    <row r="394" spans="2:11">
      <c r="B394" s="5"/>
      <c r="F394" s="5" t="s">
        <v>838</v>
      </c>
      <c r="G394" s="5" t="s">
        <v>839</v>
      </c>
      <c r="J394" s="5" t="s">
        <v>1850</v>
      </c>
      <c r="K394" s="5" t="s">
        <v>1851</v>
      </c>
    </row>
    <row r="395" spans="2:11">
      <c r="B395" s="5"/>
      <c r="F395" s="5" t="s">
        <v>840</v>
      </c>
      <c r="G395" s="5" t="s">
        <v>841</v>
      </c>
      <c r="J395" s="5" t="s">
        <v>1852</v>
      </c>
      <c r="K395" s="5" t="s">
        <v>1853</v>
      </c>
    </row>
    <row r="396" spans="2:11">
      <c r="B396" s="5"/>
      <c r="F396" s="5" t="s">
        <v>842</v>
      </c>
      <c r="G396" s="5" t="s">
        <v>843</v>
      </c>
      <c r="J396" s="5" t="s">
        <v>1854</v>
      </c>
      <c r="K396" s="5" t="s">
        <v>1855</v>
      </c>
    </row>
    <row r="397" spans="2:11">
      <c r="B397" s="5"/>
      <c r="F397" s="5" t="s">
        <v>844</v>
      </c>
      <c r="G397" s="5" t="s">
        <v>845</v>
      </c>
      <c r="J397" s="5" t="s">
        <v>1856</v>
      </c>
      <c r="K397" s="5" t="s">
        <v>1857</v>
      </c>
    </row>
    <row r="398" spans="2:11">
      <c r="B398" s="5"/>
      <c r="F398" s="5" t="s">
        <v>846</v>
      </c>
      <c r="G398" s="5" t="s">
        <v>847</v>
      </c>
      <c r="J398" s="5" t="s">
        <v>1858</v>
      </c>
      <c r="K398" s="5" t="s">
        <v>1859</v>
      </c>
    </row>
    <row r="399" spans="2:11">
      <c r="B399" s="5"/>
      <c r="F399" s="5" t="s">
        <v>848</v>
      </c>
      <c r="G399" s="5" t="s">
        <v>849</v>
      </c>
      <c r="J399" s="5" t="s">
        <v>1860</v>
      </c>
      <c r="K399" s="5" t="s">
        <v>1861</v>
      </c>
    </row>
    <row r="400" spans="2:11">
      <c r="B400" s="5"/>
      <c r="F400" s="5" t="s">
        <v>850</v>
      </c>
      <c r="G400" s="5" t="s">
        <v>851</v>
      </c>
      <c r="J400" s="5" t="s">
        <v>1862</v>
      </c>
      <c r="K400" s="5" t="s">
        <v>1863</v>
      </c>
    </row>
    <row r="401" spans="2:11">
      <c r="B401" s="5"/>
      <c r="F401" s="5" t="s">
        <v>852</v>
      </c>
      <c r="G401" s="5" t="s">
        <v>853</v>
      </c>
      <c r="J401" s="5" t="s">
        <v>1864</v>
      </c>
      <c r="K401" s="5" t="s">
        <v>1865</v>
      </c>
    </row>
    <row r="402" spans="2:11">
      <c r="B402" s="5"/>
      <c r="F402" s="5" t="s">
        <v>854</v>
      </c>
      <c r="G402" s="5" t="s">
        <v>855</v>
      </c>
      <c r="J402" s="5" t="s">
        <v>1866</v>
      </c>
      <c r="K402" s="5" t="s">
        <v>1867</v>
      </c>
    </row>
    <row r="403" spans="2:11">
      <c r="B403" s="5"/>
      <c r="F403" s="5" t="s">
        <v>856</v>
      </c>
      <c r="G403" s="5" t="s">
        <v>857</v>
      </c>
      <c r="J403" s="5" t="s">
        <v>1868</v>
      </c>
      <c r="K403" s="5" t="s">
        <v>1869</v>
      </c>
    </row>
    <row r="404" spans="2:11">
      <c r="B404" s="5"/>
      <c r="F404" s="5" t="s">
        <v>858</v>
      </c>
      <c r="G404" s="5" t="s">
        <v>859</v>
      </c>
      <c r="J404" s="5" t="s">
        <v>1870</v>
      </c>
      <c r="K404" s="5" t="s">
        <v>1871</v>
      </c>
    </row>
    <row r="405" spans="2:11">
      <c r="B405" s="5"/>
      <c r="F405" s="5" t="s">
        <v>860</v>
      </c>
      <c r="G405" s="5" t="s">
        <v>861</v>
      </c>
      <c r="J405" s="5" t="s">
        <v>1872</v>
      </c>
      <c r="K405" s="5" t="s">
        <v>1873</v>
      </c>
    </row>
    <row r="406" spans="2:11">
      <c r="B406" s="5"/>
      <c r="F406" s="5" t="s">
        <v>862</v>
      </c>
      <c r="G406" s="5" t="s">
        <v>863</v>
      </c>
      <c r="J406" s="5" t="s">
        <v>1874</v>
      </c>
      <c r="K406" s="5" t="s">
        <v>1875</v>
      </c>
    </row>
    <row r="407" spans="2:11">
      <c r="B407" s="5"/>
      <c r="F407" s="5" t="s">
        <v>864</v>
      </c>
      <c r="G407" s="5" t="s">
        <v>865</v>
      </c>
      <c r="J407" s="5" t="s">
        <v>1876</v>
      </c>
      <c r="K407" s="5" t="s">
        <v>1877</v>
      </c>
    </row>
    <row r="408" spans="2:11">
      <c r="B408" s="5"/>
      <c r="F408" s="5" t="s">
        <v>866</v>
      </c>
      <c r="G408" s="5" t="s">
        <v>867</v>
      </c>
      <c r="J408" s="5" t="s">
        <v>1878</v>
      </c>
      <c r="K408" s="5" t="s">
        <v>1879</v>
      </c>
    </row>
    <row r="409" spans="2:11">
      <c r="B409" s="5"/>
      <c r="F409" s="5" t="s">
        <v>868</v>
      </c>
      <c r="G409" s="5" t="s">
        <v>869</v>
      </c>
      <c r="J409" s="5" t="s">
        <v>1880</v>
      </c>
      <c r="K409" s="5" t="s">
        <v>1881</v>
      </c>
    </row>
    <row r="410" spans="2:11">
      <c r="B410" s="5"/>
      <c r="F410" s="5" t="s">
        <v>870</v>
      </c>
      <c r="G410" s="5" t="s">
        <v>871</v>
      </c>
      <c r="J410" s="5" t="s">
        <v>1882</v>
      </c>
      <c r="K410" s="5" t="s">
        <v>1883</v>
      </c>
    </row>
    <row r="411" spans="2:11">
      <c r="B411" s="5"/>
      <c r="F411" s="5" t="s">
        <v>872</v>
      </c>
      <c r="G411" s="5" t="s">
        <v>873</v>
      </c>
      <c r="J411" s="5" t="s">
        <v>1884</v>
      </c>
      <c r="K411" s="5" t="s">
        <v>1885</v>
      </c>
    </row>
    <row r="412" spans="2:11">
      <c r="B412" s="5"/>
      <c r="F412" s="5" t="s">
        <v>874</v>
      </c>
      <c r="G412" s="5" t="s">
        <v>875</v>
      </c>
      <c r="J412" s="5" t="s">
        <v>1886</v>
      </c>
      <c r="K412" s="5" t="s">
        <v>1887</v>
      </c>
    </row>
    <row r="413" spans="2:11">
      <c r="B413" s="5"/>
      <c r="F413" s="5" t="s">
        <v>876</v>
      </c>
      <c r="G413" s="5" t="s">
        <v>877</v>
      </c>
      <c r="J413" s="5" t="s">
        <v>1888</v>
      </c>
      <c r="K413" s="5" t="s">
        <v>1889</v>
      </c>
    </row>
    <row r="414" spans="2:11">
      <c r="B414" s="5"/>
      <c r="F414" s="5" t="s">
        <v>878</v>
      </c>
      <c r="G414" s="5" t="s">
        <v>879</v>
      </c>
      <c r="J414" s="5" t="s">
        <v>1890</v>
      </c>
      <c r="K414" s="5" t="s">
        <v>1891</v>
      </c>
    </row>
    <row r="415" spans="2:11">
      <c r="B415" s="5"/>
      <c r="F415" s="5" t="s">
        <v>880</v>
      </c>
      <c r="G415" s="5" t="s">
        <v>881</v>
      </c>
      <c r="J415" s="5" t="s">
        <v>1892</v>
      </c>
      <c r="K415" s="5" t="s">
        <v>1893</v>
      </c>
    </row>
    <row r="416" spans="2:11">
      <c r="B416" s="5"/>
      <c r="F416" s="5" t="s">
        <v>882</v>
      </c>
      <c r="G416" s="5" t="s">
        <v>883</v>
      </c>
      <c r="J416" s="5" t="s">
        <v>1894</v>
      </c>
      <c r="K416" s="5" t="s">
        <v>1895</v>
      </c>
    </row>
    <row r="417" spans="2:11">
      <c r="B417" s="5"/>
      <c r="F417" s="5" t="s">
        <v>884</v>
      </c>
      <c r="G417" s="5" t="s">
        <v>885</v>
      </c>
      <c r="J417" s="5" t="s">
        <v>1896</v>
      </c>
      <c r="K417" s="5" t="s">
        <v>1897</v>
      </c>
    </row>
    <row r="418" spans="2:11">
      <c r="B418" s="5"/>
      <c r="F418" s="5" t="s">
        <v>886</v>
      </c>
      <c r="G418" s="5" t="s">
        <v>887</v>
      </c>
      <c r="J418" s="5" t="s">
        <v>1898</v>
      </c>
      <c r="K418" s="5" t="s">
        <v>1899</v>
      </c>
    </row>
    <row r="419" spans="2:11">
      <c r="B419" s="5"/>
      <c r="F419" s="5" t="s">
        <v>888</v>
      </c>
      <c r="G419" s="5" t="s">
        <v>889</v>
      </c>
      <c r="J419" s="5" t="s">
        <v>1900</v>
      </c>
      <c r="K419" s="5" t="s">
        <v>1901</v>
      </c>
    </row>
    <row r="420" spans="2:11">
      <c r="B420" s="5"/>
      <c r="F420" s="5" t="s">
        <v>890</v>
      </c>
      <c r="G420" s="5" t="s">
        <v>891</v>
      </c>
      <c r="J420" s="5" t="s">
        <v>1902</v>
      </c>
      <c r="K420" s="5" t="s">
        <v>1903</v>
      </c>
    </row>
    <row r="421" spans="2:11">
      <c r="B421" s="5"/>
      <c r="F421" s="5" t="s">
        <v>892</v>
      </c>
      <c r="G421" s="5" t="s">
        <v>893</v>
      </c>
      <c r="J421" s="5" t="s">
        <v>1904</v>
      </c>
      <c r="K421" s="5" t="s">
        <v>1905</v>
      </c>
    </row>
    <row r="422" spans="2:11">
      <c r="B422" s="5"/>
      <c r="F422" s="5" t="s">
        <v>894</v>
      </c>
      <c r="G422" s="5" t="s">
        <v>895</v>
      </c>
      <c r="J422" s="5" t="s">
        <v>1906</v>
      </c>
      <c r="K422" s="5" t="s">
        <v>1907</v>
      </c>
    </row>
    <row r="423" spans="2:11">
      <c r="B423" s="5"/>
      <c r="F423" s="5" t="s">
        <v>896</v>
      </c>
      <c r="G423" s="5" t="s">
        <v>897</v>
      </c>
      <c r="J423" s="5" t="s">
        <v>1908</v>
      </c>
      <c r="K423" s="5" t="s">
        <v>1909</v>
      </c>
    </row>
    <row r="424" spans="2:11">
      <c r="B424" s="5"/>
      <c r="F424" s="5" t="s">
        <v>898</v>
      </c>
      <c r="G424" s="5" t="s">
        <v>899</v>
      </c>
      <c r="J424" s="5" t="s">
        <v>1910</v>
      </c>
      <c r="K424" s="5" t="s">
        <v>1911</v>
      </c>
    </row>
    <row r="425" spans="2:11">
      <c r="B425" s="5"/>
      <c r="F425" s="5" t="s">
        <v>900</v>
      </c>
      <c r="G425" s="5" t="s">
        <v>901</v>
      </c>
      <c r="J425" s="5" t="s">
        <v>1912</v>
      </c>
      <c r="K425" s="5" t="s">
        <v>1913</v>
      </c>
    </row>
    <row r="426" spans="2:11">
      <c r="B426" s="5"/>
      <c r="F426" s="5" t="s">
        <v>902</v>
      </c>
      <c r="G426" s="5" t="s">
        <v>903</v>
      </c>
      <c r="J426" s="5" t="s">
        <v>1914</v>
      </c>
      <c r="K426" s="5" t="s">
        <v>1915</v>
      </c>
    </row>
    <row r="427" spans="2:11">
      <c r="B427" s="5"/>
      <c r="F427" s="5" t="s">
        <v>904</v>
      </c>
      <c r="G427" s="5" t="s">
        <v>905</v>
      </c>
      <c r="J427" s="5" t="s">
        <v>1916</v>
      </c>
      <c r="K427" s="5" t="s">
        <v>1917</v>
      </c>
    </row>
    <row r="428" spans="2:11">
      <c r="B428" s="5"/>
      <c r="F428" s="5" t="s">
        <v>906</v>
      </c>
      <c r="G428" s="5" t="s">
        <v>907</v>
      </c>
      <c r="J428" s="5" t="s">
        <v>1918</v>
      </c>
      <c r="K428" s="5" t="s">
        <v>1919</v>
      </c>
    </row>
    <row r="429" spans="2:11">
      <c r="B429" s="5"/>
      <c r="F429" s="5" t="s">
        <v>908</v>
      </c>
      <c r="G429" s="5" t="s">
        <v>909</v>
      </c>
      <c r="J429" s="5" t="s">
        <v>1920</v>
      </c>
      <c r="K429" s="5" t="s">
        <v>1921</v>
      </c>
    </row>
    <row r="430" spans="2:11">
      <c r="B430" s="5"/>
      <c r="F430" s="5" t="s">
        <v>910</v>
      </c>
      <c r="G430" s="5" t="s">
        <v>911</v>
      </c>
      <c r="J430" s="5" t="s">
        <v>1922</v>
      </c>
      <c r="K430" s="5" t="s">
        <v>1923</v>
      </c>
    </row>
    <row r="431" spans="2:11">
      <c r="B431" s="5"/>
      <c r="F431" s="5" t="s">
        <v>912</v>
      </c>
      <c r="G431" s="5" t="s">
        <v>913</v>
      </c>
      <c r="J431" s="5" t="s">
        <v>1924</v>
      </c>
      <c r="K431" s="5" t="s">
        <v>1925</v>
      </c>
    </row>
    <row r="432" spans="2:11">
      <c r="B432" s="5"/>
      <c r="F432" s="5" t="s">
        <v>914</v>
      </c>
      <c r="G432" s="5" t="s">
        <v>915</v>
      </c>
      <c r="J432" s="5" t="s">
        <v>1926</v>
      </c>
      <c r="K432" s="5" t="s">
        <v>1927</v>
      </c>
    </row>
    <row r="433" spans="2:11">
      <c r="B433" s="5"/>
      <c r="F433" s="5" t="s">
        <v>916</v>
      </c>
      <c r="G433" s="5" t="s">
        <v>917</v>
      </c>
      <c r="J433" s="5" t="s">
        <v>1928</v>
      </c>
      <c r="K433" s="5" t="s">
        <v>1929</v>
      </c>
    </row>
    <row r="434" spans="2:11">
      <c r="B434" s="5"/>
      <c r="F434" s="5" t="s">
        <v>918</v>
      </c>
      <c r="G434" s="5" t="s">
        <v>919</v>
      </c>
      <c r="J434" s="5" t="s">
        <v>1930</v>
      </c>
      <c r="K434" s="5" t="s">
        <v>1931</v>
      </c>
    </row>
    <row r="435" spans="2:11">
      <c r="B435" s="5"/>
      <c r="F435" s="5" t="s">
        <v>920</v>
      </c>
      <c r="G435" s="5" t="s">
        <v>921</v>
      </c>
      <c r="J435" s="5" t="s">
        <v>1932</v>
      </c>
      <c r="K435" s="5" t="s">
        <v>1933</v>
      </c>
    </row>
    <row r="436" spans="2:11">
      <c r="B436" s="5"/>
      <c r="F436" s="5" t="s">
        <v>922</v>
      </c>
      <c r="G436" s="5" t="s">
        <v>923</v>
      </c>
      <c r="J436" s="5" t="s">
        <v>1934</v>
      </c>
      <c r="K436" s="5" t="s">
        <v>1935</v>
      </c>
    </row>
    <row r="437" spans="2:11">
      <c r="B437" s="5"/>
      <c r="F437" s="5" t="s">
        <v>924</v>
      </c>
      <c r="G437" s="5" t="s">
        <v>925</v>
      </c>
      <c r="J437" s="5" t="s">
        <v>1936</v>
      </c>
      <c r="K437" s="5" t="s">
        <v>1937</v>
      </c>
    </row>
    <row r="438" spans="2:11">
      <c r="B438" s="5"/>
      <c r="F438" s="5" t="s">
        <v>926</v>
      </c>
      <c r="G438" s="5" t="s">
        <v>927</v>
      </c>
      <c r="J438" s="5" t="s">
        <v>1938</v>
      </c>
      <c r="K438" s="5" t="s">
        <v>1939</v>
      </c>
    </row>
    <row r="439" spans="2:11">
      <c r="B439" s="5"/>
      <c r="F439" s="5" t="s">
        <v>928</v>
      </c>
      <c r="G439" s="5" t="s">
        <v>929</v>
      </c>
      <c r="J439" s="5" t="s">
        <v>1940</v>
      </c>
      <c r="K439" s="5" t="s">
        <v>1941</v>
      </c>
    </row>
    <row r="440" spans="2:11">
      <c r="B440" s="5"/>
      <c r="F440" s="5" t="s">
        <v>930</v>
      </c>
      <c r="G440" s="5" t="s">
        <v>931</v>
      </c>
      <c r="J440" s="5" t="s">
        <v>1942</v>
      </c>
      <c r="K440" s="5" t="s">
        <v>1943</v>
      </c>
    </row>
    <row r="441" spans="2:11">
      <c r="B441" s="5"/>
      <c r="F441" s="5" t="s">
        <v>932</v>
      </c>
      <c r="G441" s="5" t="s">
        <v>933</v>
      </c>
      <c r="J441" s="5" t="s">
        <v>1944</v>
      </c>
      <c r="K441" s="5" t="s">
        <v>1945</v>
      </c>
    </row>
    <row r="442" spans="2:11">
      <c r="B442" s="5"/>
      <c r="F442" s="5" t="s">
        <v>934</v>
      </c>
      <c r="G442" s="5" t="s">
        <v>935</v>
      </c>
      <c r="J442" s="5" t="s">
        <v>1946</v>
      </c>
      <c r="K442" s="5" t="s">
        <v>1947</v>
      </c>
    </row>
    <row r="443" spans="2:11">
      <c r="B443" s="5"/>
      <c r="F443" s="5" t="s">
        <v>936</v>
      </c>
      <c r="G443" s="5" t="s">
        <v>937</v>
      </c>
      <c r="J443" s="5" t="s">
        <v>1948</v>
      </c>
      <c r="K443" s="5" t="s">
        <v>1949</v>
      </c>
    </row>
    <row r="444" spans="2:11">
      <c r="B444" s="5"/>
      <c r="F444" s="5" t="s">
        <v>938</v>
      </c>
      <c r="G444" s="5" t="s">
        <v>939</v>
      </c>
      <c r="J444" s="5" t="s">
        <v>1950</v>
      </c>
      <c r="K444" s="5" t="s">
        <v>1951</v>
      </c>
    </row>
    <row r="445" spans="2:11">
      <c r="B445" s="5"/>
      <c r="F445" s="5" t="s">
        <v>940</v>
      </c>
      <c r="G445" s="5" t="s">
        <v>941</v>
      </c>
      <c r="J445" s="5" t="s">
        <v>1952</v>
      </c>
      <c r="K445" s="5" t="s">
        <v>1953</v>
      </c>
    </row>
    <row r="446" spans="2:11">
      <c r="B446" s="5"/>
      <c r="F446" s="5" t="s">
        <v>942</v>
      </c>
      <c r="G446" s="5" t="s">
        <v>943</v>
      </c>
      <c r="J446" s="5" t="s">
        <v>1954</v>
      </c>
      <c r="K446" s="5" t="s">
        <v>1955</v>
      </c>
    </row>
    <row r="447" spans="2:11">
      <c r="B447" s="5"/>
      <c r="F447" s="5" t="s">
        <v>944</v>
      </c>
      <c r="G447" s="5" t="s">
        <v>945</v>
      </c>
      <c r="J447" s="5" t="s">
        <v>1956</v>
      </c>
      <c r="K447" s="5" t="s">
        <v>1957</v>
      </c>
    </row>
    <row r="448" spans="2:11">
      <c r="B448" s="5"/>
      <c r="F448" s="5" t="s">
        <v>946</v>
      </c>
      <c r="G448" s="5" t="s">
        <v>947</v>
      </c>
      <c r="J448" s="5" t="s">
        <v>1958</v>
      </c>
      <c r="K448" s="5" t="s">
        <v>1959</v>
      </c>
    </row>
    <row r="449" spans="2:11">
      <c r="B449" s="5"/>
      <c r="F449" s="5" t="s">
        <v>948</v>
      </c>
      <c r="G449" s="5" t="s">
        <v>949</v>
      </c>
      <c r="J449" s="5" t="s">
        <v>1960</v>
      </c>
      <c r="K449" s="5" t="s">
        <v>1961</v>
      </c>
    </row>
    <row r="450" spans="2:11">
      <c r="B450" s="5"/>
      <c r="F450" s="5" t="s">
        <v>950</v>
      </c>
      <c r="G450" s="5" t="s">
        <v>951</v>
      </c>
      <c r="J450" s="5" t="s">
        <v>1962</v>
      </c>
      <c r="K450" s="5" t="s">
        <v>1963</v>
      </c>
    </row>
    <row r="451" spans="2:11">
      <c r="B451" s="5"/>
      <c r="F451" s="5" t="s">
        <v>952</v>
      </c>
      <c r="G451" s="5" t="s">
        <v>953</v>
      </c>
      <c r="J451" s="5" t="s">
        <v>1964</v>
      </c>
      <c r="K451" s="5" t="s">
        <v>1965</v>
      </c>
    </row>
    <row r="452" spans="2:11">
      <c r="B452" s="5"/>
      <c r="F452" s="5" t="s">
        <v>954</v>
      </c>
      <c r="G452" s="5" t="s">
        <v>955</v>
      </c>
      <c r="J452" s="5" t="s">
        <v>1966</v>
      </c>
      <c r="K452" s="5" t="s">
        <v>1967</v>
      </c>
    </row>
    <row r="453" spans="2:11">
      <c r="B453" s="5"/>
      <c r="F453" s="5" t="s">
        <v>956</v>
      </c>
      <c r="G453" s="5" t="s">
        <v>957</v>
      </c>
      <c r="J453" s="5" t="s">
        <v>1968</v>
      </c>
      <c r="K453" s="5" t="s">
        <v>1969</v>
      </c>
    </row>
    <row r="454" spans="2:11">
      <c r="B454" s="5"/>
      <c r="F454" s="5" t="s">
        <v>958</v>
      </c>
      <c r="G454" s="5" t="s">
        <v>959</v>
      </c>
      <c r="J454" s="5" t="s">
        <v>1970</v>
      </c>
      <c r="K454" s="5" t="s">
        <v>1971</v>
      </c>
    </row>
    <row r="455" spans="2:11">
      <c r="B455" s="5"/>
      <c r="F455" s="5" t="s">
        <v>960</v>
      </c>
      <c r="G455" s="5" t="s">
        <v>961</v>
      </c>
      <c r="J455" s="5" t="s">
        <v>1972</v>
      </c>
      <c r="K455" s="5" t="s">
        <v>1973</v>
      </c>
    </row>
    <row r="456" spans="2:11">
      <c r="B456" s="5"/>
      <c r="F456" s="5" t="s">
        <v>962</v>
      </c>
      <c r="G456" s="5" t="s">
        <v>963</v>
      </c>
      <c r="J456" s="5" t="s">
        <v>1974</v>
      </c>
      <c r="K456" s="5" t="s">
        <v>1975</v>
      </c>
    </row>
    <row r="457" spans="2:11">
      <c r="B457" s="5"/>
      <c r="F457" s="5" t="s">
        <v>964</v>
      </c>
      <c r="G457" s="5" t="s">
        <v>965</v>
      </c>
      <c r="J457" s="5" t="s">
        <v>1976</v>
      </c>
      <c r="K457" s="5" t="s">
        <v>1977</v>
      </c>
    </row>
    <row r="458" spans="2:11">
      <c r="B458" s="5"/>
      <c r="F458" s="5" t="s">
        <v>966</v>
      </c>
      <c r="G458" s="5" t="s">
        <v>967</v>
      </c>
      <c r="J458" s="5" t="s">
        <v>1978</v>
      </c>
      <c r="K458" s="5" t="s">
        <v>1979</v>
      </c>
    </row>
    <row r="459" spans="2:11">
      <c r="B459" s="5"/>
      <c r="F459" s="5" t="s">
        <v>968</v>
      </c>
      <c r="G459" s="5" t="s">
        <v>969</v>
      </c>
      <c r="J459" s="5" t="s">
        <v>1980</v>
      </c>
      <c r="K459" s="5" t="s">
        <v>1981</v>
      </c>
    </row>
    <row r="460" spans="2:11">
      <c r="B460" s="5"/>
      <c r="F460" s="5" t="s">
        <v>970</v>
      </c>
      <c r="G460" s="5" t="s">
        <v>971</v>
      </c>
      <c r="J460" s="5" t="s">
        <v>1982</v>
      </c>
      <c r="K460" s="5" t="s">
        <v>1983</v>
      </c>
    </row>
    <row r="461" spans="2:11">
      <c r="B461" s="5"/>
      <c r="F461" s="5" t="s">
        <v>972</v>
      </c>
      <c r="G461" s="5" t="s">
        <v>973</v>
      </c>
      <c r="J461" s="5" t="s">
        <v>1984</v>
      </c>
      <c r="K461" s="5" t="s">
        <v>1985</v>
      </c>
    </row>
    <row r="462" spans="2:11">
      <c r="B462" s="5"/>
      <c r="F462" s="5" t="s">
        <v>974</v>
      </c>
      <c r="G462" s="5" t="s">
        <v>975</v>
      </c>
      <c r="J462" s="5" t="s">
        <v>1986</v>
      </c>
      <c r="K462" s="5" t="s">
        <v>1987</v>
      </c>
    </row>
    <row r="463" spans="2:11">
      <c r="B463" s="5"/>
      <c r="F463" s="5" t="s">
        <v>976</v>
      </c>
      <c r="G463" s="5" t="s">
        <v>977</v>
      </c>
      <c r="J463" s="5" t="s">
        <v>1988</v>
      </c>
      <c r="K463" s="5" t="s">
        <v>1989</v>
      </c>
    </row>
    <row r="464" spans="2:11">
      <c r="B464" s="5"/>
      <c r="F464" s="5" t="s">
        <v>978</v>
      </c>
      <c r="G464" s="5" t="s">
        <v>979</v>
      </c>
      <c r="J464" s="5" t="s">
        <v>1990</v>
      </c>
      <c r="K464" s="5" t="s">
        <v>1991</v>
      </c>
    </row>
    <row r="465" spans="2:11">
      <c r="B465" s="5"/>
      <c r="F465" s="5" t="s">
        <v>980</v>
      </c>
      <c r="G465" s="5" t="s">
        <v>981</v>
      </c>
      <c r="J465" s="5" t="s">
        <v>1992</v>
      </c>
      <c r="K465" s="5" t="s">
        <v>1993</v>
      </c>
    </row>
    <row r="466" spans="2:11">
      <c r="B466" s="5"/>
      <c r="F466" s="5" t="s">
        <v>982</v>
      </c>
      <c r="G466" s="5" t="s">
        <v>983</v>
      </c>
      <c r="J466" s="5" t="s">
        <v>1994</v>
      </c>
      <c r="K466" s="5" t="s">
        <v>1995</v>
      </c>
    </row>
    <row r="467" spans="2:11">
      <c r="B467" s="5"/>
      <c r="F467" s="5" t="s">
        <v>984</v>
      </c>
      <c r="G467" s="5" t="s">
        <v>985</v>
      </c>
      <c r="J467" s="5" t="s">
        <v>1996</v>
      </c>
      <c r="K467" s="5" t="s">
        <v>1997</v>
      </c>
    </row>
    <row r="468" spans="2:11">
      <c r="B468" s="5"/>
      <c r="F468" s="5" t="s">
        <v>986</v>
      </c>
      <c r="G468" s="5" t="s">
        <v>987</v>
      </c>
      <c r="J468" s="5" t="s">
        <v>1998</v>
      </c>
      <c r="K468" s="5" t="s">
        <v>1999</v>
      </c>
    </row>
    <row r="469" spans="2:11">
      <c r="B469" s="5"/>
      <c r="F469" s="5" t="s">
        <v>988</v>
      </c>
      <c r="G469" s="5" t="s">
        <v>989</v>
      </c>
      <c r="J469" s="5" t="s">
        <v>2000</v>
      </c>
      <c r="K469" s="5" t="s">
        <v>2001</v>
      </c>
    </row>
    <row r="470" spans="2:11">
      <c r="B470" s="5"/>
      <c r="F470" s="5" t="s">
        <v>990</v>
      </c>
      <c r="G470" s="5" t="s">
        <v>991</v>
      </c>
      <c r="J470" s="5" t="s">
        <v>2002</v>
      </c>
      <c r="K470" s="5" t="s">
        <v>2003</v>
      </c>
    </row>
    <row r="471" spans="2:11">
      <c r="B471" s="5"/>
      <c r="F471" s="5" t="s">
        <v>992</v>
      </c>
      <c r="G471" s="5" t="s">
        <v>993</v>
      </c>
      <c r="J471" s="5" t="s">
        <v>2004</v>
      </c>
      <c r="K471" s="5" t="s">
        <v>2005</v>
      </c>
    </row>
    <row r="472" spans="2:11">
      <c r="B472" s="5"/>
      <c r="F472" s="5" t="s">
        <v>994</v>
      </c>
      <c r="G472" s="5" t="s">
        <v>995</v>
      </c>
      <c r="J472" s="5" t="s">
        <v>2006</v>
      </c>
      <c r="K472" s="5" t="s">
        <v>2007</v>
      </c>
    </row>
    <row r="473" spans="2:11">
      <c r="B473" s="5"/>
      <c r="F473" s="5" t="s">
        <v>996</v>
      </c>
      <c r="G473" s="5" t="s">
        <v>997</v>
      </c>
      <c r="J473" s="5" t="s">
        <v>2008</v>
      </c>
      <c r="K473" s="5" t="s">
        <v>2009</v>
      </c>
    </row>
    <row r="474" spans="2:11">
      <c r="B474" s="5"/>
      <c r="F474" s="5" t="s">
        <v>998</v>
      </c>
      <c r="G474" s="5" t="s">
        <v>999</v>
      </c>
      <c r="J474" s="5" t="s">
        <v>2010</v>
      </c>
      <c r="K474" s="5" t="s">
        <v>2011</v>
      </c>
    </row>
    <row r="475" spans="2:11">
      <c r="B475" s="5"/>
      <c r="F475" s="5" t="s">
        <v>1000</v>
      </c>
      <c r="G475" s="5" t="s">
        <v>1001</v>
      </c>
      <c r="J475" s="5" t="s">
        <v>2012</v>
      </c>
      <c r="K475" s="5" t="s">
        <v>2013</v>
      </c>
    </row>
    <row r="476" spans="2:11">
      <c r="B476" s="5"/>
      <c r="F476" s="5" t="s">
        <v>1002</v>
      </c>
      <c r="G476" s="5" t="s">
        <v>1003</v>
      </c>
      <c r="J476" s="5" t="s">
        <v>2014</v>
      </c>
      <c r="K476" s="5" t="s">
        <v>2015</v>
      </c>
    </row>
    <row r="477" spans="2:11">
      <c r="B477" s="5"/>
      <c r="F477" s="5" t="s">
        <v>1004</v>
      </c>
      <c r="G477" s="5" t="s">
        <v>1005</v>
      </c>
      <c r="J477" s="5" t="s">
        <v>2016</v>
      </c>
      <c r="K477" s="5" t="s">
        <v>2017</v>
      </c>
    </row>
    <row r="478" spans="2:11">
      <c r="B478" s="5"/>
      <c r="F478" s="5" t="s">
        <v>1006</v>
      </c>
      <c r="G478" s="5" t="s">
        <v>1007</v>
      </c>
      <c r="J478" s="5" t="s">
        <v>2018</v>
      </c>
      <c r="K478" s="5" t="s">
        <v>2019</v>
      </c>
    </row>
    <row r="479" spans="2:11">
      <c r="B479" s="5"/>
      <c r="F479" s="5" t="s">
        <v>1008</v>
      </c>
      <c r="G479" s="5" t="s">
        <v>1009</v>
      </c>
      <c r="J479" s="5" t="s">
        <v>2020</v>
      </c>
      <c r="K479" s="5" t="s">
        <v>2021</v>
      </c>
    </row>
    <row r="480" spans="2:11">
      <c r="B480" s="5"/>
      <c r="F480" s="5" t="s">
        <v>1010</v>
      </c>
      <c r="G480" s="5" t="s">
        <v>1011</v>
      </c>
      <c r="J480" s="5" t="s">
        <v>2022</v>
      </c>
      <c r="K480" s="5" t="s">
        <v>2023</v>
      </c>
    </row>
    <row r="481" spans="2:11">
      <c r="B481" s="5"/>
      <c r="F481" s="5" t="s">
        <v>1012</v>
      </c>
      <c r="G481" s="5" t="s">
        <v>1013</v>
      </c>
      <c r="J481" s="5" t="s">
        <v>2024</v>
      </c>
      <c r="K481" s="5" t="s">
        <v>2025</v>
      </c>
    </row>
    <row r="482" spans="2:11">
      <c r="B482" s="5"/>
      <c r="F482" s="5" t="s">
        <v>1014</v>
      </c>
      <c r="G482" s="5" t="s">
        <v>1015</v>
      </c>
      <c r="J482" s="5" t="s">
        <v>2026</v>
      </c>
      <c r="K482" s="5" t="s">
        <v>2027</v>
      </c>
    </row>
    <row r="483" spans="2:11">
      <c r="B483" s="5"/>
      <c r="F483" s="5" t="s">
        <v>1016</v>
      </c>
      <c r="G483" s="5" t="s">
        <v>1017</v>
      </c>
      <c r="J483" s="5" t="s">
        <v>2028</v>
      </c>
      <c r="K483" s="5" t="s">
        <v>2029</v>
      </c>
    </row>
    <row r="484" spans="2:11">
      <c r="B484" s="5"/>
      <c r="F484" s="5" t="s">
        <v>1018</v>
      </c>
      <c r="G484" s="5" t="s">
        <v>1019</v>
      </c>
      <c r="J484" s="5" t="s">
        <v>2030</v>
      </c>
      <c r="K484" s="5" t="s">
        <v>2031</v>
      </c>
    </row>
    <row r="485" spans="2:11">
      <c r="B485" s="5"/>
      <c r="F485" s="5" t="s">
        <v>1020</v>
      </c>
      <c r="G485" s="5" t="s">
        <v>1021</v>
      </c>
      <c r="J485" s="5" t="s">
        <v>2032</v>
      </c>
      <c r="K485" s="5" t="s">
        <v>2033</v>
      </c>
    </row>
    <row r="486" spans="2:11">
      <c r="B486" s="5"/>
      <c r="F486" s="5" t="s">
        <v>1022</v>
      </c>
      <c r="G486" s="5" t="s">
        <v>1023</v>
      </c>
      <c r="J486" s="5" t="s">
        <v>2034</v>
      </c>
      <c r="K486" s="5" t="s">
        <v>2035</v>
      </c>
    </row>
    <row r="487" spans="2:11">
      <c r="B487" s="5"/>
      <c r="F487" s="5" t="s">
        <v>1024</v>
      </c>
      <c r="G487" s="5" t="s">
        <v>1025</v>
      </c>
      <c r="J487" s="5" t="s">
        <v>2036</v>
      </c>
      <c r="K487" s="5" t="s">
        <v>2037</v>
      </c>
    </row>
    <row r="488" spans="2:11">
      <c r="B488" s="5"/>
      <c r="F488" s="5" t="s">
        <v>1026</v>
      </c>
      <c r="G488" s="5" t="s">
        <v>1027</v>
      </c>
      <c r="J488" s="5" t="s">
        <v>2038</v>
      </c>
      <c r="K488" s="5" t="s">
        <v>2039</v>
      </c>
    </row>
    <row r="489" spans="2:11">
      <c r="B489" s="5"/>
      <c r="F489" s="5" t="s">
        <v>1028</v>
      </c>
      <c r="G489" s="5" t="s">
        <v>1029</v>
      </c>
      <c r="J489" s="5" t="s">
        <v>2040</v>
      </c>
      <c r="K489" s="5" t="s">
        <v>2041</v>
      </c>
    </row>
    <row r="490" spans="2:11">
      <c r="B490" s="5"/>
      <c r="F490" s="5" t="s">
        <v>1030</v>
      </c>
      <c r="G490" s="5" t="s">
        <v>1031</v>
      </c>
      <c r="J490" s="5" t="s">
        <v>2042</v>
      </c>
      <c r="K490" s="5" t="s">
        <v>2043</v>
      </c>
    </row>
    <row r="491" spans="2:11">
      <c r="B491" s="5"/>
      <c r="F491" s="5" t="s">
        <v>1032</v>
      </c>
      <c r="G491" s="5" t="s">
        <v>1033</v>
      </c>
      <c r="J491" s="5" t="s">
        <v>2044</v>
      </c>
      <c r="K491" s="5" t="s">
        <v>2045</v>
      </c>
    </row>
    <row r="492" spans="2:11">
      <c r="B492" s="5"/>
      <c r="F492" s="5" t="s">
        <v>1034</v>
      </c>
      <c r="G492" s="5" t="s">
        <v>1035</v>
      </c>
      <c r="J492" s="5" t="s">
        <v>2046</v>
      </c>
      <c r="K492" s="5" t="s">
        <v>2047</v>
      </c>
    </row>
    <row r="493" spans="2:11">
      <c r="B493" s="5"/>
      <c r="F493" s="5" t="s">
        <v>1036</v>
      </c>
      <c r="G493" s="5" t="s">
        <v>1037</v>
      </c>
      <c r="J493" s="5" t="s">
        <v>2048</v>
      </c>
      <c r="K493" s="5" t="s">
        <v>2049</v>
      </c>
    </row>
    <row r="494" spans="2:11">
      <c r="B494" s="5"/>
      <c r="F494" s="5" t="s">
        <v>1038</v>
      </c>
      <c r="G494" s="5" t="s">
        <v>1039</v>
      </c>
      <c r="J494" s="5" t="s">
        <v>2050</v>
      </c>
      <c r="K494" s="5" t="s">
        <v>2051</v>
      </c>
    </row>
    <row r="495" spans="2:11">
      <c r="B495" s="5"/>
      <c r="F495" s="5" t="s">
        <v>1040</v>
      </c>
      <c r="G495" s="5" t="s">
        <v>1041</v>
      </c>
      <c r="J495" s="5" t="s">
        <v>2052</v>
      </c>
      <c r="K495" s="5" t="s">
        <v>2053</v>
      </c>
    </row>
    <row r="496" spans="2:11">
      <c r="B496" s="5"/>
      <c r="F496" s="5" t="s">
        <v>1042</v>
      </c>
      <c r="G496" s="5" t="s">
        <v>1043</v>
      </c>
      <c r="J496" s="5" t="s">
        <v>2054</v>
      </c>
      <c r="K496" s="5" t="s">
        <v>2055</v>
      </c>
    </row>
    <row r="497" spans="2:11">
      <c r="B497" s="5"/>
      <c r="F497" s="5" t="s">
        <v>1044</v>
      </c>
      <c r="G497" s="5" t="s">
        <v>1045</v>
      </c>
      <c r="J497" s="5" t="s">
        <v>2056</v>
      </c>
      <c r="K497" s="5" t="s">
        <v>2057</v>
      </c>
    </row>
    <row r="498" spans="2:11">
      <c r="B498" s="5"/>
      <c r="F498" s="5" t="s">
        <v>1046</v>
      </c>
      <c r="G498" s="5" t="s">
        <v>1047</v>
      </c>
      <c r="J498" s="5" t="s">
        <v>2058</v>
      </c>
      <c r="K498" s="5" t="s">
        <v>2059</v>
      </c>
    </row>
    <row r="499" spans="2:11">
      <c r="B499" s="5"/>
      <c r="F499" s="5" t="s">
        <v>1048</v>
      </c>
      <c r="G499" s="5" t="s">
        <v>1049</v>
      </c>
      <c r="J499" s="5" t="s">
        <v>2060</v>
      </c>
      <c r="K499" s="5" t="s">
        <v>2061</v>
      </c>
    </row>
    <row r="500" spans="2:11">
      <c r="B500" s="5"/>
      <c r="F500" s="5" t="s">
        <v>1050</v>
      </c>
      <c r="G500" s="5" t="s">
        <v>1051</v>
      </c>
      <c r="J500" s="5" t="s">
        <v>2062</v>
      </c>
      <c r="K500" s="5" t="s">
        <v>2063</v>
      </c>
    </row>
    <row r="501" spans="2:11">
      <c r="B501" s="5"/>
      <c r="F501" s="5" t="s">
        <v>1052</v>
      </c>
      <c r="G501" s="5" t="s">
        <v>1053</v>
      </c>
      <c r="J501" s="5" t="s">
        <v>2064</v>
      </c>
      <c r="K501" s="5" t="s">
        <v>2065</v>
      </c>
    </row>
    <row r="502" spans="2:11">
      <c r="B502" s="5"/>
      <c r="F502" s="5" t="s">
        <v>1054</v>
      </c>
      <c r="G502" s="5" t="s">
        <v>1055</v>
      </c>
      <c r="J502" s="5" t="s">
        <v>2066</v>
      </c>
      <c r="K502" s="5" t="s">
        <v>2067</v>
      </c>
    </row>
    <row r="503" spans="2:11">
      <c r="B503" s="5"/>
      <c r="F503" s="5" t="s">
        <v>1056</v>
      </c>
      <c r="G503" s="5" t="s">
        <v>1057</v>
      </c>
      <c r="J503" s="5" t="s">
        <v>2068</v>
      </c>
      <c r="K503" s="5" t="s">
        <v>2069</v>
      </c>
    </row>
    <row r="504" spans="2:11">
      <c r="B504" s="5"/>
      <c r="F504" s="5" t="s">
        <v>1058</v>
      </c>
      <c r="G504" s="5" t="s">
        <v>1059</v>
      </c>
      <c r="J504" s="5" t="s">
        <v>2070</v>
      </c>
      <c r="K504" s="5" t="s">
        <v>2071</v>
      </c>
    </row>
    <row r="505" spans="2:11">
      <c r="B505" s="5"/>
      <c r="F505" s="5" t="s">
        <v>1060</v>
      </c>
      <c r="G505" s="5" t="s">
        <v>1061</v>
      </c>
      <c r="J505" s="5" t="s">
        <v>2072</v>
      </c>
      <c r="K505" s="5" t="s">
        <v>2073</v>
      </c>
    </row>
    <row r="506" spans="2:11">
      <c r="B506" s="5"/>
      <c r="F506" s="5" t="s">
        <v>1062</v>
      </c>
      <c r="G506" s="5" t="s">
        <v>1063</v>
      </c>
      <c r="J506" s="5" t="s">
        <v>2074</v>
      </c>
      <c r="K506" s="5" t="s">
        <v>2075</v>
      </c>
    </row>
    <row r="507" spans="2:11">
      <c r="B507" s="5"/>
      <c r="F507" s="11" t="s">
        <v>1064</v>
      </c>
      <c r="G507" s="5" t="s">
        <v>1065</v>
      </c>
      <c r="J507" s="5" t="s">
        <v>2076</v>
      </c>
      <c r="K507" s="5" t="s">
        <v>2077</v>
      </c>
    </row>
    <row r="508" spans="2:11">
      <c r="B508" s="5"/>
      <c r="F508" s="5" t="s">
        <v>1066</v>
      </c>
      <c r="G508" s="5" t="s">
        <v>1067</v>
      </c>
      <c r="J508" s="5" t="s">
        <v>2078</v>
      </c>
      <c r="K508" s="5" t="s">
        <v>2079</v>
      </c>
    </row>
    <row r="509" spans="2:11">
      <c r="B509" s="5"/>
      <c r="F509" s="5" t="s">
        <v>1068</v>
      </c>
      <c r="G509" s="5" t="s">
        <v>1069</v>
      </c>
      <c r="J509" s="5" t="s">
        <v>2080</v>
      </c>
      <c r="K509" s="5" t="s">
        <v>2081</v>
      </c>
    </row>
    <row r="510" spans="2:11">
      <c r="B510" s="5"/>
      <c r="F510" s="5" t="s">
        <v>1070</v>
      </c>
      <c r="G510" s="5" t="s">
        <v>1071</v>
      </c>
      <c r="J510" s="5" t="s">
        <v>2082</v>
      </c>
      <c r="K510" s="5" t="s">
        <v>2083</v>
      </c>
    </row>
    <row r="511" spans="2:11">
      <c r="B511" s="5"/>
      <c r="F511" s="5" t="s">
        <v>1072</v>
      </c>
      <c r="G511" s="5" t="s">
        <v>1073</v>
      </c>
      <c r="J511" s="5" t="s">
        <v>2084</v>
      </c>
      <c r="K511" s="5" t="s">
        <v>2085</v>
      </c>
    </row>
    <row r="512" spans="2:11">
      <c r="B512" s="5"/>
      <c r="F512" s="5" t="s">
        <v>1074</v>
      </c>
      <c r="G512" s="5" t="s">
        <v>1075</v>
      </c>
      <c r="J512" s="5" t="s">
        <v>2086</v>
      </c>
      <c r="K512" s="5" t="s">
        <v>2087</v>
      </c>
    </row>
    <row r="513" spans="2:11">
      <c r="B513" s="5"/>
      <c r="F513" s="5" t="s">
        <v>1076</v>
      </c>
      <c r="G513" s="5" t="s">
        <v>1077</v>
      </c>
      <c r="J513" s="5" t="s">
        <v>2088</v>
      </c>
      <c r="K513" s="5" t="s">
        <v>2089</v>
      </c>
    </row>
    <row r="514" spans="2:11">
      <c r="B514" s="5"/>
      <c r="F514" s="5" t="s">
        <v>1078</v>
      </c>
      <c r="G514" s="5" t="s">
        <v>1079</v>
      </c>
      <c r="J514" s="5" t="s">
        <v>2090</v>
      </c>
      <c r="K514" s="5" t="s">
        <v>2091</v>
      </c>
    </row>
    <row r="515" spans="2:11">
      <c r="B515" s="5"/>
      <c r="F515" s="5" t="s">
        <v>1080</v>
      </c>
      <c r="G515" s="5" t="s">
        <v>1081</v>
      </c>
      <c r="J515" s="5" t="s">
        <v>2092</v>
      </c>
      <c r="K515" s="5" t="s">
        <v>2093</v>
      </c>
    </row>
    <row r="516" spans="2:11">
      <c r="B516" s="5"/>
      <c r="F516" s="5" t="s">
        <v>1082</v>
      </c>
      <c r="G516" s="5" t="s">
        <v>1083</v>
      </c>
      <c r="J516" s="5" t="s">
        <v>2094</v>
      </c>
      <c r="K516" s="5" t="s">
        <v>2095</v>
      </c>
    </row>
    <row r="517" spans="2:11">
      <c r="B517" s="5"/>
      <c r="F517" s="5" t="s">
        <v>1084</v>
      </c>
      <c r="G517" s="5" t="s">
        <v>1085</v>
      </c>
      <c r="J517" s="5" t="s">
        <v>2096</v>
      </c>
      <c r="K517" s="5" t="s">
        <v>2097</v>
      </c>
    </row>
    <row r="518" spans="2:11">
      <c r="B518" s="5"/>
      <c r="F518" s="5" t="s">
        <v>1086</v>
      </c>
      <c r="G518" s="5" t="s">
        <v>1087</v>
      </c>
      <c r="J518" s="5" t="s">
        <v>2098</v>
      </c>
      <c r="K518" s="5" t="s">
        <v>2099</v>
      </c>
    </row>
    <row r="519" spans="2:11">
      <c r="B519" s="5"/>
      <c r="F519" s="5" t="s">
        <v>1088</v>
      </c>
      <c r="G519" s="5" t="s">
        <v>1089</v>
      </c>
      <c r="J519" s="5" t="s">
        <v>2100</v>
      </c>
      <c r="K519" s="5" t="s">
        <v>2101</v>
      </c>
    </row>
    <row r="520" spans="2:11">
      <c r="B520" s="5"/>
      <c r="F520" s="5" t="s">
        <v>1090</v>
      </c>
      <c r="G520" s="5" t="s">
        <v>1091</v>
      </c>
      <c r="J520" s="5" t="s">
        <v>2102</v>
      </c>
      <c r="K520" s="5" t="s">
        <v>2103</v>
      </c>
    </row>
    <row r="521" spans="2:11">
      <c r="B521" s="5"/>
      <c r="F521" s="5" t="s">
        <v>1092</v>
      </c>
      <c r="G521" s="5" t="s">
        <v>1093</v>
      </c>
      <c r="J521" s="5" t="s">
        <v>2104</v>
      </c>
      <c r="K521" s="5" t="s">
        <v>2105</v>
      </c>
    </row>
    <row r="522" spans="2:11">
      <c r="B522" s="5"/>
      <c r="F522" s="5" t="s">
        <v>1094</v>
      </c>
      <c r="G522" s="5" t="s">
        <v>1095</v>
      </c>
      <c r="J522" s="5" t="s">
        <v>2106</v>
      </c>
      <c r="K522" s="5" t="s">
        <v>2107</v>
      </c>
    </row>
    <row r="523" spans="2:11">
      <c r="B523" s="5"/>
      <c r="F523" s="5" t="s">
        <v>1096</v>
      </c>
      <c r="G523" s="5" t="s">
        <v>1097</v>
      </c>
      <c r="J523" s="5" t="s">
        <v>2108</v>
      </c>
      <c r="K523" s="5" t="s">
        <v>2109</v>
      </c>
    </row>
    <row r="524" spans="2:11">
      <c r="B524" s="5"/>
      <c r="F524" s="5" t="s">
        <v>1098</v>
      </c>
      <c r="G524" s="5" t="s">
        <v>1099</v>
      </c>
      <c r="J524" s="5" t="s">
        <v>2110</v>
      </c>
      <c r="K524" s="5" t="s">
        <v>2111</v>
      </c>
    </row>
    <row r="525" spans="2:11">
      <c r="B525" s="5"/>
      <c r="F525" s="5" t="s">
        <v>1100</v>
      </c>
      <c r="G525" s="5" t="s">
        <v>1101</v>
      </c>
      <c r="J525" s="5" t="s">
        <v>2112</v>
      </c>
      <c r="K525" s="5" t="s">
        <v>2113</v>
      </c>
    </row>
    <row r="526" spans="2:11">
      <c r="B526" s="5"/>
      <c r="F526" s="5" t="s">
        <v>1102</v>
      </c>
      <c r="G526" s="5" t="s">
        <v>1103</v>
      </c>
      <c r="J526" s="5" t="s">
        <v>2114</v>
      </c>
      <c r="K526" s="5" t="s">
        <v>2115</v>
      </c>
    </row>
    <row r="527" spans="2:11">
      <c r="B527" s="5"/>
      <c r="F527" s="5" t="s">
        <v>1104</v>
      </c>
      <c r="G527" s="5" t="s">
        <v>1105</v>
      </c>
      <c r="J527" s="5" t="s">
        <v>2116</v>
      </c>
      <c r="K527" s="5" t="s">
        <v>2117</v>
      </c>
    </row>
    <row r="528" spans="2:11">
      <c r="B528" s="5"/>
      <c r="F528" s="5" t="s">
        <v>1106</v>
      </c>
      <c r="G528" s="5" t="s">
        <v>1107</v>
      </c>
      <c r="J528" s="5" t="s">
        <v>2118</v>
      </c>
      <c r="K528" s="5" t="s">
        <v>2119</v>
      </c>
    </row>
    <row r="529" spans="2:11">
      <c r="B529" s="5"/>
      <c r="F529" s="5" t="s">
        <v>1108</v>
      </c>
      <c r="G529" s="5" t="s">
        <v>1109</v>
      </c>
      <c r="J529" s="5" t="s">
        <v>2120</v>
      </c>
      <c r="K529" s="5" t="s">
        <v>2121</v>
      </c>
    </row>
    <row r="530" spans="2:11">
      <c r="B530" s="5"/>
      <c r="F530" s="5" t="s">
        <v>1110</v>
      </c>
      <c r="G530" s="5" t="s">
        <v>1111</v>
      </c>
      <c r="J530" s="5" t="s">
        <v>2122</v>
      </c>
      <c r="K530" s="5" t="s">
        <v>2123</v>
      </c>
    </row>
    <row r="531" spans="2:11">
      <c r="B531" s="5"/>
      <c r="F531" s="5" t="s">
        <v>1112</v>
      </c>
      <c r="G531" s="5" t="s">
        <v>1113</v>
      </c>
      <c r="J531" s="5" t="s">
        <v>2124</v>
      </c>
      <c r="K531" s="5" t="s">
        <v>2125</v>
      </c>
    </row>
    <row r="532" spans="2:11">
      <c r="B532" s="5"/>
      <c r="F532" s="5" t="s">
        <v>1114</v>
      </c>
      <c r="G532" s="5" t="s">
        <v>1115</v>
      </c>
      <c r="J532" s="5" t="s">
        <v>2126</v>
      </c>
      <c r="K532" s="5" t="s">
        <v>2127</v>
      </c>
    </row>
    <row r="533" spans="2:11">
      <c r="B533" s="5"/>
      <c r="F533" s="5" t="s">
        <v>1116</v>
      </c>
      <c r="G533" s="5" t="s">
        <v>1117</v>
      </c>
      <c r="J533" s="5" t="s">
        <v>2128</v>
      </c>
      <c r="K533" s="5" t="s">
        <v>2129</v>
      </c>
    </row>
    <row r="534" spans="2:11">
      <c r="B534" s="5"/>
      <c r="F534" s="5" t="s">
        <v>1118</v>
      </c>
      <c r="G534" s="5" t="s">
        <v>1119</v>
      </c>
      <c r="J534" s="5" t="s">
        <v>2130</v>
      </c>
      <c r="K534" s="5" t="s">
        <v>2131</v>
      </c>
    </row>
    <row r="535" spans="2:11">
      <c r="B535" s="5"/>
      <c r="F535" s="5" t="s">
        <v>1120</v>
      </c>
      <c r="G535" s="5" t="s">
        <v>1121</v>
      </c>
      <c r="J535" s="5" t="s">
        <v>2132</v>
      </c>
      <c r="K535" s="5" t="s">
        <v>2133</v>
      </c>
    </row>
    <row r="536" spans="2:11">
      <c r="B536" s="5"/>
      <c r="F536" s="5" t="s">
        <v>1122</v>
      </c>
      <c r="G536" s="5" t="s">
        <v>1123</v>
      </c>
      <c r="J536" s="5" t="s">
        <v>2134</v>
      </c>
      <c r="K536" s="5" t="s">
        <v>2135</v>
      </c>
    </row>
    <row r="537" spans="2:11">
      <c r="B537" s="5"/>
      <c r="F537" s="5" t="s">
        <v>1124</v>
      </c>
      <c r="G537" s="5" t="s">
        <v>1125</v>
      </c>
      <c r="J537" s="5" t="s">
        <v>2136</v>
      </c>
      <c r="K537" s="5" t="s">
        <v>2137</v>
      </c>
    </row>
    <row r="538" spans="2:11">
      <c r="B538" s="5"/>
      <c r="F538" s="5" t="s">
        <v>1126</v>
      </c>
      <c r="G538" s="5" t="s">
        <v>1127</v>
      </c>
      <c r="J538" s="5" t="s">
        <v>2138</v>
      </c>
      <c r="K538" s="5" t="s">
        <v>2139</v>
      </c>
    </row>
    <row r="539" spans="2:11">
      <c r="B539" s="5"/>
      <c r="F539" s="5" t="s">
        <v>1128</v>
      </c>
      <c r="G539" s="5" t="s">
        <v>1129</v>
      </c>
      <c r="J539" s="5" t="s">
        <v>2140</v>
      </c>
      <c r="K539" s="5" t="s">
        <v>2141</v>
      </c>
    </row>
    <row r="540" spans="2:11">
      <c r="B540" s="5"/>
      <c r="F540" s="5" t="s">
        <v>1130</v>
      </c>
      <c r="G540" s="5" t="s">
        <v>1131</v>
      </c>
      <c r="J540" s="5" t="s">
        <v>2142</v>
      </c>
      <c r="K540" s="5" t="s">
        <v>2143</v>
      </c>
    </row>
    <row r="541" spans="2:11">
      <c r="B541" s="5"/>
      <c r="F541" s="5" t="s">
        <v>1132</v>
      </c>
      <c r="G541" s="5" t="s">
        <v>1133</v>
      </c>
      <c r="J541" s="5" t="s">
        <v>2144</v>
      </c>
      <c r="K541" s="5" t="s">
        <v>2145</v>
      </c>
    </row>
    <row r="542" spans="2:11">
      <c r="B542" s="5"/>
      <c r="F542" s="5" t="s">
        <v>1134</v>
      </c>
      <c r="G542" s="5" t="s">
        <v>1135</v>
      </c>
      <c r="J542" s="5" t="s">
        <v>2146</v>
      </c>
      <c r="K542" s="5" t="s">
        <v>2147</v>
      </c>
    </row>
    <row r="543" spans="2:11">
      <c r="B543" s="5"/>
      <c r="F543" s="5" t="s">
        <v>1136</v>
      </c>
      <c r="G543" s="5" t="s">
        <v>1137</v>
      </c>
      <c r="J543" s="5" t="s">
        <v>2148</v>
      </c>
      <c r="K543" s="5" t="s">
        <v>2149</v>
      </c>
    </row>
    <row r="544" spans="2:11">
      <c r="B544" s="5"/>
      <c r="F544" s="5" t="s">
        <v>1138</v>
      </c>
      <c r="G544" s="5" t="s">
        <v>1139</v>
      </c>
      <c r="J544" s="5" t="s">
        <v>2150</v>
      </c>
      <c r="K544" s="5" t="s">
        <v>2151</v>
      </c>
    </row>
    <row r="545" spans="2:11">
      <c r="B545" s="5"/>
      <c r="F545" s="5" t="s">
        <v>1140</v>
      </c>
      <c r="G545" s="5" t="s">
        <v>1141</v>
      </c>
      <c r="J545" s="5" t="s">
        <v>2152</v>
      </c>
      <c r="K545" s="5" t="s">
        <v>2153</v>
      </c>
    </row>
    <row r="546" spans="2:11">
      <c r="B546" s="5"/>
      <c r="F546" s="5" t="s">
        <v>1142</v>
      </c>
      <c r="G546" s="5" t="s">
        <v>1143</v>
      </c>
      <c r="J546" s="5" t="s">
        <v>2154</v>
      </c>
      <c r="K546" s="5" t="s">
        <v>2155</v>
      </c>
    </row>
    <row r="547" spans="2:11">
      <c r="B547" s="5"/>
      <c r="F547" s="5" t="s">
        <v>1144</v>
      </c>
      <c r="G547" s="5" t="s">
        <v>1145</v>
      </c>
      <c r="J547" s="5" t="s">
        <v>2156</v>
      </c>
      <c r="K547" s="5" t="s">
        <v>2157</v>
      </c>
    </row>
    <row r="548" spans="2:11">
      <c r="B548" s="5"/>
      <c r="F548" s="5" t="s">
        <v>1146</v>
      </c>
      <c r="G548" s="5" t="s">
        <v>1147</v>
      </c>
      <c r="J548" s="5" t="s">
        <v>2158</v>
      </c>
      <c r="K548" s="5" t="s">
        <v>2159</v>
      </c>
    </row>
    <row r="549" spans="2:11">
      <c r="B549" s="5"/>
      <c r="F549" s="5" t="s">
        <v>1148</v>
      </c>
      <c r="G549" s="5" t="s">
        <v>1149</v>
      </c>
      <c r="J549" s="5" t="s">
        <v>2160</v>
      </c>
      <c r="K549" s="5" t="s">
        <v>2161</v>
      </c>
    </row>
    <row r="550" spans="2:11">
      <c r="B550" s="5"/>
      <c r="F550" s="5" t="s">
        <v>1150</v>
      </c>
      <c r="G550" s="5" t="s">
        <v>1151</v>
      </c>
      <c r="J550" s="5" t="s">
        <v>2162</v>
      </c>
      <c r="K550" s="5" t="s">
        <v>2163</v>
      </c>
    </row>
    <row r="551" spans="2:11">
      <c r="B551" s="5"/>
      <c r="F551" s="5" t="s">
        <v>1152</v>
      </c>
      <c r="G551" s="5" t="s">
        <v>1153</v>
      </c>
      <c r="J551" s="5" t="s">
        <v>2164</v>
      </c>
      <c r="K551" s="5" t="s">
        <v>2165</v>
      </c>
    </row>
    <row r="552" spans="2:11">
      <c r="B552" s="5"/>
      <c r="F552" s="5" t="s">
        <v>1154</v>
      </c>
      <c r="G552" s="5" t="s">
        <v>1155</v>
      </c>
      <c r="J552" s="5" t="s">
        <v>2166</v>
      </c>
      <c r="K552" s="5" t="s">
        <v>2167</v>
      </c>
    </row>
    <row r="553" spans="2:11">
      <c r="B553" s="5"/>
      <c r="F553" s="5" t="s">
        <v>1156</v>
      </c>
      <c r="G553" s="5" t="s">
        <v>1157</v>
      </c>
      <c r="J553" s="5" t="s">
        <v>2168</v>
      </c>
      <c r="K553" s="5" t="s">
        <v>2169</v>
      </c>
    </row>
    <row r="554" spans="2:11">
      <c r="B554" s="5"/>
      <c r="F554" s="5" t="s">
        <v>1158</v>
      </c>
      <c r="G554" s="5" t="s">
        <v>1159</v>
      </c>
      <c r="J554" s="5" t="s">
        <v>2170</v>
      </c>
      <c r="K554" s="5" t="s">
        <v>2171</v>
      </c>
    </row>
    <row r="555" spans="2:11">
      <c r="B555" s="5"/>
      <c r="F555" s="5" t="s">
        <v>1160</v>
      </c>
      <c r="G555" s="5" t="s">
        <v>1161</v>
      </c>
      <c r="J555" s="5" t="s">
        <v>2172</v>
      </c>
      <c r="K555" s="5" t="s">
        <v>2173</v>
      </c>
    </row>
    <row r="556" spans="2:11">
      <c r="B556" s="5"/>
      <c r="F556" s="5" t="s">
        <v>1162</v>
      </c>
      <c r="G556" s="5" t="s">
        <v>1163</v>
      </c>
      <c r="J556" s="5" t="s">
        <v>2174</v>
      </c>
      <c r="K556" s="5" t="s">
        <v>2175</v>
      </c>
    </row>
    <row r="557" spans="2:11">
      <c r="B557" s="5"/>
      <c r="F557" s="5" t="s">
        <v>1164</v>
      </c>
      <c r="G557" s="5" t="s">
        <v>1165</v>
      </c>
      <c r="J557" s="5" t="s">
        <v>2176</v>
      </c>
      <c r="K557" s="5" t="s">
        <v>2177</v>
      </c>
    </row>
    <row r="558" spans="2:11">
      <c r="B558" s="5"/>
      <c r="F558" s="5" t="s">
        <v>1166</v>
      </c>
      <c r="G558" s="5" t="s">
        <v>1167</v>
      </c>
      <c r="J558" s="5" t="s">
        <v>2178</v>
      </c>
      <c r="K558" s="5" t="s">
        <v>2179</v>
      </c>
    </row>
    <row r="559" spans="2:11">
      <c r="B559" s="5"/>
      <c r="F559" s="5" t="s">
        <v>1168</v>
      </c>
      <c r="G559" s="5" t="s">
        <v>1169</v>
      </c>
      <c r="J559" s="5" t="s">
        <v>2180</v>
      </c>
      <c r="K559" s="5" t="s">
        <v>2181</v>
      </c>
    </row>
    <row r="560" spans="2:11">
      <c r="B560" s="5"/>
      <c r="F560" s="5" t="s">
        <v>1170</v>
      </c>
      <c r="G560" s="5" t="s">
        <v>1171</v>
      </c>
      <c r="J560" s="5" t="s">
        <v>2182</v>
      </c>
      <c r="K560" s="5" t="s">
        <v>2183</v>
      </c>
    </row>
    <row r="561" spans="2:11">
      <c r="B561" s="5"/>
      <c r="F561" s="5" t="s">
        <v>1172</v>
      </c>
      <c r="G561" s="5" t="s">
        <v>1173</v>
      </c>
      <c r="J561" s="5" t="s">
        <v>2184</v>
      </c>
      <c r="K561" s="5" t="s">
        <v>2185</v>
      </c>
    </row>
    <row r="562" spans="2:11">
      <c r="B562" s="5"/>
      <c r="F562" s="5" t="s">
        <v>1174</v>
      </c>
      <c r="G562" s="5" t="s">
        <v>1175</v>
      </c>
      <c r="J562" s="5" t="s">
        <v>2186</v>
      </c>
      <c r="K562" s="5" t="s">
        <v>2187</v>
      </c>
    </row>
    <row r="563" spans="2:11">
      <c r="B563" s="5"/>
      <c r="F563" s="5" t="s">
        <v>1176</v>
      </c>
      <c r="G563" s="5" t="s">
        <v>1177</v>
      </c>
      <c r="J563" s="5" t="s">
        <v>2188</v>
      </c>
      <c r="K563" s="5" t="s">
        <v>2189</v>
      </c>
    </row>
    <row r="564" spans="2:11">
      <c r="B564" s="5"/>
      <c r="F564" s="5" t="s">
        <v>1178</v>
      </c>
      <c r="G564" s="5" t="s">
        <v>1179</v>
      </c>
      <c r="J564" s="5" t="s">
        <v>2190</v>
      </c>
      <c r="K564" s="5" t="s">
        <v>2191</v>
      </c>
    </row>
    <row r="565" spans="2:11">
      <c r="B565" s="5"/>
      <c r="F565" s="5" t="s">
        <v>1180</v>
      </c>
      <c r="G565" s="5" t="s">
        <v>1181</v>
      </c>
      <c r="J565" s="5" t="s">
        <v>2192</v>
      </c>
      <c r="K565" s="5" t="s">
        <v>2193</v>
      </c>
    </row>
    <row r="566" spans="2:11">
      <c r="B566" s="5"/>
      <c r="F566" s="5" t="s">
        <v>1182</v>
      </c>
      <c r="G566" s="5" t="s">
        <v>1183</v>
      </c>
      <c r="J566" s="5" t="s">
        <v>2194</v>
      </c>
      <c r="K566" s="5" t="s">
        <v>2195</v>
      </c>
    </row>
    <row r="567" spans="2:11">
      <c r="B567" s="5"/>
      <c r="F567" s="5" t="s">
        <v>1184</v>
      </c>
      <c r="G567" s="5" t="s">
        <v>1185</v>
      </c>
      <c r="J567" s="5" t="s">
        <v>2196</v>
      </c>
      <c r="K567" s="5" t="s">
        <v>2197</v>
      </c>
    </row>
    <row r="568" spans="2:11">
      <c r="B568" s="5"/>
      <c r="F568" s="5" t="s">
        <v>1186</v>
      </c>
      <c r="G568" s="5" t="s">
        <v>1187</v>
      </c>
      <c r="J568" s="5" t="s">
        <v>2198</v>
      </c>
      <c r="K568" s="5" t="s">
        <v>2199</v>
      </c>
    </row>
    <row r="569" spans="2:11">
      <c r="B569" s="5"/>
      <c r="F569" s="5" t="s">
        <v>1188</v>
      </c>
      <c r="G569" s="5" t="s">
        <v>1189</v>
      </c>
      <c r="J569" s="5" t="s">
        <v>2200</v>
      </c>
      <c r="K569" s="5" t="s">
        <v>2201</v>
      </c>
    </row>
    <row r="570" spans="2:11">
      <c r="B570" s="5"/>
      <c r="F570" s="5" t="s">
        <v>1190</v>
      </c>
      <c r="G570" s="5" t="s">
        <v>1191</v>
      </c>
      <c r="J570" s="5" t="s">
        <v>2202</v>
      </c>
      <c r="K570" s="5" t="s">
        <v>2203</v>
      </c>
    </row>
    <row r="571" spans="2:11">
      <c r="B571" s="5"/>
      <c r="F571" s="5" t="s">
        <v>1192</v>
      </c>
      <c r="G571" s="5" t="s">
        <v>1193</v>
      </c>
      <c r="J571" s="5" t="s">
        <v>2204</v>
      </c>
      <c r="K571" s="5" t="s">
        <v>2205</v>
      </c>
    </row>
    <row r="572" spans="2:11">
      <c r="B572" s="5"/>
      <c r="F572" s="5" t="s">
        <v>1194</v>
      </c>
      <c r="G572" s="5" t="s">
        <v>1195</v>
      </c>
      <c r="J572" s="5" t="s">
        <v>2206</v>
      </c>
      <c r="K572" s="5" t="s">
        <v>2207</v>
      </c>
    </row>
    <row r="573" spans="2:11">
      <c r="B573" s="5"/>
      <c r="F573" s="5" t="s">
        <v>1196</v>
      </c>
      <c r="G573" s="5" t="s">
        <v>1197</v>
      </c>
      <c r="J573" s="5" t="s">
        <v>2208</v>
      </c>
      <c r="K573" s="5" t="s">
        <v>2209</v>
      </c>
    </row>
    <row r="574" spans="2:11">
      <c r="B574" s="5"/>
      <c r="F574" s="5" t="s">
        <v>1198</v>
      </c>
      <c r="G574" s="5" t="s">
        <v>1199</v>
      </c>
      <c r="J574" s="5" t="s">
        <v>2210</v>
      </c>
      <c r="K574" s="5" t="s">
        <v>2211</v>
      </c>
    </row>
    <row r="575" spans="2:11">
      <c r="B575" s="5"/>
      <c r="F575" s="5" t="s">
        <v>1200</v>
      </c>
      <c r="G575" s="5" t="s">
        <v>1201</v>
      </c>
      <c r="J575" s="5" t="s">
        <v>2212</v>
      </c>
      <c r="K575" s="5" t="s">
        <v>2213</v>
      </c>
    </row>
    <row r="576" spans="2:11">
      <c r="B576" s="5"/>
      <c r="F576" s="5" t="s">
        <v>1202</v>
      </c>
      <c r="G576" s="5" t="s">
        <v>1203</v>
      </c>
      <c r="J576" s="5" t="s">
        <v>2214</v>
      </c>
      <c r="K576" s="5" t="s">
        <v>2215</v>
      </c>
    </row>
    <row r="577" spans="2:11">
      <c r="B577" s="5"/>
      <c r="F577" s="5" t="s">
        <v>1204</v>
      </c>
      <c r="G577" s="5" t="s">
        <v>1205</v>
      </c>
      <c r="J577" s="5" t="s">
        <v>2216</v>
      </c>
      <c r="K577" s="5" t="s">
        <v>2217</v>
      </c>
    </row>
    <row r="578" spans="2:11">
      <c r="B578" s="5"/>
      <c r="F578" s="5" t="s">
        <v>1206</v>
      </c>
      <c r="G578" s="5" t="s">
        <v>1207</v>
      </c>
      <c r="J578" s="5" t="s">
        <v>2218</v>
      </c>
      <c r="K578" s="5" t="s">
        <v>2219</v>
      </c>
    </row>
    <row r="579" spans="2:11">
      <c r="B579" s="5"/>
      <c r="F579" s="5" t="s">
        <v>1208</v>
      </c>
      <c r="G579" s="5" t="s">
        <v>1209</v>
      </c>
      <c r="J579" s="5" t="s">
        <v>2220</v>
      </c>
      <c r="K579" s="5" t="s">
        <v>2221</v>
      </c>
    </row>
    <row r="580" spans="2:11">
      <c r="B580" s="5"/>
      <c r="F580" s="5" t="s">
        <v>1210</v>
      </c>
      <c r="G580" s="5" t="s">
        <v>1211</v>
      </c>
      <c r="J580" s="5" t="s">
        <v>2222</v>
      </c>
      <c r="K580" s="5" t="s">
        <v>2223</v>
      </c>
    </row>
    <row r="581" spans="2:11">
      <c r="B581" s="5"/>
      <c r="F581" s="5" t="s">
        <v>1212</v>
      </c>
      <c r="G581" s="5" t="s">
        <v>1213</v>
      </c>
      <c r="J581" s="5" t="s">
        <v>2224</v>
      </c>
      <c r="K581" s="5" t="s">
        <v>2225</v>
      </c>
    </row>
    <row r="582" spans="2:11">
      <c r="B582" s="5"/>
      <c r="F582" s="5" t="s">
        <v>1214</v>
      </c>
      <c r="G582" s="5" t="s">
        <v>1215</v>
      </c>
      <c r="J582" s="5" t="s">
        <v>2226</v>
      </c>
      <c r="K582" s="5" t="s">
        <v>2227</v>
      </c>
    </row>
    <row r="583" spans="2:11">
      <c r="B583" s="5"/>
      <c r="F583" s="5" t="s">
        <v>1216</v>
      </c>
      <c r="G583" s="5" t="s">
        <v>1217</v>
      </c>
      <c r="J583" s="5" t="s">
        <v>2228</v>
      </c>
      <c r="K583" s="5" t="s">
        <v>2229</v>
      </c>
    </row>
    <row r="584" spans="2:11">
      <c r="B584" s="5"/>
      <c r="F584" s="5" t="s">
        <v>1218</v>
      </c>
      <c r="G584" s="5" t="s">
        <v>1219</v>
      </c>
      <c r="J584" s="5" t="s">
        <v>2230</v>
      </c>
      <c r="K584" s="5" t="s">
        <v>2231</v>
      </c>
    </row>
    <row r="585" spans="2:11">
      <c r="B585" s="5"/>
      <c r="F585" s="5" t="s">
        <v>1220</v>
      </c>
      <c r="G585" s="5" t="s">
        <v>1221</v>
      </c>
      <c r="J585" s="5" t="s">
        <v>2232</v>
      </c>
      <c r="K585" s="5" t="s">
        <v>2233</v>
      </c>
    </row>
    <row r="586" spans="2:11">
      <c r="B586" s="5"/>
      <c r="F586" s="5" t="s">
        <v>1222</v>
      </c>
      <c r="G586" s="5" t="s">
        <v>1223</v>
      </c>
      <c r="J586" s="5" t="s">
        <v>2234</v>
      </c>
      <c r="K586" s="5" t="s">
        <v>2235</v>
      </c>
    </row>
    <row r="587" spans="2:11">
      <c r="B587" s="5"/>
      <c r="F587" s="5" t="s">
        <v>1224</v>
      </c>
      <c r="G587" s="5" t="s">
        <v>1225</v>
      </c>
      <c r="J587" s="5" t="s">
        <v>2236</v>
      </c>
      <c r="K587" s="5" t="s">
        <v>2237</v>
      </c>
    </row>
    <row r="588" spans="2:11">
      <c r="B588" s="5"/>
      <c r="F588" s="5" t="s">
        <v>1226</v>
      </c>
      <c r="G588" s="5" t="s">
        <v>1227</v>
      </c>
      <c r="J588" s="5" t="s">
        <v>2238</v>
      </c>
      <c r="K588" s="5" t="s">
        <v>2239</v>
      </c>
    </row>
    <row r="589" spans="2:11">
      <c r="B589" s="5"/>
      <c r="F589" s="5" t="s">
        <v>1228</v>
      </c>
      <c r="G589" s="5" t="s">
        <v>1229</v>
      </c>
      <c r="J589" s="5" t="s">
        <v>2240</v>
      </c>
      <c r="K589" s="5" t="s">
        <v>2241</v>
      </c>
    </row>
    <row r="590" spans="2:11">
      <c r="B590" s="5"/>
      <c r="F590" s="5" t="s">
        <v>1230</v>
      </c>
      <c r="G590" s="5" t="s">
        <v>1231</v>
      </c>
      <c r="J590" s="5" t="s">
        <v>2242</v>
      </c>
      <c r="K590" s="5" t="s">
        <v>2243</v>
      </c>
    </row>
    <row r="591" spans="2:11">
      <c r="B591" s="5"/>
      <c r="F591" s="5" t="s">
        <v>1232</v>
      </c>
      <c r="G591" s="5" t="s">
        <v>1233</v>
      </c>
      <c r="J591" s="5" t="s">
        <v>2244</v>
      </c>
      <c r="K591" s="5" t="s">
        <v>2245</v>
      </c>
    </row>
    <row r="592" spans="2:11">
      <c r="B592" s="5"/>
      <c r="F592" s="5" t="s">
        <v>1234</v>
      </c>
      <c r="G592" s="5" t="s">
        <v>1235</v>
      </c>
      <c r="J592" s="5" t="s">
        <v>2246</v>
      </c>
      <c r="K592" s="5" t="s">
        <v>2247</v>
      </c>
    </row>
    <row r="593" spans="2:11">
      <c r="B593" s="5"/>
      <c r="F593" s="5" t="s">
        <v>1236</v>
      </c>
      <c r="G593" s="5" t="s">
        <v>1237</v>
      </c>
      <c r="J593" s="5" t="s">
        <v>2248</v>
      </c>
      <c r="K593" s="5" t="s">
        <v>2249</v>
      </c>
    </row>
    <row r="594" spans="2:11">
      <c r="B594" s="5"/>
      <c r="F594" s="5" t="s">
        <v>1238</v>
      </c>
      <c r="G594" s="5" t="s">
        <v>1239</v>
      </c>
      <c r="J594" s="5" t="s">
        <v>2250</v>
      </c>
      <c r="K594" s="5" t="s">
        <v>2251</v>
      </c>
    </row>
    <row r="595" spans="2:11">
      <c r="B595" s="5"/>
      <c r="F595" s="5" t="s">
        <v>1240</v>
      </c>
      <c r="G595" s="5" t="s">
        <v>1241</v>
      </c>
      <c r="J595" s="5" t="s">
        <v>2252</v>
      </c>
      <c r="K595" s="5" t="s">
        <v>2253</v>
      </c>
    </row>
    <row r="596" spans="2:11">
      <c r="B596" s="5"/>
      <c r="F596" s="5" t="s">
        <v>1242</v>
      </c>
      <c r="G596" s="5" t="s">
        <v>1243</v>
      </c>
      <c r="J596" s="5" t="s">
        <v>2254</v>
      </c>
      <c r="K596" s="5" t="s">
        <v>2255</v>
      </c>
    </row>
    <row r="597" spans="2:11">
      <c r="B597" s="5"/>
      <c r="F597" s="5" t="s">
        <v>1244</v>
      </c>
      <c r="G597" s="5" t="s">
        <v>1245</v>
      </c>
      <c r="J597" s="5" t="s">
        <v>2256</v>
      </c>
      <c r="K597" s="5" t="s">
        <v>2257</v>
      </c>
    </row>
    <row r="598" spans="2:11">
      <c r="B598" s="5"/>
      <c r="F598" s="5" t="s">
        <v>1246</v>
      </c>
      <c r="G598" s="5" t="s">
        <v>1247</v>
      </c>
      <c r="J598" s="5" t="s">
        <v>2258</v>
      </c>
      <c r="K598" s="5" t="s">
        <v>2259</v>
      </c>
    </row>
    <row r="599" spans="2:11">
      <c r="B599" s="5"/>
      <c r="F599" s="5" t="s">
        <v>1248</v>
      </c>
      <c r="G599" s="5" t="s">
        <v>1249</v>
      </c>
      <c r="J599" s="5" t="s">
        <v>2260</v>
      </c>
      <c r="K599" s="5" t="s">
        <v>2261</v>
      </c>
    </row>
    <row r="600" spans="2:11">
      <c r="B600" s="5"/>
      <c r="F600" s="5" t="s">
        <v>1250</v>
      </c>
      <c r="G600" s="5" t="s">
        <v>1251</v>
      </c>
      <c r="J600" s="5" t="s">
        <v>2262</v>
      </c>
      <c r="K600" s="5" t="s">
        <v>2263</v>
      </c>
    </row>
    <row r="601" spans="2:11">
      <c r="B601" s="5"/>
      <c r="F601" s="5" t="s">
        <v>1252</v>
      </c>
      <c r="G601" s="5" t="s">
        <v>1253</v>
      </c>
      <c r="J601" s="5" t="s">
        <v>2264</v>
      </c>
      <c r="K601" s="5" t="s">
        <v>2265</v>
      </c>
    </row>
    <row r="602" spans="2:11">
      <c r="B602" s="5"/>
      <c r="F602" s="5" t="s">
        <v>1254</v>
      </c>
      <c r="G602" s="5" t="s">
        <v>1255</v>
      </c>
      <c r="J602" s="5" t="s">
        <v>2266</v>
      </c>
      <c r="K602" s="5" t="s">
        <v>2267</v>
      </c>
    </row>
    <row r="603" spans="2:11">
      <c r="B603" s="5"/>
      <c r="F603" s="5" t="s">
        <v>1256</v>
      </c>
      <c r="G603" s="5" t="s">
        <v>1257</v>
      </c>
      <c r="J603" s="5" t="s">
        <v>2268</v>
      </c>
      <c r="K603" s="5" t="s">
        <v>2269</v>
      </c>
    </row>
    <row r="604" spans="2:11">
      <c r="B604" s="5"/>
      <c r="F604" s="5" t="s">
        <v>1258</v>
      </c>
      <c r="G604" s="5" t="s">
        <v>1259</v>
      </c>
      <c r="J604" s="5" t="s">
        <v>2270</v>
      </c>
      <c r="K604" s="5" t="s">
        <v>2271</v>
      </c>
    </row>
    <row r="605" spans="2:11">
      <c r="B605" s="5"/>
      <c r="F605" s="5" t="s">
        <v>1260</v>
      </c>
      <c r="G605" s="5" t="s">
        <v>1261</v>
      </c>
      <c r="J605" s="5" t="s">
        <v>2272</v>
      </c>
      <c r="K605" s="5" t="s">
        <v>2273</v>
      </c>
    </row>
    <row r="606" spans="2:11">
      <c r="B606" s="5"/>
      <c r="F606" s="5" t="s">
        <v>1262</v>
      </c>
      <c r="G606" s="5" t="s">
        <v>1263</v>
      </c>
      <c r="J606" s="5" t="s">
        <v>2274</v>
      </c>
      <c r="K606" s="5" t="s">
        <v>2275</v>
      </c>
    </row>
    <row r="607" spans="2:11">
      <c r="B607" s="5"/>
      <c r="F607" s="5" t="s">
        <v>1264</v>
      </c>
      <c r="G607" s="5" t="s">
        <v>1265</v>
      </c>
      <c r="J607" s="5" t="s">
        <v>2276</v>
      </c>
      <c r="K607" s="5" t="s">
        <v>2277</v>
      </c>
    </row>
    <row r="608" spans="2:11">
      <c r="B608" s="5"/>
      <c r="F608" s="5" t="s">
        <v>1266</v>
      </c>
      <c r="G608" s="5" t="s">
        <v>1267</v>
      </c>
      <c r="J608" s="5" t="s">
        <v>2278</v>
      </c>
      <c r="K608" s="5" t="s">
        <v>2279</v>
      </c>
    </row>
    <row r="609" spans="2:11">
      <c r="B609" s="5"/>
      <c r="F609" s="5" t="s">
        <v>1268</v>
      </c>
      <c r="G609" s="5" t="s">
        <v>1269</v>
      </c>
      <c r="J609" s="5" t="s">
        <v>2280</v>
      </c>
      <c r="K609" s="5" t="s">
        <v>2281</v>
      </c>
    </row>
    <row r="610" spans="2:11">
      <c r="B610" s="5"/>
      <c r="F610" s="5" t="s">
        <v>1270</v>
      </c>
      <c r="G610" s="5" t="s">
        <v>1271</v>
      </c>
      <c r="J610" s="5" t="s">
        <v>2282</v>
      </c>
      <c r="K610" s="5" t="s">
        <v>2283</v>
      </c>
    </row>
    <row r="611" spans="2:11">
      <c r="B611" s="5"/>
      <c r="F611" s="5" t="s">
        <v>1272</v>
      </c>
      <c r="G611" s="5" t="s">
        <v>1273</v>
      </c>
      <c r="J611" s="5" t="s">
        <v>2284</v>
      </c>
      <c r="K611" s="5" t="s">
        <v>2285</v>
      </c>
    </row>
    <row r="612" spans="2:11">
      <c r="B612" s="5"/>
      <c r="F612" s="5" t="s">
        <v>1274</v>
      </c>
      <c r="G612" s="5" t="s">
        <v>1275</v>
      </c>
      <c r="J612" s="5" t="s">
        <v>2286</v>
      </c>
      <c r="K612" s="5" t="s">
        <v>2287</v>
      </c>
    </row>
    <row r="613" spans="2:11">
      <c r="B613" s="5"/>
      <c r="F613" s="5" t="s">
        <v>1276</v>
      </c>
      <c r="G613" s="5" t="s">
        <v>1277</v>
      </c>
      <c r="J613" s="5" t="s">
        <v>2288</v>
      </c>
      <c r="K613" s="5" t="s">
        <v>2289</v>
      </c>
    </row>
    <row r="614" spans="2:11">
      <c r="B614" s="5"/>
      <c r="F614" s="5" t="s">
        <v>1278</v>
      </c>
      <c r="G614" s="5" t="s">
        <v>1279</v>
      </c>
      <c r="J614" s="5" t="s">
        <v>2290</v>
      </c>
      <c r="K614" s="5" t="s">
        <v>2291</v>
      </c>
    </row>
    <row r="615" spans="2:11">
      <c r="B615" s="5"/>
      <c r="F615" s="5" t="s">
        <v>1280</v>
      </c>
      <c r="G615" s="5" t="s">
        <v>1281</v>
      </c>
      <c r="J615" s="5" t="s">
        <v>2292</v>
      </c>
      <c r="K615" s="5" t="s">
        <v>2293</v>
      </c>
    </row>
    <row r="616" spans="2:11">
      <c r="B616" s="5"/>
      <c r="F616" s="5" t="s">
        <v>1282</v>
      </c>
      <c r="G616" s="5" t="s">
        <v>1283</v>
      </c>
      <c r="J616" s="5" t="s">
        <v>2294</v>
      </c>
      <c r="K616" s="5" t="s">
        <v>2295</v>
      </c>
    </row>
    <row r="617" spans="2:11">
      <c r="B617" s="5"/>
      <c r="F617" s="5" t="s">
        <v>1284</v>
      </c>
      <c r="G617" s="5" t="s">
        <v>1285</v>
      </c>
      <c r="J617" s="5" t="s">
        <v>2296</v>
      </c>
      <c r="K617" s="5" t="s">
        <v>2297</v>
      </c>
    </row>
    <row r="618" spans="2:11">
      <c r="B618" s="5"/>
      <c r="F618" s="5" t="s">
        <v>1286</v>
      </c>
      <c r="G618" s="5" t="s">
        <v>1287</v>
      </c>
      <c r="J618" s="5" t="s">
        <v>2298</v>
      </c>
      <c r="K618" s="5" t="s">
        <v>2299</v>
      </c>
    </row>
    <row r="619" spans="2:11">
      <c r="B619" s="5"/>
      <c r="F619" s="5" t="s">
        <v>1288</v>
      </c>
      <c r="G619" s="5" t="s">
        <v>1289</v>
      </c>
      <c r="J619" s="5" t="s">
        <v>2300</v>
      </c>
      <c r="K619" s="5" t="s">
        <v>2301</v>
      </c>
    </row>
    <row r="620" spans="2:11">
      <c r="B620" s="5"/>
      <c r="F620" s="5" t="s">
        <v>1290</v>
      </c>
      <c r="G620" s="5" t="s">
        <v>1291</v>
      </c>
      <c r="J620" s="5" t="s">
        <v>2302</v>
      </c>
      <c r="K620" s="5" t="s">
        <v>2303</v>
      </c>
    </row>
    <row r="621" spans="2:11">
      <c r="B621" s="5"/>
      <c r="F621" s="5" t="s">
        <v>1292</v>
      </c>
      <c r="G621" s="5" t="s">
        <v>1293</v>
      </c>
      <c r="J621" s="5" t="s">
        <v>2304</v>
      </c>
      <c r="K621" s="5" t="s">
        <v>2305</v>
      </c>
    </row>
    <row r="622" spans="2:11">
      <c r="B622" s="5"/>
      <c r="F622" s="5" t="s">
        <v>1294</v>
      </c>
      <c r="G622" s="5" t="s">
        <v>1295</v>
      </c>
      <c r="J622" s="5" t="s">
        <v>2306</v>
      </c>
      <c r="K622" s="5" t="s">
        <v>2307</v>
      </c>
    </row>
    <row r="623" spans="2:11">
      <c r="B623" s="5"/>
      <c r="F623" s="5" t="s">
        <v>1296</v>
      </c>
      <c r="G623" s="5" t="s">
        <v>1297</v>
      </c>
      <c r="J623" s="5" t="s">
        <v>2308</v>
      </c>
      <c r="K623" s="5" t="s">
        <v>2309</v>
      </c>
    </row>
    <row r="624" spans="2:11">
      <c r="B624" s="5"/>
      <c r="F624" s="5" t="s">
        <v>1298</v>
      </c>
      <c r="G624" s="5" t="s">
        <v>1299</v>
      </c>
      <c r="J624" s="5" t="s">
        <v>2310</v>
      </c>
      <c r="K624" s="5" t="s">
        <v>2311</v>
      </c>
    </row>
    <row r="625" spans="2:11">
      <c r="B625" s="5"/>
      <c r="F625" s="5" t="s">
        <v>1300</v>
      </c>
      <c r="G625" s="5" t="s">
        <v>1301</v>
      </c>
      <c r="J625" s="5" t="s">
        <v>2312</v>
      </c>
      <c r="K625" s="5" t="s">
        <v>2313</v>
      </c>
    </row>
    <row r="626" spans="2:11">
      <c r="B626" s="5"/>
      <c r="F626" s="5" t="s">
        <v>1302</v>
      </c>
      <c r="G626" s="5" t="s">
        <v>1303</v>
      </c>
      <c r="J626" s="5" t="s">
        <v>2314</v>
      </c>
      <c r="K626" s="5" t="s">
        <v>2315</v>
      </c>
    </row>
    <row r="627" spans="2:11">
      <c r="B627" s="5"/>
      <c r="F627" s="5" t="s">
        <v>1304</v>
      </c>
      <c r="G627" s="5" t="s">
        <v>1305</v>
      </c>
      <c r="J627" s="5" t="s">
        <v>2316</v>
      </c>
      <c r="K627" s="5" t="s">
        <v>2317</v>
      </c>
    </row>
    <row r="628" spans="2:11">
      <c r="B628" s="5"/>
      <c r="F628" s="5" t="s">
        <v>1306</v>
      </c>
      <c r="G628" s="5" t="s">
        <v>1307</v>
      </c>
      <c r="J628" s="5" t="s">
        <v>2318</v>
      </c>
      <c r="K628" s="5" t="s">
        <v>2319</v>
      </c>
    </row>
    <row r="629" spans="2:11">
      <c r="B629" s="5"/>
      <c r="F629" s="5" t="s">
        <v>1308</v>
      </c>
      <c r="G629" s="5" t="s">
        <v>1309</v>
      </c>
      <c r="J629" s="5" t="s">
        <v>2320</v>
      </c>
      <c r="K629" s="5" t="s">
        <v>2321</v>
      </c>
    </row>
    <row r="630" spans="2:11">
      <c r="B630" s="5"/>
      <c r="F630" s="5" t="s">
        <v>1310</v>
      </c>
      <c r="G630" s="5" t="s">
        <v>1311</v>
      </c>
      <c r="J630" s="5" t="s">
        <v>2322</v>
      </c>
      <c r="K630" s="5" t="s">
        <v>2323</v>
      </c>
    </row>
    <row r="631" spans="2:11">
      <c r="B631" s="5"/>
      <c r="F631" s="5" t="s">
        <v>1312</v>
      </c>
      <c r="G631" s="5" t="s">
        <v>1313</v>
      </c>
      <c r="J631" s="5" t="s">
        <v>2324</v>
      </c>
      <c r="K631" s="5" t="s">
        <v>2325</v>
      </c>
    </row>
    <row r="632" spans="2:11">
      <c r="B632" s="5"/>
      <c r="F632" s="5" t="s">
        <v>1314</v>
      </c>
      <c r="G632" s="5" t="s">
        <v>1315</v>
      </c>
      <c r="J632" s="5" t="s">
        <v>2326</v>
      </c>
      <c r="K632" s="5" t="s">
        <v>2327</v>
      </c>
    </row>
    <row r="633" spans="2:11">
      <c r="B633" s="5"/>
      <c r="F633" s="5" t="s">
        <v>1316</v>
      </c>
      <c r="G633" s="5" t="s">
        <v>1317</v>
      </c>
      <c r="J633" s="5" t="s">
        <v>2328</v>
      </c>
      <c r="K633" s="5" t="s">
        <v>2329</v>
      </c>
    </row>
    <row r="634" spans="2:11">
      <c r="B634" s="5"/>
      <c r="F634" s="5" t="s">
        <v>1318</v>
      </c>
      <c r="G634" s="5" t="s">
        <v>1319</v>
      </c>
      <c r="J634" s="5" t="s">
        <v>2330</v>
      </c>
      <c r="K634" s="5" t="s">
        <v>2331</v>
      </c>
    </row>
    <row r="635" spans="2:11">
      <c r="B635" s="5"/>
      <c r="F635" s="5" t="s">
        <v>1320</v>
      </c>
      <c r="G635" s="5" t="s">
        <v>1321</v>
      </c>
      <c r="J635" s="5" t="s">
        <v>2332</v>
      </c>
      <c r="K635" s="5" t="s">
        <v>2333</v>
      </c>
    </row>
    <row r="636" spans="2:11">
      <c r="B636" s="5"/>
      <c r="F636" s="5" t="s">
        <v>1322</v>
      </c>
      <c r="G636" s="5" t="s">
        <v>1323</v>
      </c>
      <c r="J636" s="5" t="s">
        <v>2334</v>
      </c>
      <c r="K636" s="5" t="s">
        <v>2335</v>
      </c>
    </row>
    <row r="637" spans="2:11">
      <c r="B637" s="5"/>
      <c r="F637" s="5" t="s">
        <v>1324</v>
      </c>
      <c r="G637" s="5" t="s">
        <v>1325</v>
      </c>
      <c r="J637" s="5" t="s">
        <v>2336</v>
      </c>
      <c r="K637" s="5" t="s">
        <v>2337</v>
      </c>
    </row>
    <row r="638" spans="2:11">
      <c r="B638" s="5"/>
      <c r="F638" s="5" t="s">
        <v>1326</v>
      </c>
      <c r="G638" s="5" t="s">
        <v>1327</v>
      </c>
      <c r="J638" s="5" t="s">
        <v>2338</v>
      </c>
      <c r="K638" s="5" t="s">
        <v>2339</v>
      </c>
    </row>
    <row r="639" spans="2:11">
      <c r="B639" s="5"/>
      <c r="F639" s="5" t="s">
        <v>1328</v>
      </c>
      <c r="G639" s="5" t="s">
        <v>1329</v>
      </c>
      <c r="J639" s="5" t="s">
        <v>2340</v>
      </c>
      <c r="K639" s="5" t="s">
        <v>2341</v>
      </c>
    </row>
    <row r="640" spans="2:11">
      <c r="B640" s="5"/>
      <c r="F640" s="5" t="s">
        <v>1330</v>
      </c>
      <c r="G640" s="5" t="s">
        <v>1331</v>
      </c>
      <c r="J640" s="5" t="s">
        <v>2342</v>
      </c>
      <c r="K640" s="5" t="s">
        <v>2343</v>
      </c>
    </row>
    <row r="641" spans="2:11">
      <c r="B641" s="5"/>
      <c r="F641" s="5" t="s">
        <v>1332</v>
      </c>
      <c r="G641" s="5" t="s">
        <v>1333</v>
      </c>
      <c r="J641" s="5" t="s">
        <v>2344</v>
      </c>
      <c r="K641" s="5" t="s">
        <v>2345</v>
      </c>
    </row>
    <row r="642" spans="2:11">
      <c r="B642" s="5"/>
      <c r="F642" s="5" t="s">
        <v>1334</v>
      </c>
      <c r="G642" s="5" t="s">
        <v>1335</v>
      </c>
      <c r="J642" s="5" t="s">
        <v>2346</v>
      </c>
      <c r="K642" s="5" t="s">
        <v>2347</v>
      </c>
    </row>
    <row r="643" spans="2:11">
      <c r="B643" s="5"/>
      <c r="F643" s="5" t="s">
        <v>1336</v>
      </c>
      <c r="G643" s="5" t="s">
        <v>1337</v>
      </c>
      <c r="J643" s="5" t="s">
        <v>2348</v>
      </c>
      <c r="K643" s="5" t="s">
        <v>2349</v>
      </c>
    </row>
    <row r="644" spans="2:11">
      <c r="B644" s="5"/>
      <c r="F644" s="5" t="s">
        <v>1338</v>
      </c>
      <c r="G644" s="5" t="s">
        <v>1339</v>
      </c>
      <c r="J644" s="5" t="s">
        <v>2350</v>
      </c>
      <c r="K644" s="5" t="s">
        <v>2351</v>
      </c>
    </row>
    <row r="645" spans="2:11">
      <c r="B645" s="5"/>
      <c r="F645" s="5" t="s">
        <v>1340</v>
      </c>
      <c r="G645" s="5" t="s">
        <v>1341</v>
      </c>
      <c r="J645" s="5" t="s">
        <v>2352</v>
      </c>
      <c r="K645" s="5" t="s">
        <v>2353</v>
      </c>
    </row>
    <row r="646" spans="2:11">
      <c r="B646" s="5"/>
      <c r="F646" s="5" t="s">
        <v>1342</v>
      </c>
      <c r="G646" s="5" t="s">
        <v>1343</v>
      </c>
      <c r="J646" s="5" t="s">
        <v>2354</v>
      </c>
      <c r="K646" s="5" t="s">
        <v>2355</v>
      </c>
    </row>
    <row r="647" spans="2:11">
      <c r="B647" s="5"/>
      <c r="F647" s="5" t="s">
        <v>1344</v>
      </c>
      <c r="G647" s="5" t="s">
        <v>1345</v>
      </c>
      <c r="J647" s="5" t="s">
        <v>2356</v>
      </c>
      <c r="K647" s="5" t="s">
        <v>2357</v>
      </c>
    </row>
    <row r="648" spans="2:11">
      <c r="B648" s="5"/>
      <c r="F648" s="5" t="s">
        <v>1346</v>
      </c>
      <c r="G648" s="5" t="s">
        <v>1347</v>
      </c>
      <c r="J648" s="5" t="s">
        <v>2358</v>
      </c>
      <c r="K648" s="5" t="s">
        <v>2359</v>
      </c>
    </row>
    <row r="649" spans="2:11">
      <c r="B649" s="5"/>
      <c r="F649" s="5" t="s">
        <v>1348</v>
      </c>
      <c r="G649" s="5" t="s">
        <v>1349</v>
      </c>
      <c r="J649" s="5" t="s">
        <v>2360</v>
      </c>
      <c r="K649" s="5" t="s">
        <v>2361</v>
      </c>
    </row>
    <row r="650" spans="2:11">
      <c r="B650" s="5"/>
      <c r="F650" s="5" t="s">
        <v>1350</v>
      </c>
      <c r="G650" s="5" t="s">
        <v>1351</v>
      </c>
      <c r="J650" s="5" t="s">
        <v>2362</v>
      </c>
      <c r="K650" s="5" t="s">
        <v>2363</v>
      </c>
    </row>
    <row r="651" spans="2:11">
      <c r="B651" s="5"/>
      <c r="F651" s="5" t="s">
        <v>1352</v>
      </c>
      <c r="G651" s="5" t="s">
        <v>1353</v>
      </c>
      <c r="J651" s="5" t="s">
        <v>2364</v>
      </c>
      <c r="K651" s="5" t="s">
        <v>2365</v>
      </c>
    </row>
    <row r="652" spans="2:11">
      <c r="B652" s="5"/>
      <c r="F652" s="5" t="s">
        <v>1354</v>
      </c>
      <c r="G652" s="5" t="s">
        <v>1355</v>
      </c>
      <c r="J652" s="5" t="s">
        <v>2366</v>
      </c>
      <c r="K652" s="5" t="s">
        <v>2367</v>
      </c>
    </row>
    <row r="653" spans="2:11">
      <c r="B653" s="5"/>
      <c r="F653" s="5" t="s">
        <v>1356</v>
      </c>
      <c r="G653" s="5" t="s">
        <v>1357</v>
      </c>
      <c r="J653" s="5" t="s">
        <v>2368</v>
      </c>
      <c r="K653" s="5" t="s">
        <v>2369</v>
      </c>
    </row>
    <row r="654" spans="2:11">
      <c r="B654" s="5"/>
      <c r="F654" s="5" t="s">
        <v>1358</v>
      </c>
      <c r="G654" s="5" t="s">
        <v>1359</v>
      </c>
      <c r="J654" s="5" t="s">
        <v>2370</v>
      </c>
      <c r="K654" s="5" t="s">
        <v>2371</v>
      </c>
    </row>
    <row r="655" spans="2:11">
      <c r="B655" s="5"/>
      <c r="F655" s="5" t="s">
        <v>1360</v>
      </c>
      <c r="G655" s="5" t="s">
        <v>1361</v>
      </c>
      <c r="J655" s="5" t="s">
        <v>2372</v>
      </c>
      <c r="K655" s="5" t="s">
        <v>2373</v>
      </c>
    </row>
    <row r="656" spans="2:11">
      <c r="B656" s="5"/>
      <c r="F656" s="5" t="s">
        <v>1362</v>
      </c>
      <c r="G656" s="5" t="s">
        <v>1363</v>
      </c>
      <c r="J656" s="5" t="s">
        <v>2374</v>
      </c>
      <c r="K656" s="5" t="s">
        <v>2375</v>
      </c>
    </row>
    <row r="657" spans="2:11">
      <c r="B657" s="5"/>
      <c r="F657" s="5" t="s">
        <v>1364</v>
      </c>
      <c r="G657" s="5" t="s">
        <v>1365</v>
      </c>
      <c r="J657" s="5" t="s">
        <v>2376</v>
      </c>
      <c r="K657" s="5" t="s">
        <v>2377</v>
      </c>
    </row>
    <row r="658" spans="2:11">
      <c r="B658" s="5"/>
      <c r="F658" s="5" t="s">
        <v>1366</v>
      </c>
      <c r="G658" s="5" t="s">
        <v>1367</v>
      </c>
      <c r="J658" s="5" t="s">
        <v>2378</v>
      </c>
      <c r="K658" s="5" t="s">
        <v>2379</v>
      </c>
    </row>
    <row r="659" spans="2:11">
      <c r="B659" s="5"/>
      <c r="F659" s="5" t="s">
        <v>1368</v>
      </c>
      <c r="G659" s="5" t="s">
        <v>1369</v>
      </c>
      <c r="J659" s="5" t="s">
        <v>2380</v>
      </c>
      <c r="K659" s="5" t="s">
        <v>2381</v>
      </c>
    </row>
    <row r="660" spans="2:11">
      <c r="B660" s="5"/>
      <c r="F660" s="5" t="s">
        <v>1370</v>
      </c>
      <c r="G660" s="5" t="s">
        <v>1371</v>
      </c>
      <c r="J660" s="5" t="s">
        <v>2382</v>
      </c>
      <c r="K660" s="5" t="s">
        <v>2383</v>
      </c>
    </row>
    <row r="661" spans="2:11">
      <c r="B661" s="5"/>
      <c r="F661" s="5" t="s">
        <v>1372</v>
      </c>
      <c r="G661" s="5" t="s">
        <v>1373</v>
      </c>
      <c r="J661" s="5" t="s">
        <v>2384</v>
      </c>
      <c r="K661" s="5" t="s">
        <v>2385</v>
      </c>
    </row>
    <row r="662" spans="2:11">
      <c r="B662" s="5"/>
      <c r="F662" s="5" t="s">
        <v>1374</v>
      </c>
      <c r="G662" s="5" t="s">
        <v>1375</v>
      </c>
      <c r="J662" s="5" t="s">
        <v>2386</v>
      </c>
      <c r="K662" s="5" t="s">
        <v>2387</v>
      </c>
    </row>
    <row r="663" spans="2:11">
      <c r="B663" s="5"/>
      <c r="F663" s="5" t="s">
        <v>1376</v>
      </c>
      <c r="G663" s="5" t="s">
        <v>1377</v>
      </c>
      <c r="J663" s="5" t="s">
        <v>2388</v>
      </c>
      <c r="K663" s="5" t="s">
        <v>2389</v>
      </c>
    </row>
    <row r="664" spans="2:11">
      <c r="B664" s="5"/>
      <c r="F664" s="5" t="s">
        <v>1378</v>
      </c>
      <c r="G664" s="5" t="s">
        <v>1379</v>
      </c>
      <c r="J664" s="5" t="s">
        <v>2390</v>
      </c>
      <c r="K664" s="5" t="s">
        <v>2391</v>
      </c>
    </row>
    <row r="665" spans="2:11">
      <c r="B665" s="5"/>
      <c r="F665" s="5" t="s">
        <v>1380</v>
      </c>
      <c r="G665" s="5" t="s">
        <v>1381</v>
      </c>
      <c r="J665" s="5" t="s">
        <v>2392</v>
      </c>
      <c r="K665" s="5" t="s">
        <v>2393</v>
      </c>
    </row>
    <row r="666" spans="2:11">
      <c r="B666" s="5"/>
      <c r="F666" s="5" t="s">
        <v>1382</v>
      </c>
      <c r="G666" s="5" t="s">
        <v>1383</v>
      </c>
      <c r="J666" s="5" t="s">
        <v>2394</v>
      </c>
      <c r="K666" s="5" t="s">
        <v>2395</v>
      </c>
    </row>
    <row r="667" spans="2:11">
      <c r="B667" s="5"/>
      <c r="F667" s="5" t="s">
        <v>1384</v>
      </c>
      <c r="G667" s="5" t="s">
        <v>1385</v>
      </c>
      <c r="J667" s="5" t="s">
        <v>2396</v>
      </c>
      <c r="K667" s="5" t="s">
        <v>2397</v>
      </c>
    </row>
    <row r="668" spans="2:11">
      <c r="B668" s="5"/>
      <c r="F668" s="5" t="s">
        <v>1386</v>
      </c>
      <c r="G668" s="5" t="s">
        <v>1387</v>
      </c>
      <c r="J668" s="5" t="s">
        <v>2398</v>
      </c>
      <c r="K668" s="5" t="s">
        <v>2399</v>
      </c>
    </row>
    <row r="669" spans="2:11">
      <c r="B669" s="5"/>
      <c r="F669" s="5" t="s">
        <v>1388</v>
      </c>
      <c r="G669" s="5" t="s">
        <v>1389</v>
      </c>
      <c r="J669" s="5" t="s">
        <v>2400</v>
      </c>
      <c r="K669" s="5" t="s">
        <v>2401</v>
      </c>
    </row>
    <row r="670" spans="2:11">
      <c r="B670" s="5"/>
      <c r="F670" s="5" t="s">
        <v>1390</v>
      </c>
      <c r="G670" s="5" t="s">
        <v>1391</v>
      </c>
      <c r="J670" s="5" t="s">
        <v>2402</v>
      </c>
      <c r="K670" s="5" t="s">
        <v>2403</v>
      </c>
    </row>
    <row r="671" spans="2:11">
      <c r="B671" s="5"/>
      <c r="F671" s="5" t="s">
        <v>1392</v>
      </c>
      <c r="G671" s="5" t="s">
        <v>1393</v>
      </c>
      <c r="J671" s="5" t="s">
        <v>2404</v>
      </c>
      <c r="K671" s="5" t="s">
        <v>2405</v>
      </c>
    </row>
    <row r="672" spans="2:11">
      <c r="B672" s="5"/>
      <c r="F672" s="5" t="s">
        <v>1394</v>
      </c>
      <c r="G672" s="5" t="s">
        <v>1395</v>
      </c>
      <c r="J672" s="5" t="s">
        <v>2406</v>
      </c>
      <c r="K672" s="5" t="s">
        <v>2407</v>
      </c>
    </row>
    <row r="673" spans="2:11">
      <c r="B673" s="5"/>
      <c r="F673" s="5" t="s">
        <v>1396</v>
      </c>
      <c r="G673" s="5" t="s">
        <v>1397</v>
      </c>
      <c r="J673" s="5" t="s">
        <v>2408</v>
      </c>
      <c r="K673" s="5" t="s">
        <v>2409</v>
      </c>
    </row>
    <row r="674" spans="2:11">
      <c r="B674" s="5"/>
      <c r="F674" s="5" t="s">
        <v>1398</v>
      </c>
      <c r="G674" s="5" t="s">
        <v>1399</v>
      </c>
      <c r="J674" s="5" t="s">
        <v>2410</v>
      </c>
      <c r="K674" s="5" t="s">
        <v>2411</v>
      </c>
    </row>
    <row r="675" spans="2:11">
      <c r="B675" s="5"/>
      <c r="F675" s="5" t="s">
        <v>1400</v>
      </c>
      <c r="G675" s="5" t="s">
        <v>1401</v>
      </c>
      <c r="J675" s="5" t="s">
        <v>2412</v>
      </c>
      <c r="K675" s="5" t="s">
        <v>2413</v>
      </c>
    </row>
    <row r="676" spans="2:11">
      <c r="B676" s="5"/>
      <c r="F676" s="5" t="s">
        <v>1402</v>
      </c>
      <c r="G676" s="5" t="s">
        <v>1403</v>
      </c>
      <c r="J676" s="5" t="s">
        <v>2414</v>
      </c>
      <c r="K676" s="5" t="s">
        <v>2415</v>
      </c>
    </row>
    <row r="677" spans="2:11">
      <c r="B677" s="5"/>
      <c r="F677" s="5" t="s">
        <v>1404</v>
      </c>
      <c r="G677" s="5" t="s">
        <v>1405</v>
      </c>
      <c r="J677" s="5" t="s">
        <v>2416</v>
      </c>
      <c r="K677" s="5" t="s">
        <v>2417</v>
      </c>
    </row>
    <row r="678" spans="2:11">
      <c r="B678" s="5"/>
      <c r="F678" s="5" t="s">
        <v>1406</v>
      </c>
      <c r="G678" s="5" t="s">
        <v>1407</v>
      </c>
      <c r="J678" s="5" t="s">
        <v>2418</v>
      </c>
      <c r="K678" s="5" t="s">
        <v>2419</v>
      </c>
    </row>
    <row r="679" spans="2:11">
      <c r="B679" s="5"/>
      <c r="F679" s="5" t="s">
        <v>1408</v>
      </c>
      <c r="G679" s="5" t="s">
        <v>1409</v>
      </c>
      <c r="J679" s="5" t="s">
        <v>2420</v>
      </c>
      <c r="K679" s="5" t="s">
        <v>2421</v>
      </c>
    </row>
    <row r="680" spans="2:11">
      <c r="B680" s="5"/>
      <c r="F680" s="5" t="s">
        <v>1410</v>
      </c>
      <c r="G680" s="5" t="s">
        <v>1411</v>
      </c>
      <c r="J680" s="5" t="s">
        <v>2422</v>
      </c>
      <c r="K680" s="5" t="s">
        <v>2423</v>
      </c>
    </row>
    <row r="681" spans="2:11">
      <c r="B681" s="5"/>
      <c r="F681" s="5" t="s">
        <v>1412</v>
      </c>
      <c r="G681" s="5" t="s">
        <v>1413</v>
      </c>
      <c r="J681" s="5" t="s">
        <v>2424</v>
      </c>
      <c r="K681" s="5" t="s">
        <v>2425</v>
      </c>
    </row>
    <row r="682" spans="2:11">
      <c r="B682" s="5"/>
      <c r="F682" s="5" t="s">
        <v>1414</v>
      </c>
      <c r="G682" s="5" t="s">
        <v>1415</v>
      </c>
      <c r="J682" s="5" t="s">
        <v>2426</v>
      </c>
      <c r="K682" s="5" t="s">
        <v>2427</v>
      </c>
    </row>
    <row r="683" spans="2:11">
      <c r="B683" s="5"/>
      <c r="F683" s="5" t="s">
        <v>1416</v>
      </c>
      <c r="G683" s="5" t="s">
        <v>1417</v>
      </c>
      <c r="J683" s="5" t="s">
        <v>2428</v>
      </c>
      <c r="K683" s="5" t="s">
        <v>2429</v>
      </c>
    </row>
    <row r="684" spans="2:11">
      <c r="B684" s="5"/>
      <c r="F684" s="5" t="s">
        <v>1418</v>
      </c>
      <c r="G684" s="5" t="s">
        <v>1419</v>
      </c>
      <c r="J684" s="5" t="s">
        <v>2430</v>
      </c>
      <c r="K684" s="5" t="s">
        <v>2431</v>
      </c>
    </row>
    <row r="685" spans="2:11">
      <c r="B685" s="5"/>
      <c r="F685" s="5" t="s">
        <v>1420</v>
      </c>
      <c r="G685" s="5" t="s">
        <v>1421</v>
      </c>
      <c r="J685" s="5" t="s">
        <v>2432</v>
      </c>
      <c r="K685" s="5" t="s">
        <v>2433</v>
      </c>
    </row>
    <row r="686" spans="2:11">
      <c r="B686" s="5"/>
      <c r="F686" s="5" t="s">
        <v>1422</v>
      </c>
      <c r="G686" s="5" t="s">
        <v>1423</v>
      </c>
      <c r="J686" s="5" t="s">
        <v>2434</v>
      </c>
      <c r="K686" s="5" t="s">
        <v>2435</v>
      </c>
    </row>
    <row r="687" spans="2:11">
      <c r="B687" s="5"/>
      <c r="F687" s="5" t="s">
        <v>1424</v>
      </c>
      <c r="G687" s="5" t="s">
        <v>1425</v>
      </c>
      <c r="J687" s="5" t="s">
        <v>2436</v>
      </c>
      <c r="K687" s="5" t="s">
        <v>2437</v>
      </c>
    </row>
    <row r="688" spans="2:11">
      <c r="B688" s="5"/>
      <c r="F688" s="5" t="s">
        <v>1426</v>
      </c>
      <c r="G688" s="5" t="s">
        <v>1427</v>
      </c>
      <c r="J688" s="5" t="s">
        <v>2438</v>
      </c>
      <c r="K688" s="5" t="s">
        <v>2439</v>
      </c>
    </row>
    <row r="689" spans="2:11">
      <c r="B689" s="5"/>
      <c r="F689" s="5" t="s">
        <v>1428</v>
      </c>
      <c r="G689" s="5" t="s">
        <v>1429</v>
      </c>
      <c r="J689" s="5" t="s">
        <v>2440</v>
      </c>
      <c r="K689" s="5" t="s">
        <v>2441</v>
      </c>
    </row>
    <row r="690" spans="2:11">
      <c r="B690" s="5"/>
      <c r="F690" s="5" t="s">
        <v>1430</v>
      </c>
      <c r="G690" s="5" t="s">
        <v>1431</v>
      </c>
      <c r="J690" s="5" t="s">
        <v>2442</v>
      </c>
      <c r="K690" s="5" t="s">
        <v>2443</v>
      </c>
    </row>
    <row r="691" spans="2:11">
      <c r="B691" s="5"/>
      <c r="F691" s="5" t="s">
        <v>1432</v>
      </c>
      <c r="G691" s="5" t="s">
        <v>1433</v>
      </c>
      <c r="J691" s="5" t="s">
        <v>2444</v>
      </c>
      <c r="K691" s="5" t="s">
        <v>2445</v>
      </c>
    </row>
    <row r="692" spans="2:11">
      <c r="B692" s="5"/>
      <c r="F692" s="5" t="s">
        <v>1434</v>
      </c>
      <c r="G692" s="5" t="s">
        <v>1435</v>
      </c>
      <c r="J692" s="5" t="s">
        <v>2446</v>
      </c>
      <c r="K692" s="5" t="s">
        <v>2447</v>
      </c>
    </row>
    <row r="693" spans="2:11">
      <c r="B693" s="5"/>
      <c r="F693" s="5" t="s">
        <v>1436</v>
      </c>
      <c r="G693" s="5" t="s">
        <v>1437</v>
      </c>
      <c r="J693" s="5" t="s">
        <v>2448</v>
      </c>
      <c r="K693" s="5" t="s">
        <v>2449</v>
      </c>
    </row>
    <row r="694" spans="2:11">
      <c r="B694" s="5"/>
      <c r="F694" s="5" t="s">
        <v>1438</v>
      </c>
      <c r="G694" s="5" t="s">
        <v>1439</v>
      </c>
      <c r="J694" s="5" t="s">
        <v>2450</v>
      </c>
      <c r="K694" s="5" t="s">
        <v>2451</v>
      </c>
    </row>
    <row r="695" spans="2:11">
      <c r="B695" s="5"/>
      <c r="F695" s="5" t="s">
        <v>1440</v>
      </c>
      <c r="G695" s="5" t="s">
        <v>1441</v>
      </c>
      <c r="J695" s="5" t="s">
        <v>2452</v>
      </c>
      <c r="K695" s="5" t="s">
        <v>2453</v>
      </c>
    </row>
    <row r="696" spans="2:11">
      <c r="B696" s="5"/>
      <c r="F696" s="5" t="s">
        <v>1442</v>
      </c>
      <c r="G696" s="5" t="s">
        <v>1443</v>
      </c>
      <c r="J696" s="5" t="s">
        <v>2454</v>
      </c>
      <c r="K696" s="5" t="s">
        <v>2455</v>
      </c>
    </row>
    <row r="697" spans="2:11">
      <c r="B697" s="5"/>
      <c r="F697" s="5" t="s">
        <v>1444</v>
      </c>
      <c r="G697" s="5" t="s">
        <v>1445</v>
      </c>
      <c r="J697" s="5" t="s">
        <v>2456</v>
      </c>
      <c r="K697" s="5" t="s">
        <v>2457</v>
      </c>
    </row>
    <row r="698" spans="2:11">
      <c r="B698" s="5"/>
      <c r="F698" s="5" t="s">
        <v>1446</v>
      </c>
      <c r="G698" s="5" t="s">
        <v>1447</v>
      </c>
      <c r="J698" s="5" t="s">
        <v>2458</v>
      </c>
      <c r="K698" s="5" t="s">
        <v>2459</v>
      </c>
    </row>
    <row r="699" spans="2:11">
      <c r="B699" s="5"/>
      <c r="F699" s="5" t="s">
        <v>1448</v>
      </c>
      <c r="G699" s="5" t="s">
        <v>1449</v>
      </c>
      <c r="J699" s="5" t="s">
        <v>2460</v>
      </c>
      <c r="K699" s="5" t="s">
        <v>2461</v>
      </c>
    </row>
    <row r="700" spans="2:11">
      <c r="B700" s="5"/>
      <c r="F700" s="5" t="s">
        <v>1450</v>
      </c>
      <c r="G700" s="5" t="s">
        <v>1451</v>
      </c>
      <c r="J700" s="5" t="s">
        <v>2462</v>
      </c>
      <c r="K700" s="5" t="s">
        <v>2463</v>
      </c>
    </row>
    <row r="701" spans="2:11">
      <c r="B701" s="5"/>
      <c r="F701" s="5" t="s">
        <v>1452</v>
      </c>
      <c r="G701" s="5" t="s">
        <v>1453</v>
      </c>
      <c r="J701" s="5" t="s">
        <v>2464</v>
      </c>
      <c r="K701" s="5" t="s">
        <v>2465</v>
      </c>
    </row>
    <row r="702" spans="2:11">
      <c r="B702" s="5"/>
      <c r="F702" s="5" t="s">
        <v>1454</v>
      </c>
      <c r="G702" s="5" t="s">
        <v>1455</v>
      </c>
      <c r="J702" s="5" t="s">
        <v>2466</v>
      </c>
      <c r="K702" s="5" t="s">
        <v>2467</v>
      </c>
    </row>
    <row r="703" spans="2:11">
      <c r="B703" s="5"/>
      <c r="F703" s="5" t="s">
        <v>1456</v>
      </c>
      <c r="G703" s="5" t="s">
        <v>1457</v>
      </c>
      <c r="J703" s="5" t="s">
        <v>2468</v>
      </c>
      <c r="K703" s="5" t="s">
        <v>2469</v>
      </c>
    </row>
    <row r="704" spans="2:11">
      <c r="B704" s="5"/>
      <c r="F704" s="5" t="s">
        <v>1458</v>
      </c>
      <c r="G704" s="5" t="s">
        <v>1459</v>
      </c>
      <c r="J704" s="5" t="s">
        <v>2470</v>
      </c>
      <c r="K704" s="5" t="s">
        <v>2471</v>
      </c>
    </row>
    <row r="705" spans="2:11">
      <c r="B705" s="5"/>
      <c r="F705" s="5" t="s">
        <v>1460</v>
      </c>
      <c r="G705" s="5" t="s">
        <v>1461</v>
      </c>
      <c r="J705" s="5" t="s">
        <v>2472</v>
      </c>
      <c r="K705" s="5" t="s">
        <v>2473</v>
      </c>
    </row>
    <row r="706" spans="2:11">
      <c r="B706" s="5"/>
      <c r="F706" s="5" t="s">
        <v>1462</v>
      </c>
      <c r="G706" s="5" t="s">
        <v>1463</v>
      </c>
      <c r="J706" s="5" t="s">
        <v>2474</v>
      </c>
      <c r="K706" s="5" t="s">
        <v>2475</v>
      </c>
    </row>
    <row r="707" spans="2:11">
      <c r="B707" s="5"/>
      <c r="F707" s="5" t="s">
        <v>1464</v>
      </c>
      <c r="G707" s="5" t="s">
        <v>1465</v>
      </c>
      <c r="J707" s="5" t="s">
        <v>2476</v>
      </c>
      <c r="K707" s="5" t="s">
        <v>2477</v>
      </c>
    </row>
    <row r="708" spans="2:11">
      <c r="B708" s="5"/>
      <c r="F708" s="5" t="s">
        <v>1466</v>
      </c>
      <c r="G708" s="5" t="s">
        <v>1467</v>
      </c>
      <c r="J708" s="5" t="s">
        <v>2478</v>
      </c>
      <c r="K708" s="5" t="s">
        <v>2479</v>
      </c>
    </row>
    <row r="709" spans="2:11">
      <c r="B709" s="5"/>
      <c r="F709" s="5" t="s">
        <v>1468</v>
      </c>
      <c r="G709" s="5" t="s">
        <v>1469</v>
      </c>
      <c r="J709" s="5" t="s">
        <v>2480</v>
      </c>
      <c r="K709" s="5" t="s">
        <v>2481</v>
      </c>
    </row>
    <row r="710" spans="2:11">
      <c r="B710" s="5"/>
      <c r="F710" s="5" t="s">
        <v>1470</v>
      </c>
      <c r="G710" s="5" t="s">
        <v>1471</v>
      </c>
      <c r="J710" s="5" t="s">
        <v>2482</v>
      </c>
      <c r="K710" s="5" t="s">
        <v>2483</v>
      </c>
    </row>
    <row r="711" spans="2:11">
      <c r="B711" s="5"/>
      <c r="F711" s="5" t="s">
        <v>1472</v>
      </c>
      <c r="G711" s="5" t="s">
        <v>1473</v>
      </c>
      <c r="J711" s="5" t="s">
        <v>2484</v>
      </c>
      <c r="K711" s="5" t="s">
        <v>2485</v>
      </c>
    </row>
    <row r="712" spans="2:11">
      <c r="B712" s="5"/>
      <c r="F712" s="5" t="s">
        <v>1474</v>
      </c>
      <c r="G712" s="5" t="s">
        <v>1475</v>
      </c>
      <c r="J712" s="5" t="s">
        <v>2486</v>
      </c>
      <c r="K712" s="5" t="s">
        <v>2487</v>
      </c>
    </row>
    <row r="713" spans="2:11">
      <c r="B713" s="5"/>
      <c r="F713" s="5" t="s">
        <v>1476</v>
      </c>
      <c r="G713" s="5" t="s">
        <v>1477</v>
      </c>
      <c r="J713" s="5" t="s">
        <v>2488</v>
      </c>
      <c r="K713" s="5" t="s">
        <v>2489</v>
      </c>
    </row>
    <row r="714" spans="2:11">
      <c r="B714" s="5"/>
      <c r="F714" s="5" t="s">
        <v>1478</v>
      </c>
      <c r="G714" s="5" t="s">
        <v>1479</v>
      </c>
      <c r="J714" s="5" t="s">
        <v>2490</v>
      </c>
      <c r="K714" s="5" t="s">
        <v>2491</v>
      </c>
    </row>
    <row r="715" spans="2:11">
      <c r="B715" s="5"/>
      <c r="F715" s="5" t="s">
        <v>1480</v>
      </c>
      <c r="G715" s="5" t="s">
        <v>1481</v>
      </c>
      <c r="J715" s="5" t="s">
        <v>2492</v>
      </c>
      <c r="K715" s="5" t="s">
        <v>2493</v>
      </c>
    </row>
    <row r="716" spans="2:11">
      <c r="B716" s="5"/>
      <c r="F716" s="5" t="s">
        <v>1482</v>
      </c>
      <c r="G716" s="5" t="s">
        <v>1483</v>
      </c>
      <c r="J716" s="5" t="s">
        <v>2494</v>
      </c>
      <c r="K716" s="5" t="s">
        <v>2495</v>
      </c>
    </row>
    <row r="717" spans="2:11">
      <c r="B717" s="5"/>
      <c r="F717" s="5" t="s">
        <v>1484</v>
      </c>
      <c r="G717" s="5" t="s">
        <v>1485</v>
      </c>
      <c r="J717" s="5" t="s">
        <v>2496</v>
      </c>
      <c r="K717" s="5" t="s">
        <v>2497</v>
      </c>
    </row>
    <row r="718" spans="2:11">
      <c r="B718" s="5"/>
      <c r="F718" s="5" t="s">
        <v>1486</v>
      </c>
      <c r="G718" s="5" t="s">
        <v>1487</v>
      </c>
      <c r="J718" s="5" t="s">
        <v>2498</v>
      </c>
      <c r="K718" s="5" t="s">
        <v>2499</v>
      </c>
    </row>
    <row r="719" spans="2:11">
      <c r="B719" s="5"/>
      <c r="F719" s="5" t="s">
        <v>1488</v>
      </c>
      <c r="G719" s="5" t="s">
        <v>1489</v>
      </c>
      <c r="J719" s="5" t="s">
        <v>2500</v>
      </c>
      <c r="K719" s="5" t="s">
        <v>2501</v>
      </c>
    </row>
    <row r="720" spans="2:11">
      <c r="B720" s="5"/>
      <c r="F720" s="5" t="s">
        <v>1490</v>
      </c>
      <c r="G720" s="5" t="s">
        <v>1491</v>
      </c>
      <c r="J720" s="5" t="s">
        <v>2502</v>
      </c>
      <c r="K720" s="5" t="s">
        <v>2503</v>
      </c>
    </row>
    <row r="721" spans="2:11">
      <c r="B721" s="5"/>
      <c r="F721" s="5" t="s">
        <v>1492</v>
      </c>
      <c r="G721" s="5" t="s">
        <v>1493</v>
      </c>
      <c r="J721" s="5" t="s">
        <v>2504</v>
      </c>
      <c r="K721" s="5" t="s">
        <v>2505</v>
      </c>
    </row>
    <row r="722" spans="2:11">
      <c r="B722" s="5"/>
      <c r="F722" s="5" t="s">
        <v>1494</v>
      </c>
      <c r="G722" s="5" t="s">
        <v>1495</v>
      </c>
      <c r="J722" s="5" t="s">
        <v>2506</v>
      </c>
      <c r="K722" s="5" t="s">
        <v>2507</v>
      </c>
    </row>
    <row r="723" spans="2:11">
      <c r="B723" s="5"/>
      <c r="F723" s="5" t="s">
        <v>1496</v>
      </c>
      <c r="G723" s="5" t="s">
        <v>1497</v>
      </c>
      <c r="J723" s="5" t="s">
        <v>2508</v>
      </c>
      <c r="K723" s="5" t="s">
        <v>2509</v>
      </c>
    </row>
    <row r="724" spans="2:11">
      <c r="B724" s="5"/>
      <c r="F724" s="5" t="s">
        <v>1498</v>
      </c>
      <c r="G724" s="5" t="s">
        <v>1499</v>
      </c>
      <c r="J724" s="5" t="s">
        <v>2510</v>
      </c>
      <c r="K724" s="5" t="s">
        <v>2511</v>
      </c>
    </row>
    <row r="725" spans="2:11">
      <c r="B725" s="5"/>
      <c r="F725" s="5" t="s">
        <v>1500</v>
      </c>
      <c r="G725" s="5" t="s">
        <v>1501</v>
      </c>
      <c r="J725" s="5" t="s">
        <v>2512</v>
      </c>
      <c r="K725" s="5" t="s">
        <v>2513</v>
      </c>
    </row>
    <row r="726" spans="2:11">
      <c r="B726" s="5"/>
      <c r="F726" s="5" t="s">
        <v>1502</v>
      </c>
      <c r="G726" s="5" t="s">
        <v>1503</v>
      </c>
      <c r="J726" s="5" t="s">
        <v>2514</v>
      </c>
      <c r="K726" s="5" t="s">
        <v>2515</v>
      </c>
    </row>
    <row r="727" spans="2:11">
      <c r="B727" s="5"/>
      <c r="F727" s="5" t="s">
        <v>1504</v>
      </c>
      <c r="G727" s="5" t="s">
        <v>1505</v>
      </c>
      <c r="J727" s="5" t="s">
        <v>2516</v>
      </c>
      <c r="K727" s="5" t="s">
        <v>2517</v>
      </c>
    </row>
    <row r="728" spans="2:11">
      <c r="B728" s="5"/>
      <c r="F728" s="5" t="s">
        <v>1506</v>
      </c>
      <c r="G728" s="5" t="s">
        <v>1507</v>
      </c>
      <c r="J728" s="5" t="s">
        <v>2518</v>
      </c>
      <c r="K728" s="5" t="s">
        <v>2519</v>
      </c>
    </row>
    <row r="729" spans="2:11">
      <c r="B729" s="5"/>
      <c r="F729" s="5" t="s">
        <v>1508</v>
      </c>
      <c r="G729" s="5" t="s">
        <v>1509</v>
      </c>
      <c r="J729" s="5" t="s">
        <v>2520</v>
      </c>
      <c r="K729" s="5" t="s">
        <v>2521</v>
      </c>
    </row>
    <row r="730" spans="2:11">
      <c r="B730" s="5"/>
      <c r="F730" s="5" t="s">
        <v>1510</v>
      </c>
      <c r="G730" s="5" t="s">
        <v>1511</v>
      </c>
      <c r="J730" s="5" t="s">
        <v>2522</v>
      </c>
      <c r="K730" s="5" t="s">
        <v>2523</v>
      </c>
    </row>
    <row r="731" spans="2:11">
      <c r="B731" s="5"/>
      <c r="F731" s="5" t="s">
        <v>1512</v>
      </c>
      <c r="G731" s="5" t="s">
        <v>1513</v>
      </c>
      <c r="J731" s="5" t="s">
        <v>2524</v>
      </c>
      <c r="K731" s="5" t="s">
        <v>2525</v>
      </c>
    </row>
    <row r="732" spans="2:11">
      <c r="B732" s="5"/>
      <c r="F732" s="5" t="s">
        <v>1514</v>
      </c>
      <c r="G732" s="5" t="s">
        <v>1515</v>
      </c>
      <c r="J732" s="5" t="s">
        <v>2526</v>
      </c>
      <c r="K732" s="5" t="s">
        <v>2527</v>
      </c>
    </row>
    <row r="733" spans="2:11">
      <c r="B733" s="5"/>
      <c r="F733" s="5" t="s">
        <v>1516</v>
      </c>
      <c r="G733" s="5" t="s">
        <v>1517</v>
      </c>
      <c r="J733" s="5" t="s">
        <v>2528</v>
      </c>
      <c r="K733" s="5" t="s">
        <v>2529</v>
      </c>
    </row>
    <row r="734" spans="2:11">
      <c r="B734" s="5"/>
      <c r="F734" s="5" t="s">
        <v>1518</v>
      </c>
      <c r="G734" s="5" t="s">
        <v>1519</v>
      </c>
      <c r="J734" s="5" t="s">
        <v>2530</v>
      </c>
      <c r="K734" s="5" t="s">
        <v>2531</v>
      </c>
    </row>
    <row r="735" spans="2:11">
      <c r="B735" s="5"/>
      <c r="F735" s="5" t="s">
        <v>1520</v>
      </c>
      <c r="G735" s="5" t="s">
        <v>1521</v>
      </c>
      <c r="J735" s="5" t="s">
        <v>2532</v>
      </c>
      <c r="K735" s="5" t="s">
        <v>2533</v>
      </c>
    </row>
    <row r="736" spans="2:11">
      <c r="B736" s="5"/>
      <c r="F736" s="5" t="s">
        <v>1522</v>
      </c>
      <c r="G736" s="5" t="s">
        <v>1523</v>
      </c>
      <c r="J736" s="5" t="s">
        <v>2534</v>
      </c>
      <c r="K736" s="5" t="s">
        <v>2535</v>
      </c>
    </row>
    <row r="737" spans="2:11">
      <c r="B737" s="5"/>
      <c r="F737" s="5" t="s">
        <v>1524</v>
      </c>
      <c r="G737" s="5" t="s">
        <v>1525</v>
      </c>
      <c r="J737" s="5" t="s">
        <v>2536</v>
      </c>
      <c r="K737" s="5" t="s">
        <v>2537</v>
      </c>
    </row>
    <row r="738" spans="2:11">
      <c r="B738" s="5"/>
      <c r="F738" s="5" t="s">
        <v>1526</v>
      </c>
      <c r="G738" s="5" t="s">
        <v>1527</v>
      </c>
      <c r="J738" s="5" t="s">
        <v>2538</v>
      </c>
      <c r="K738" s="5" t="s">
        <v>2539</v>
      </c>
    </row>
    <row r="739" spans="2:11">
      <c r="B739" s="5"/>
      <c r="F739" s="5" t="s">
        <v>1528</v>
      </c>
      <c r="G739" s="5" t="s">
        <v>1529</v>
      </c>
      <c r="J739" s="5" t="s">
        <v>2540</v>
      </c>
      <c r="K739" s="5" t="s">
        <v>2541</v>
      </c>
    </row>
    <row r="740" spans="2:11">
      <c r="B740" s="5"/>
      <c r="F740" s="5" t="s">
        <v>1530</v>
      </c>
      <c r="G740" s="5" t="s">
        <v>1531</v>
      </c>
      <c r="J740" s="5" t="s">
        <v>2542</v>
      </c>
      <c r="K740" s="5" t="s">
        <v>2543</v>
      </c>
    </row>
    <row r="741" spans="2:11">
      <c r="B741" s="5"/>
      <c r="F741" s="5" t="s">
        <v>1532</v>
      </c>
      <c r="G741" s="5" t="s">
        <v>1533</v>
      </c>
      <c r="J741" s="5" t="s">
        <v>2544</v>
      </c>
      <c r="K741" s="5" t="s">
        <v>2545</v>
      </c>
    </row>
    <row r="742" spans="2:11">
      <c r="B742" s="5"/>
      <c r="F742" s="5" t="s">
        <v>1534</v>
      </c>
      <c r="G742" s="5" t="s">
        <v>1535</v>
      </c>
      <c r="J742" s="5" t="s">
        <v>2546</v>
      </c>
      <c r="K742" s="5" t="s">
        <v>2547</v>
      </c>
    </row>
    <row r="743" spans="2:11">
      <c r="B743" s="5"/>
      <c r="F743" s="5" t="s">
        <v>1536</v>
      </c>
      <c r="G743" s="5" t="s">
        <v>1537</v>
      </c>
      <c r="J743" s="5" t="s">
        <v>2548</v>
      </c>
      <c r="K743" s="5" t="s">
        <v>2549</v>
      </c>
    </row>
    <row r="744" spans="2:11">
      <c r="B744" s="5"/>
      <c r="F744" s="5" t="s">
        <v>1538</v>
      </c>
      <c r="G744" s="5" t="s">
        <v>1539</v>
      </c>
      <c r="J744" s="5" t="s">
        <v>2550</v>
      </c>
      <c r="K744" s="5" t="s">
        <v>2551</v>
      </c>
    </row>
    <row r="745" spans="2:11">
      <c r="B745" s="5"/>
      <c r="F745" s="5" t="s">
        <v>1540</v>
      </c>
      <c r="G745" s="5" t="s">
        <v>1541</v>
      </c>
      <c r="J745" s="5" t="s">
        <v>2552</v>
      </c>
      <c r="K745" s="5" t="s">
        <v>2553</v>
      </c>
    </row>
    <row r="746" spans="2:11">
      <c r="B746" s="5"/>
      <c r="F746" s="5" t="s">
        <v>1542</v>
      </c>
      <c r="G746" s="5" t="s">
        <v>1543</v>
      </c>
      <c r="J746" s="5" t="s">
        <v>2554</v>
      </c>
      <c r="K746" s="5" t="s">
        <v>2555</v>
      </c>
    </row>
    <row r="747" spans="2:11">
      <c r="B747" s="5"/>
      <c r="F747" s="5" t="s">
        <v>1544</v>
      </c>
      <c r="G747" s="5" t="s">
        <v>1545</v>
      </c>
      <c r="J747" s="5" t="s">
        <v>2556</v>
      </c>
      <c r="K747" s="5" t="s">
        <v>2557</v>
      </c>
    </row>
    <row r="748" spans="2:11">
      <c r="B748" s="5"/>
      <c r="F748" s="5" t="s">
        <v>1546</v>
      </c>
      <c r="G748" s="5" t="s">
        <v>1547</v>
      </c>
      <c r="J748" s="5" t="s">
        <v>2558</v>
      </c>
      <c r="K748" s="5" t="s">
        <v>2559</v>
      </c>
    </row>
    <row r="749" spans="2:11">
      <c r="B749" s="5"/>
      <c r="F749" s="5" t="s">
        <v>1548</v>
      </c>
      <c r="G749" s="5" t="s">
        <v>1549</v>
      </c>
      <c r="J749" s="5" t="s">
        <v>2560</v>
      </c>
      <c r="K749" s="5" t="s">
        <v>2561</v>
      </c>
    </row>
    <row r="750" spans="2:11">
      <c r="B750" s="5"/>
      <c r="F750" s="5" t="s">
        <v>1550</v>
      </c>
      <c r="G750" s="5" t="s">
        <v>1551</v>
      </c>
      <c r="J750" s="5" t="s">
        <v>2562</v>
      </c>
      <c r="K750" s="5" t="s">
        <v>2563</v>
      </c>
    </row>
    <row r="751" spans="2:11">
      <c r="B751" s="5"/>
      <c r="F751" s="5" t="s">
        <v>1552</v>
      </c>
      <c r="G751" s="5" t="s">
        <v>1553</v>
      </c>
      <c r="J751" s="5" t="s">
        <v>2564</v>
      </c>
      <c r="K751" s="5" t="s">
        <v>2565</v>
      </c>
    </row>
    <row r="752" spans="2:11">
      <c r="B752" s="5"/>
      <c r="F752" s="5" t="s">
        <v>1554</v>
      </c>
      <c r="G752" s="5" t="s">
        <v>1555</v>
      </c>
      <c r="J752" s="5" t="s">
        <v>2566</v>
      </c>
      <c r="K752" s="5" t="s">
        <v>2567</v>
      </c>
    </row>
    <row r="753" spans="2:11">
      <c r="B753" s="5"/>
      <c r="F753" s="5" t="s">
        <v>1556</v>
      </c>
      <c r="G753" s="5" t="s">
        <v>1557</v>
      </c>
      <c r="J753" s="5" t="s">
        <v>2568</v>
      </c>
      <c r="K753" s="5" t="s">
        <v>2569</v>
      </c>
    </row>
    <row r="754" spans="2:11">
      <c r="B754" s="5"/>
      <c r="F754" s="5" t="s">
        <v>1558</v>
      </c>
      <c r="G754" s="5" t="s">
        <v>1559</v>
      </c>
      <c r="J754" s="5" t="s">
        <v>2570</v>
      </c>
      <c r="K754" s="5" t="s">
        <v>2571</v>
      </c>
    </row>
    <row r="755" spans="2:11">
      <c r="B755" s="5"/>
      <c r="F755" s="5" t="s">
        <v>1560</v>
      </c>
      <c r="G755" s="5" t="s">
        <v>1561</v>
      </c>
      <c r="J755" s="5" t="s">
        <v>2572</v>
      </c>
      <c r="K755" s="5" t="s">
        <v>2573</v>
      </c>
    </row>
    <row r="756" spans="2:11">
      <c r="B756" s="5"/>
      <c r="F756" s="5" t="s">
        <v>1562</v>
      </c>
      <c r="G756" s="5" t="s">
        <v>1563</v>
      </c>
      <c r="J756" s="5" t="s">
        <v>2574</v>
      </c>
      <c r="K756" s="5" t="s">
        <v>2575</v>
      </c>
    </row>
    <row r="757" spans="2:11">
      <c r="B757" s="5"/>
      <c r="F757" s="5" t="s">
        <v>1564</v>
      </c>
      <c r="G757" s="5" t="s">
        <v>1565</v>
      </c>
      <c r="J757" s="5" t="s">
        <v>2576</v>
      </c>
      <c r="K757" s="5" t="s">
        <v>2577</v>
      </c>
    </row>
    <row r="758" spans="2:11">
      <c r="B758" s="5"/>
      <c r="F758" s="5" t="s">
        <v>1566</v>
      </c>
      <c r="G758" s="5" t="s">
        <v>1567</v>
      </c>
      <c r="J758" s="5" t="s">
        <v>2578</v>
      </c>
      <c r="K758" s="5" t="s">
        <v>2579</v>
      </c>
    </row>
    <row r="759" spans="2:11">
      <c r="B759" s="5"/>
      <c r="F759" s="5" t="s">
        <v>1568</v>
      </c>
      <c r="G759" s="5" t="s">
        <v>1569</v>
      </c>
      <c r="J759" s="5" t="s">
        <v>2580</v>
      </c>
      <c r="K759" s="5" t="s">
        <v>2581</v>
      </c>
    </row>
    <row r="760" spans="2:11">
      <c r="B760" s="5"/>
      <c r="F760" s="5" t="s">
        <v>1570</v>
      </c>
      <c r="G760" s="5" t="s">
        <v>1571</v>
      </c>
      <c r="J760" s="5" t="s">
        <v>2582</v>
      </c>
      <c r="K760" s="5" t="s">
        <v>2583</v>
      </c>
    </row>
    <row r="761" spans="2:11">
      <c r="B761" s="5"/>
      <c r="F761" s="5" t="s">
        <v>1572</v>
      </c>
      <c r="G761" s="5" t="s">
        <v>1573</v>
      </c>
      <c r="J761" s="5" t="s">
        <v>2584</v>
      </c>
      <c r="K761" s="5" t="s">
        <v>2585</v>
      </c>
    </row>
    <row r="762" spans="2:11">
      <c r="B762" s="5"/>
      <c r="F762" s="5" t="s">
        <v>1574</v>
      </c>
      <c r="G762" s="5" t="s">
        <v>1575</v>
      </c>
      <c r="J762" s="5" t="s">
        <v>2586</v>
      </c>
      <c r="K762" s="5" t="s">
        <v>2587</v>
      </c>
    </row>
    <row r="763" spans="2:11">
      <c r="B763" s="5"/>
      <c r="F763" s="5" t="s">
        <v>1576</v>
      </c>
      <c r="G763" s="5" t="s">
        <v>1577</v>
      </c>
      <c r="J763" s="5" t="s">
        <v>2588</v>
      </c>
      <c r="K763" s="5" t="s">
        <v>2589</v>
      </c>
    </row>
    <row r="764" spans="2:11">
      <c r="B764" s="5"/>
      <c r="F764" s="5" t="s">
        <v>1578</v>
      </c>
      <c r="G764" s="5" t="s">
        <v>1579</v>
      </c>
      <c r="J764" s="5" t="s">
        <v>2590</v>
      </c>
      <c r="K764" s="5" t="s">
        <v>2591</v>
      </c>
    </row>
    <row r="765" spans="2:11">
      <c r="B765" s="5"/>
      <c r="F765" s="5" t="s">
        <v>1580</v>
      </c>
      <c r="G765" s="5" t="s">
        <v>1581</v>
      </c>
      <c r="J765" s="5" t="s">
        <v>2592</v>
      </c>
      <c r="K765" s="5" t="s">
        <v>2593</v>
      </c>
    </row>
    <row r="766" spans="2:11">
      <c r="B766" s="5"/>
      <c r="F766" s="5" t="s">
        <v>1582</v>
      </c>
      <c r="G766" s="5" t="s">
        <v>1583</v>
      </c>
      <c r="J766" s="5" t="s">
        <v>2594</v>
      </c>
      <c r="K766" s="5" t="s">
        <v>2595</v>
      </c>
    </row>
    <row r="767" spans="2:11">
      <c r="B767" s="5"/>
      <c r="F767" s="5" t="s">
        <v>1584</v>
      </c>
      <c r="G767" s="5" t="s">
        <v>1585</v>
      </c>
      <c r="J767" s="5" t="s">
        <v>2596</v>
      </c>
      <c r="K767" s="5" t="s">
        <v>2597</v>
      </c>
    </row>
    <row r="768" spans="2:11">
      <c r="B768" s="5"/>
      <c r="F768" s="5" t="s">
        <v>1586</v>
      </c>
      <c r="G768" s="5" t="s">
        <v>1587</v>
      </c>
      <c r="J768" s="5" t="s">
        <v>2598</v>
      </c>
      <c r="K768" s="5" t="s">
        <v>2599</v>
      </c>
    </row>
    <row r="769" spans="2:11">
      <c r="B769" s="5"/>
      <c r="F769" s="5" t="s">
        <v>1588</v>
      </c>
      <c r="G769" s="5" t="s">
        <v>1589</v>
      </c>
      <c r="J769" s="5" t="s">
        <v>2600</v>
      </c>
      <c r="K769" s="5" t="s">
        <v>2601</v>
      </c>
    </row>
    <row r="770" spans="2:11">
      <c r="B770" s="5"/>
      <c r="F770" s="5" t="s">
        <v>1590</v>
      </c>
      <c r="G770" s="5" t="s">
        <v>1591</v>
      </c>
      <c r="J770" s="5" t="s">
        <v>2602</v>
      </c>
      <c r="K770" s="5" t="s">
        <v>2603</v>
      </c>
    </row>
    <row r="771" spans="2:11">
      <c r="B771" s="5"/>
      <c r="F771" s="5" t="s">
        <v>1592</v>
      </c>
      <c r="G771" s="5" t="s">
        <v>1593</v>
      </c>
      <c r="J771" s="5" t="s">
        <v>2604</v>
      </c>
      <c r="K771" s="5" t="s">
        <v>2605</v>
      </c>
    </row>
    <row r="772" spans="2:11">
      <c r="B772" s="5"/>
      <c r="F772" s="5" t="s">
        <v>1594</v>
      </c>
      <c r="G772" s="5" t="s">
        <v>1595</v>
      </c>
      <c r="J772" s="5" t="s">
        <v>2606</v>
      </c>
      <c r="K772" s="5" t="s">
        <v>2607</v>
      </c>
    </row>
    <row r="773" spans="2:11">
      <c r="B773" s="5"/>
      <c r="F773" s="5" t="s">
        <v>1596</v>
      </c>
      <c r="G773" s="5" t="s">
        <v>1597</v>
      </c>
      <c r="J773" s="5" t="s">
        <v>2608</v>
      </c>
      <c r="K773" s="5" t="s">
        <v>2609</v>
      </c>
    </row>
    <row r="774" spans="2:11">
      <c r="B774" s="5"/>
      <c r="F774" s="5" t="s">
        <v>1598</v>
      </c>
      <c r="G774" s="5" t="s">
        <v>1599</v>
      </c>
      <c r="J774" s="5" t="s">
        <v>2610</v>
      </c>
      <c r="K774" s="5" t="s">
        <v>2611</v>
      </c>
    </row>
    <row r="775" spans="2:11">
      <c r="B775" s="5"/>
      <c r="F775" s="5" t="s">
        <v>1600</v>
      </c>
      <c r="G775" s="5" t="s">
        <v>1601</v>
      </c>
      <c r="J775" s="5" t="s">
        <v>2612</v>
      </c>
      <c r="K775" s="5" t="s">
        <v>2613</v>
      </c>
    </row>
    <row r="776" spans="2:11">
      <c r="B776" s="5"/>
      <c r="F776" s="5" t="s">
        <v>1602</v>
      </c>
      <c r="G776" s="5" t="s">
        <v>1603</v>
      </c>
      <c r="J776" s="5" t="s">
        <v>2614</v>
      </c>
      <c r="K776" s="5" t="s">
        <v>2615</v>
      </c>
    </row>
    <row r="777" spans="2:11">
      <c r="B777" s="5"/>
      <c r="F777" s="5" t="s">
        <v>1604</v>
      </c>
      <c r="G777" s="5" t="s">
        <v>1605</v>
      </c>
      <c r="J777" s="5" t="s">
        <v>2616</v>
      </c>
      <c r="K777" s="5" t="s">
        <v>2617</v>
      </c>
    </row>
    <row r="778" spans="2:11">
      <c r="B778" s="5"/>
      <c r="F778" s="5" t="s">
        <v>1606</v>
      </c>
      <c r="G778" s="5" t="s">
        <v>1607</v>
      </c>
      <c r="J778" s="5" t="s">
        <v>2618</v>
      </c>
      <c r="K778" s="5" t="s">
        <v>2619</v>
      </c>
    </row>
    <row r="779" spans="2:11">
      <c r="B779" s="5"/>
      <c r="F779" s="5" t="s">
        <v>1608</v>
      </c>
      <c r="G779" s="5" t="s">
        <v>1609</v>
      </c>
      <c r="J779" s="5" t="s">
        <v>2620</v>
      </c>
      <c r="K779" s="5" t="s">
        <v>2621</v>
      </c>
    </row>
    <row r="780" spans="2:11">
      <c r="B780" s="5"/>
      <c r="F780" s="5" t="s">
        <v>1610</v>
      </c>
      <c r="G780" s="5" t="s">
        <v>1611</v>
      </c>
      <c r="J780" s="5" t="s">
        <v>2622</v>
      </c>
      <c r="K780" s="5" t="s">
        <v>2623</v>
      </c>
    </row>
    <row r="781" spans="2:11">
      <c r="B781" s="5"/>
      <c r="F781" s="5" t="s">
        <v>1612</v>
      </c>
      <c r="G781" s="5" t="s">
        <v>1613</v>
      </c>
      <c r="J781" s="5" t="s">
        <v>2624</v>
      </c>
      <c r="K781" s="5" t="s">
        <v>2625</v>
      </c>
    </row>
    <row r="782" spans="2:11">
      <c r="B782" s="5"/>
      <c r="F782" s="5" t="s">
        <v>1614</v>
      </c>
      <c r="G782" s="5" t="s">
        <v>1615</v>
      </c>
      <c r="J782" s="5" t="s">
        <v>2626</v>
      </c>
      <c r="K782" s="5" t="s">
        <v>2627</v>
      </c>
    </row>
    <row r="783" spans="2:11">
      <c r="B783" s="5"/>
      <c r="F783" s="5" t="s">
        <v>1616</v>
      </c>
      <c r="G783" s="5" t="s">
        <v>1617</v>
      </c>
      <c r="J783" s="5" t="s">
        <v>2628</v>
      </c>
      <c r="K783" s="5" t="s">
        <v>2629</v>
      </c>
    </row>
    <row r="784" spans="2:11">
      <c r="B784" s="5"/>
      <c r="F784" s="5" t="s">
        <v>1618</v>
      </c>
      <c r="G784" s="5" t="s">
        <v>1619</v>
      </c>
      <c r="J784" s="5" t="s">
        <v>2630</v>
      </c>
      <c r="K784" s="5" t="s">
        <v>2631</v>
      </c>
    </row>
    <row r="785" spans="2:11">
      <c r="B785" s="5"/>
      <c r="F785" s="5" t="s">
        <v>1620</v>
      </c>
      <c r="G785" s="5" t="s">
        <v>1621</v>
      </c>
      <c r="J785" s="5" t="s">
        <v>2632</v>
      </c>
      <c r="K785" s="5" t="s">
        <v>2633</v>
      </c>
    </row>
    <row r="786" spans="2:11">
      <c r="B786" s="5"/>
      <c r="F786" s="5" t="s">
        <v>1622</v>
      </c>
      <c r="G786" s="5" t="s">
        <v>1623</v>
      </c>
      <c r="J786" s="5" t="s">
        <v>2634</v>
      </c>
      <c r="K786" s="5" t="s">
        <v>2635</v>
      </c>
    </row>
    <row r="787" spans="2:11">
      <c r="B787" s="5"/>
      <c r="F787" s="5" t="s">
        <v>1624</v>
      </c>
      <c r="G787" s="5" t="s">
        <v>1625</v>
      </c>
      <c r="J787" s="5" t="s">
        <v>2636</v>
      </c>
      <c r="K787" s="5" t="s">
        <v>2637</v>
      </c>
    </row>
    <row r="788" spans="2:11">
      <c r="B788" s="5"/>
      <c r="F788" s="5" t="s">
        <v>1626</v>
      </c>
      <c r="G788" s="5" t="s">
        <v>1627</v>
      </c>
      <c r="J788" s="5" t="s">
        <v>2638</v>
      </c>
      <c r="K788" s="5" t="s">
        <v>2639</v>
      </c>
    </row>
    <row r="789" spans="2:11">
      <c r="B789" s="5"/>
      <c r="F789" s="5" t="s">
        <v>1628</v>
      </c>
      <c r="G789" s="5" t="s">
        <v>1629</v>
      </c>
      <c r="J789" s="5" t="s">
        <v>2640</v>
      </c>
      <c r="K789" s="5" t="s">
        <v>2641</v>
      </c>
    </row>
    <row r="790" spans="2:11">
      <c r="B790" s="5"/>
      <c r="F790" s="5" t="s">
        <v>1630</v>
      </c>
      <c r="G790" s="5" t="s">
        <v>1631</v>
      </c>
      <c r="J790" s="5" t="s">
        <v>2642</v>
      </c>
      <c r="K790" s="5" t="s">
        <v>2643</v>
      </c>
    </row>
    <row r="791" spans="2:11">
      <c r="B791" s="5"/>
      <c r="F791" s="5" t="s">
        <v>1632</v>
      </c>
      <c r="G791" s="5" t="s">
        <v>1633</v>
      </c>
      <c r="J791" s="5" t="s">
        <v>2644</v>
      </c>
      <c r="K791" s="5" t="s">
        <v>2645</v>
      </c>
    </row>
    <row r="792" spans="2:11">
      <c r="B792" s="5"/>
      <c r="F792" s="5" t="s">
        <v>1634</v>
      </c>
      <c r="G792" s="5" t="s">
        <v>1635</v>
      </c>
      <c r="J792" s="5" t="s">
        <v>2646</v>
      </c>
      <c r="K792" s="5" t="s">
        <v>2647</v>
      </c>
    </row>
    <row r="793" spans="2:11">
      <c r="B793" s="5"/>
      <c r="F793" s="5" t="s">
        <v>1636</v>
      </c>
      <c r="G793" s="5" t="s">
        <v>1637</v>
      </c>
      <c r="J793" s="5" t="s">
        <v>2648</v>
      </c>
      <c r="K793" s="5" t="s">
        <v>2649</v>
      </c>
    </row>
    <row r="794" spans="2:11">
      <c r="B794" s="5"/>
      <c r="F794" s="5" t="s">
        <v>1638</v>
      </c>
      <c r="G794" s="5" t="s">
        <v>1639</v>
      </c>
      <c r="J794" s="5" t="s">
        <v>2650</v>
      </c>
      <c r="K794" s="5" t="s">
        <v>2651</v>
      </c>
    </row>
    <row r="795" spans="2:11">
      <c r="B795" s="5"/>
      <c r="F795" s="5" t="s">
        <v>1640</v>
      </c>
      <c r="G795" s="5" t="s">
        <v>1641</v>
      </c>
      <c r="J795" s="5" t="s">
        <v>2652</v>
      </c>
      <c r="K795" s="5" t="s">
        <v>2653</v>
      </c>
    </row>
    <row r="796" spans="2:11">
      <c r="B796" s="5"/>
      <c r="F796" s="5" t="s">
        <v>1642</v>
      </c>
      <c r="G796" s="5" t="s">
        <v>1643</v>
      </c>
      <c r="J796" s="5" t="s">
        <v>2654</v>
      </c>
      <c r="K796" s="5" t="s">
        <v>2655</v>
      </c>
    </row>
    <row r="797" spans="2:11">
      <c r="B797" s="5"/>
      <c r="F797" s="5" t="s">
        <v>1644</v>
      </c>
      <c r="G797" s="5" t="s">
        <v>1645</v>
      </c>
      <c r="J797" s="5" t="s">
        <v>2656</v>
      </c>
      <c r="K797" s="5" t="s">
        <v>2657</v>
      </c>
    </row>
    <row r="798" spans="2:11">
      <c r="B798" s="5"/>
      <c r="F798" s="5" t="s">
        <v>1646</v>
      </c>
      <c r="G798" s="5" t="s">
        <v>1647</v>
      </c>
      <c r="J798" s="5" t="s">
        <v>2658</v>
      </c>
      <c r="K798" s="5" t="s">
        <v>2659</v>
      </c>
    </row>
    <row r="799" spans="2:11">
      <c r="B799" s="5"/>
      <c r="F799" s="5" t="s">
        <v>1648</v>
      </c>
      <c r="G799" s="5" t="s">
        <v>1649</v>
      </c>
      <c r="J799" s="5" t="s">
        <v>2660</v>
      </c>
      <c r="K799" s="5" t="s">
        <v>2661</v>
      </c>
    </row>
    <row r="800" spans="2:11">
      <c r="B800" s="5"/>
      <c r="F800" s="5" t="s">
        <v>1650</v>
      </c>
      <c r="G800" s="5" t="s">
        <v>1651</v>
      </c>
      <c r="J800" s="5" t="s">
        <v>2662</v>
      </c>
      <c r="K800" s="5" t="s">
        <v>2663</v>
      </c>
    </row>
    <row r="801" spans="2:11">
      <c r="B801" s="5"/>
      <c r="F801" s="5" t="s">
        <v>1652</v>
      </c>
      <c r="G801" s="5" t="s">
        <v>1653</v>
      </c>
      <c r="J801" s="5" t="s">
        <v>2664</v>
      </c>
      <c r="K801" s="5" t="s">
        <v>2665</v>
      </c>
    </row>
    <row r="802" spans="2:11">
      <c r="B802" s="5"/>
      <c r="F802" s="5" t="s">
        <v>1654</v>
      </c>
      <c r="G802" s="5" t="s">
        <v>1655</v>
      </c>
      <c r="J802" s="5" t="s">
        <v>2666</v>
      </c>
      <c r="K802" s="5" t="s">
        <v>2667</v>
      </c>
    </row>
    <row r="803" spans="2:11">
      <c r="B803" s="5"/>
      <c r="F803" s="5" t="s">
        <v>1656</v>
      </c>
      <c r="G803" s="5" t="s">
        <v>1657</v>
      </c>
      <c r="J803" s="5" t="s">
        <v>2668</v>
      </c>
      <c r="K803" s="5" t="s">
        <v>2669</v>
      </c>
    </row>
    <row r="804" spans="2:11">
      <c r="B804" s="5"/>
      <c r="F804" s="5" t="s">
        <v>1658</v>
      </c>
      <c r="G804" s="5" t="s">
        <v>1659</v>
      </c>
      <c r="J804" s="5" t="s">
        <v>2670</v>
      </c>
      <c r="K804" s="5" t="s">
        <v>2671</v>
      </c>
    </row>
    <row r="805" spans="2:11">
      <c r="B805" s="5"/>
      <c r="F805" s="5" t="s">
        <v>1660</v>
      </c>
      <c r="G805" s="5" t="s">
        <v>1661</v>
      </c>
      <c r="J805" s="5" t="s">
        <v>2672</v>
      </c>
      <c r="K805" s="5" t="s">
        <v>2673</v>
      </c>
    </row>
    <row r="806" spans="2:11">
      <c r="B806" s="5"/>
      <c r="F806" s="5" t="s">
        <v>1662</v>
      </c>
      <c r="G806" s="5" t="s">
        <v>1663</v>
      </c>
      <c r="J806" s="5" t="s">
        <v>2674</v>
      </c>
      <c r="K806" s="5" t="s">
        <v>2675</v>
      </c>
    </row>
    <row r="807" spans="2:11">
      <c r="B807" s="5"/>
      <c r="F807" s="5" t="s">
        <v>1664</v>
      </c>
      <c r="G807" s="5" t="s">
        <v>1665</v>
      </c>
      <c r="J807" s="5" t="s">
        <v>2676</v>
      </c>
      <c r="K807" s="5" t="s">
        <v>2677</v>
      </c>
    </row>
    <row r="808" spans="2:11">
      <c r="B808" s="5"/>
      <c r="F808" s="5" t="s">
        <v>1666</v>
      </c>
      <c r="G808" s="5" t="s">
        <v>1667</v>
      </c>
      <c r="J808" s="5" t="s">
        <v>2678</v>
      </c>
      <c r="K808" s="5" t="s">
        <v>2679</v>
      </c>
    </row>
    <row r="809" spans="2:11">
      <c r="B809" s="5"/>
      <c r="F809" s="5" t="s">
        <v>1668</v>
      </c>
      <c r="G809" s="5" t="s">
        <v>1669</v>
      </c>
      <c r="J809" s="5" t="s">
        <v>2680</v>
      </c>
      <c r="K809" s="5" t="s">
        <v>2681</v>
      </c>
    </row>
    <row r="810" spans="2:11">
      <c r="B810" s="5"/>
      <c r="F810" s="5" t="s">
        <v>1670</v>
      </c>
      <c r="G810" s="5" t="s">
        <v>1671</v>
      </c>
      <c r="J810" s="5" t="s">
        <v>2682</v>
      </c>
      <c r="K810" s="5" t="s">
        <v>2683</v>
      </c>
    </row>
    <row r="811" spans="2:11">
      <c r="B811" s="5"/>
      <c r="F811" s="5" t="s">
        <v>1672</v>
      </c>
      <c r="G811" s="5" t="s">
        <v>1673</v>
      </c>
      <c r="J811" s="5" t="s">
        <v>2684</v>
      </c>
      <c r="K811" s="5" t="s">
        <v>2685</v>
      </c>
    </row>
    <row r="812" spans="2:11">
      <c r="B812" s="5"/>
      <c r="F812" s="5" t="s">
        <v>1674</v>
      </c>
      <c r="G812" s="5" t="s">
        <v>1675</v>
      </c>
      <c r="J812" s="5" t="s">
        <v>2686</v>
      </c>
      <c r="K812" s="5" t="s">
        <v>2687</v>
      </c>
    </row>
    <row r="813" spans="2:11">
      <c r="B813" s="5"/>
      <c r="F813" s="5" t="s">
        <v>1676</v>
      </c>
      <c r="G813" s="5" t="s">
        <v>1677</v>
      </c>
      <c r="J813" s="5" t="s">
        <v>2688</v>
      </c>
      <c r="K813" s="5" t="s">
        <v>2689</v>
      </c>
    </row>
    <row r="814" spans="2:11">
      <c r="B814" s="5"/>
      <c r="F814" s="5" t="s">
        <v>1678</v>
      </c>
      <c r="G814" s="5" t="s">
        <v>1679</v>
      </c>
      <c r="J814" s="5" t="s">
        <v>2690</v>
      </c>
      <c r="K814" s="5" t="s">
        <v>2691</v>
      </c>
    </row>
    <row r="815" spans="2:11">
      <c r="B815" s="5"/>
      <c r="F815" s="5" t="s">
        <v>1680</v>
      </c>
      <c r="G815" s="5" t="s">
        <v>1681</v>
      </c>
      <c r="J815" s="5" t="s">
        <v>2692</v>
      </c>
      <c r="K815" s="5" t="s">
        <v>2693</v>
      </c>
    </row>
    <row r="816" spans="2:11">
      <c r="B816" s="5"/>
      <c r="F816" s="5" t="s">
        <v>1682</v>
      </c>
      <c r="G816" s="5" t="s">
        <v>1683</v>
      </c>
      <c r="J816" s="5" t="s">
        <v>2694</v>
      </c>
      <c r="K816" s="5" t="s">
        <v>2695</v>
      </c>
    </row>
    <row r="817" spans="2:11">
      <c r="B817" s="5"/>
      <c r="F817" s="5" t="s">
        <v>1684</v>
      </c>
      <c r="G817" s="5" t="s">
        <v>1685</v>
      </c>
      <c r="J817" s="5" t="s">
        <v>2696</v>
      </c>
      <c r="K817" s="5" t="s">
        <v>2697</v>
      </c>
    </row>
    <row r="818" spans="2:11">
      <c r="B818" s="5"/>
      <c r="F818" s="5" t="s">
        <v>1686</v>
      </c>
      <c r="G818" s="5" t="s">
        <v>1687</v>
      </c>
      <c r="J818" s="5" t="s">
        <v>2698</v>
      </c>
      <c r="K818" s="5" t="s">
        <v>2699</v>
      </c>
    </row>
    <row r="819" spans="2:11">
      <c r="B819" s="5"/>
      <c r="F819" s="5" t="s">
        <v>1688</v>
      </c>
      <c r="G819" s="5" t="s">
        <v>1689</v>
      </c>
      <c r="J819" s="5" t="s">
        <v>2700</v>
      </c>
      <c r="K819" s="5" t="s">
        <v>2701</v>
      </c>
    </row>
    <row r="820" spans="2:11">
      <c r="B820" s="5"/>
      <c r="F820" s="5" t="s">
        <v>1690</v>
      </c>
      <c r="G820" s="5" t="s">
        <v>1691</v>
      </c>
      <c r="J820" s="5" t="s">
        <v>2702</v>
      </c>
      <c r="K820" s="5" t="s">
        <v>2703</v>
      </c>
    </row>
    <row r="821" spans="2:11">
      <c r="B821" s="5"/>
      <c r="F821" s="5" t="s">
        <v>1692</v>
      </c>
      <c r="G821" s="5" t="s">
        <v>1693</v>
      </c>
      <c r="J821" s="5" t="s">
        <v>2704</v>
      </c>
      <c r="K821" s="5" t="s">
        <v>2705</v>
      </c>
    </row>
    <row r="822" spans="2:11">
      <c r="B822" s="5"/>
      <c r="F822" s="5" t="s">
        <v>1694</v>
      </c>
      <c r="G822" s="5" t="s">
        <v>1695</v>
      </c>
      <c r="J822" s="5" t="s">
        <v>2706</v>
      </c>
      <c r="K822" s="5" t="s">
        <v>2707</v>
      </c>
    </row>
    <row r="823" spans="2:11">
      <c r="B823" s="5"/>
      <c r="F823" s="5" t="s">
        <v>1696</v>
      </c>
      <c r="G823" s="5" t="s">
        <v>1697</v>
      </c>
      <c r="J823" s="5" t="s">
        <v>2708</v>
      </c>
      <c r="K823" s="5" t="s">
        <v>2709</v>
      </c>
    </row>
    <row r="824" spans="2:11">
      <c r="B824" s="5"/>
      <c r="F824" s="5" t="s">
        <v>1698</v>
      </c>
      <c r="G824" s="5" t="s">
        <v>1699</v>
      </c>
      <c r="J824" s="5" t="s">
        <v>2710</v>
      </c>
      <c r="K824" s="5" t="s">
        <v>2711</v>
      </c>
    </row>
    <row r="825" spans="2:11">
      <c r="B825" s="5"/>
      <c r="F825" s="5" t="s">
        <v>1700</v>
      </c>
      <c r="G825" s="5" t="s">
        <v>1701</v>
      </c>
      <c r="J825" s="5" t="s">
        <v>2712</v>
      </c>
      <c r="K825" s="5" t="s">
        <v>2713</v>
      </c>
    </row>
    <row r="826" spans="2:11">
      <c r="B826" s="5"/>
      <c r="F826" s="5" t="s">
        <v>1702</v>
      </c>
      <c r="G826" s="5" t="s">
        <v>1703</v>
      </c>
      <c r="J826" s="5" t="s">
        <v>2714</v>
      </c>
      <c r="K826" s="5" t="s">
        <v>2715</v>
      </c>
    </row>
    <row r="827" spans="2:11">
      <c r="B827" s="5"/>
      <c r="F827" s="5" t="s">
        <v>1704</v>
      </c>
      <c r="G827" s="5" t="s">
        <v>1705</v>
      </c>
      <c r="J827" s="5" t="s">
        <v>2716</v>
      </c>
      <c r="K827" s="5" t="s">
        <v>2717</v>
      </c>
    </row>
    <row r="828" spans="2:11">
      <c r="B828" s="5"/>
      <c r="F828" s="5" t="s">
        <v>1706</v>
      </c>
      <c r="G828" s="5" t="s">
        <v>1707</v>
      </c>
      <c r="J828" s="5" t="s">
        <v>2718</v>
      </c>
      <c r="K828" s="5" t="s">
        <v>2719</v>
      </c>
    </row>
    <row r="829" spans="2:11">
      <c r="B829" s="5"/>
      <c r="F829" s="5" t="s">
        <v>1708</v>
      </c>
      <c r="G829" s="5" t="s">
        <v>1709</v>
      </c>
      <c r="J829" s="5" t="s">
        <v>2720</v>
      </c>
      <c r="K829" s="5" t="s">
        <v>2721</v>
      </c>
    </row>
    <row r="830" spans="2:11">
      <c r="B830" s="5"/>
      <c r="F830" s="5" t="s">
        <v>1710</v>
      </c>
      <c r="G830" s="5" t="s">
        <v>1711</v>
      </c>
      <c r="J830" s="5" t="s">
        <v>2722</v>
      </c>
      <c r="K830" s="5" t="s">
        <v>2723</v>
      </c>
    </row>
    <row r="831" spans="2:11">
      <c r="B831" s="5"/>
      <c r="F831" s="5" t="s">
        <v>1712</v>
      </c>
      <c r="G831" s="5" t="s">
        <v>1713</v>
      </c>
      <c r="J831" s="5" t="s">
        <v>2724</v>
      </c>
      <c r="K831" s="5" t="s">
        <v>2725</v>
      </c>
    </row>
    <row r="832" spans="2:11">
      <c r="B832" s="5"/>
      <c r="F832" s="5" t="s">
        <v>1714</v>
      </c>
      <c r="G832" s="5" t="s">
        <v>1715</v>
      </c>
      <c r="J832" s="5" t="s">
        <v>2726</v>
      </c>
      <c r="K832" s="5" t="s">
        <v>2727</v>
      </c>
    </row>
    <row r="833" spans="2:11">
      <c r="B833" s="5"/>
      <c r="F833" s="5" t="s">
        <v>1716</v>
      </c>
      <c r="G833" s="5" t="s">
        <v>1717</v>
      </c>
      <c r="J833" s="5" t="s">
        <v>2728</v>
      </c>
      <c r="K833" s="5" t="s">
        <v>2729</v>
      </c>
    </row>
    <row r="834" spans="2:11">
      <c r="B834" s="5"/>
      <c r="F834" s="5" t="s">
        <v>1718</v>
      </c>
      <c r="G834" s="5" t="s">
        <v>1719</v>
      </c>
      <c r="J834" s="5" t="s">
        <v>2730</v>
      </c>
      <c r="K834" s="5" t="s">
        <v>2731</v>
      </c>
    </row>
    <row r="835" spans="2:11">
      <c r="B835" s="5"/>
      <c r="F835" s="5" t="s">
        <v>1720</v>
      </c>
      <c r="G835" s="5" t="s">
        <v>1721</v>
      </c>
      <c r="J835" s="5" t="s">
        <v>2732</v>
      </c>
      <c r="K835" s="5" t="s">
        <v>2733</v>
      </c>
    </row>
    <row r="836" spans="2:11">
      <c r="B836" s="5"/>
      <c r="F836" s="5" t="s">
        <v>1722</v>
      </c>
      <c r="G836" s="5" t="s">
        <v>1723</v>
      </c>
      <c r="J836" s="5" t="s">
        <v>2734</v>
      </c>
      <c r="K836" s="5" t="s">
        <v>2735</v>
      </c>
    </row>
    <row r="837" spans="2:11">
      <c r="B837" s="5"/>
      <c r="F837" s="5" t="s">
        <v>1724</v>
      </c>
      <c r="G837" s="5" t="s">
        <v>1725</v>
      </c>
      <c r="J837" s="5" t="s">
        <v>2736</v>
      </c>
      <c r="K837" s="5" t="s">
        <v>2737</v>
      </c>
    </row>
    <row r="838" spans="2:11">
      <c r="B838" s="5"/>
      <c r="F838" s="5" t="s">
        <v>1726</v>
      </c>
      <c r="G838" s="5" t="s">
        <v>1727</v>
      </c>
      <c r="J838" s="5" t="s">
        <v>2738</v>
      </c>
      <c r="K838" s="5" t="s">
        <v>2739</v>
      </c>
    </row>
    <row r="839" spans="2:11">
      <c r="B839" s="5"/>
      <c r="F839" s="5" t="s">
        <v>1728</v>
      </c>
      <c r="G839" s="5" t="s">
        <v>1729</v>
      </c>
      <c r="J839" s="5" t="s">
        <v>2740</v>
      </c>
      <c r="K839" s="5" t="s">
        <v>2741</v>
      </c>
    </row>
    <row r="840" spans="2:11">
      <c r="B840" s="5"/>
      <c r="F840" s="5" t="s">
        <v>1730</v>
      </c>
      <c r="G840" s="5" t="s">
        <v>1731</v>
      </c>
      <c r="J840" s="5" t="s">
        <v>2742</v>
      </c>
      <c r="K840" s="5" t="s">
        <v>2743</v>
      </c>
    </row>
    <row r="841" spans="2:11">
      <c r="B841" s="5"/>
      <c r="F841" s="5" t="s">
        <v>1732</v>
      </c>
      <c r="G841" s="5" t="s">
        <v>1733</v>
      </c>
      <c r="J841" s="5" t="s">
        <v>2744</v>
      </c>
      <c r="K841" s="5" t="s">
        <v>2745</v>
      </c>
    </row>
    <row r="842" spans="2:11">
      <c r="B842" s="5"/>
      <c r="F842" s="5" t="s">
        <v>1734</v>
      </c>
      <c r="G842" s="5" t="s">
        <v>1735</v>
      </c>
      <c r="J842" s="5" t="s">
        <v>2746</v>
      </c>
      <c r="K842" s="5" t="s">
        <v>2747</v>
      </c>
    </row>
    <row r="843" spans="2:11">
      <c r="B843" s="5"/>
      <c r="F843" s="5" t="s">
        <v>1736</v>
      </c>
      <c r="G843" s="5" t="s">
        <v>1737</v>
      </c>
      <c r="J843" s="5" t="s">
        <v>2748</v>
      </c>
      <c r="K843" s="5" t="s">
        <v>2749</v>
      </c>
    </row>
    <row r="844" spans="2:11">
      <c r="B844" s="5"/>
      <c r="F844" s="5" t="s">
        <v>1738</v>
      </c>
      <c r="G844" s="5" t="s">
        <v>1739</v>
      </c>
      <c r="J844" s="5" t="s">
        <v>2750</v>
      </c>
      <c r="K844" s="5" t="s">
        <v>2751</v>
      </c>
    </row>
    <row r="845" spans="2:11">
      <c r="B845" s="5"/>
      <c r="F845" s="5" t="s">
        <v>1740</v>
      </c>
      <c r="G845" s="5" t="s">
        <v>1741</v>
      </c>
      <c r="J845" s="5" t="s">
        <v>2752</v>
      </c>
      <c r="K845" s="5" t="s">
        <v>2753</v>
      </c>
    </row>
    <row r="846" spans="2:11">
      <c r="B846" s="5"/>
      <c r="F846" s="5" t="s">
        <v>1742</v>
      </c>
      <c r="G846" s="5" t="s">
        <v>1743</v>
      </c>
      <c r="J846" s="5" t="s">
        <v>2754</v>
      </c>
      <c r="K846" s="5" t="s">
        <v>2755</v>
      </c>
    </row>
    <row r="847" spans="2:11">
      <c r="B847" s="5"/>
      <c r="F847" s="5" t="s">
        <v>1744</v>
      </c>
      <c r="G847" s="5" t="s">
        <v>1745</v>
      </c>
      <c r="J847" s="5" t="s">
        <v>2756</v>
      </c>
      <c r="K847" s="5" t="s">
        <v>2757</v>
      </c>
    </row>
    <row r="848" spans="2:11">
      <c r="B848" s="5"/>
      <c r="F848" s="5" t="s">
        <v>1746</v>
      </c>
      <c r="G848" s="5" t="s">
        <v>1747</v>
      </c>
      <c r="J848" s="5" t="s">
        <v>2758</v>
      </c>
      <c r="K848" s="5" t="s">
        <v>2759</v>
      </c>
    </row>
    <row r="849" spans="2:11">
      <c r="B849" s="5"/>
      <c r="F849" s="5" t="s">
        <v>1748</v>
      </c>
      <c r="G849" s="5" t="s">
        <v>1749</v>
      </c>
      <c r="J849" s="5" t="s">
        <v>2760</v>
      </c>
      <c r="K849" s="5" t="s">
        <v>2761</v>
      </c>
    </row>
    <row r="850" spans="2:11">
      <c r="B850" s="5"/>
      <c r="F850" s="5" t="s">
        <v>1750</v>
      </c>
      <c r="G850" s="5" t="s">
        <v>1751</v>
      </c>
      <c r="J850" s="5" t="s">
        <v>2762</v>
      </c>
      <c r="K850" s="5" t="s">
        <v>2763</v>
      </c>
    </row>
    <row r="851" spans="2:11">
      <c r="B851" s="5"/>
      <c r="F851" s="5" t="s">
        <v>1752</v>
      </c>
      <c r="G851" s="5" t="s">
        <v>1753</v>
      </c>
      <c r="J851" s="5" t="s">
        <v>2764</v>
      </c>
      <c r="K851" s="5" t="s">
        <v>2765</v>
      </c>
    </row>
    <row r="852" spans="2:11">
      <c r="B852" s="5"/>
      <c r="F852" s="5" t="s">
        <v>1754</v>
      </c>
      <c r="G852" s="5" t="s">
        <v>1755</v>
      </c>
      <c r="J852" s="5" t="s">
        <v>2766</v>
      </c>
      <c r="K852" s="5" t="s">
        <v>2767</v>
      </c>
    </row>
    <row r="853" spans="2:11">
      <c r="B853" s="5"/>
      <c r="F853" s="5" t="s">
        <v>1756</v>
      </c>
      <c r="G853" s="5" t="s">
        <v>1757</v>
      </c>
      <c r="J853" s="5" t="s">
        <v>2768</v>
      </c>
      <c r="K853" s="5" t="s">
        <v>2769</v>
      </c>
    </row>
    <row r="854" spans="2:11">
      <c r="B854" s="5"/>
      <c r="F854" s="5" t="s">
        <v>1758</v>
      </c>
      <c r="G854" s="5" t="s">
        <v>1759</v>
      </c>
      <c r="J854" s="5" t="s">
        <v>2770</v>
      </c>
      <c r="K854" s="5" t="s">
        <v>2771</v>
      </c>
    </row>
    <row r="855" spans="2:11">
      <c r="B855" s="5"/>
      <c r="F855" s="5" t="s">
        <v>1760</v>
      </c>
      <c r="G855" s="5" t="s">
        <v>1761</v>
      </c>
      <c r="J855" s="5" t="s">
        <v>2772</v>
      </c>
      <c r="K855" s="5" t="s">
        <v>2773</v>
      </c>
    </row>
    <row r="856" spans="2:11">
      <c r="B856" s="5"/>
      <c r="F856" s="5" t="s">
        <v>1762</v>
      </c>
      <c r="G856" s="5" t="s">
        <v>1763</v>
      </c>
      <c r="J856" s="5" t="s">
        <v>2774</v>
      </c>
      <c r="K856" s="5" t="s">
        <v>2775</v>
      </c>
    </row>
    <row r="857" spans="2:11">
      <c r="B857" s="5"/>
      <c r="F857" s="5" t="s">
        <v>1764</v>
      </c>
      <c r="G857" s="5" t="s">
        <v>1765</v>
      </c>
      <c r="J857" s="5" t="s">
        <v>2776</v>
      </c>
      <c r="K857" s="5" t="s">
        <v>2777</v>
      </c>
    </row>
    <row r="858" spans="2:11">
      <c r="B858" s="5"/>
      <c r="F858" s="5" t="s">
        <v>1766</v>
      </c>
      <c r="G858" s="5" t="s">
        <v>1767</v>
      </c>
      <c r="J858" s="5" t="s">
        <v>2778</v>
      </c>
      <c r="K858" s="5" t="s">
        <v>2779</v>
      </c>
    </row>
    <row r="859" spans="2:11">
      <c r="B859" s="5"/>
      <c r="F859" s="5" t="s">
        <v>1768</v>
      </c>
      <c r="G859" s="5" t="s">
        <v>1769</v>
      </c>
      <c r="J859" s="5" t="s">
        <v>2780</v>
      </c>
      <c r="K859" s="5" t="s">
        <v>2781</v>
      </c>
    </row>
    <row r="860" spans="2:11">
      <c r="B860" s="5"/>
      <c r="F860" s="5" t="s">
        <v>1770</v>
      </c>
      <c r="G860" s="5" t="s">
        <v>1771</v>
      </c>
      <c r="J860" s="5" t="s">
        <v>2782</v>
      </c>
      <c r="K860" s="5" t="s">
        <v>2783</v>
      </c>
    </row>
    <row r="861" spans="2:11">
      <c r="B861" s="5"/>
      <c r="F861" s="5" t="s">
        <v>1772</v>
      </c>
      <c r="G861" s="5" t="s">
        <v>1773</v>
      </c>
      <c r="J861" s="5" t="s">
        <v>2784</v>
      </c>
      <c r="K861" s="5" t="s">
        <v>2785</v>
      </c>
    </row>
    <row r="862" spans="2:11">
      <c r="B862" s="5"/>
      <c r="F862" s="5" t="s">
        <v>1774</v>
      </c>
      <c r="G862" s="5" t="s">
        <v>1775</v>
      </c>
      <c r="J862" s="5" t="s">
        <v>2786</v>
      </c>
      <c r="K862" s="5" t="s">
        <v>2787</v>
      </c>
    </row>
    <row r="863" spans="2:11">
      <c r="B863" s="5"/>
      <c r="F863" s="5" t="s">
        <v>1776</v>
      </c>
      <c r="G863" s="5" t="s">
        <v>1777</v>
      </c>
      <c r="J863" s="5" t="s">
        <v>2788</v>
      </c>
      <c r="K863" s="5" t="s">
        <v>2789</v>
      </c>
    </row>
    <row r="864" spans="2:11">
      <c r="B864" s="5"/>
      <c r="F864" s="5" t="s">
        <v>1778</v>
      </c>
      <c r="G864" s="5" t="s">
        <v>1779</v>
      </c>
      <c r="J864" s="5" t="s">
        <v>2790</v>
      </c>
      <c r="K864" s="5" t="s">
        <v>2791</v>
      </c>
    </row>
    <row r="865" spans="2:11">
      <c r="B865" s="5"/>
      <c r="F865" s="5" t="s">
        <v>1780</v>
      </c>
      <c r="G865" s="5" t="s">
        <v>1781</v>
      </c>
      <c r="J865" s="5" t="s">
        <v>2792</v>
      </c>
      <c r="K865" s="5" t="s">
        <v>2793</v>
      </c>
    </row>
    <row r="866" spans="2:11">
      <c r="B866" s="5"/>
      <c r="F866" s="5" t="s">
        <v>1782</v>
      </c>
      <c r="G866" s="5" t="s">
        <v>1783</v>
      </c>
      <c r="J866" s="5" t="s">
        <v>2794</v>
      </c>
      <c r="K866" s="5" t="s">
        <v>2795</v>
      </c>
    </row>
    <row r="867" spans="2:11">
      <c r="B867" s="5"/>
      <c r="F867" s="5" t="s">
        <v>1784</v>
      </c>
      <c r="G867" s="5" t="s">
        <v>1785</v>
      </c>
      <c r="J867" s="5" t="s">
        <v>2796</v>
      </c>
      <c r="K867" s="5" t="s">
        <v>2797</v>
      </c>
    </row>
    <row r="868" spans="2:11">
      <c r="B868" s="5"/>
      <c r="F868" s="5" t="s">
        <v>1786</v>
      </c>
      <c r="G868" s="5" t="s">
        <v>1787</v>
      </c>
      <c r="J868" s="5" t="s">
        <v>2798</v>
      </c>
      <c r="K868" s="5" t="s">
        <v>2799</v>
      </c>
    </row>
    <row r="869" spans="2:11">
      <c r="B869" s="5"/>
      <c r="F869" s="5" t="s">
        <v>1788</v>
      </c>
      <c r="G869" s="5" t="s">
        <v>1789</v>
      </c>
      <c r="J869" s="5" t="s">
        <v>2800</v>
      </c>
      <c r="K869" s="5" t="s">
        <v>2801</v>
      </c>
    </row>
    <row r="870" spans="2:11">
      <c r="B870" s="5"/>
      <c r="F870" s="5" t="s">
        <v>1790</v>
      </c>
      <c r="G870" s="5" t="s">
        <v>1791</v>
      </c>
      <c r="J870" s="5" t="s">
        <v>2802</v>
      </c>
      <c r="K870" s="5" t="s">
        <v>2803</v>
      </c>
    </row>
    <row r="871" spans="2:11">
      <c r="B871" s="5"/>
      <c r="F871" s="5" t="s">
        <v>1792</v>
      </c>
      <c r="G871" s="5" t="s">
        <v>1793</v>
      </c>
      <c r="J871" s="5" t="s">
        <v>2804</v>
      </c>
      <c r="K871" s="5" t="s">
        <v>2805</v>
      </c>
    </row>
    <row r="872" spans="2:11">
      <c r="B872" s="5"/>
      <c r="F872" s="5" t="s">
        <v>1794</v>
      </c>
      <c r="G872" s="5" t="s">
        <v>1795</v>
      </c>
      <c r="J872" s="5" t="s">
        <v>2806</v>
      </c>
      <c r="K872" s="5" t="s">
        <v>2807</v>
      </c>
    </row>
    <row r="873" spans="2:11">
      <c r="B873" s="5"/>
      <c r="F873" s="5" t="s">
        <v>1796</v>
      </c>
      <c r="G873" s="5" t="s">
        <v>1797</v>
      </c>
      <c r="J873" s="5" t="s">
        <v>2808</v>
      </c>
      <c r="K873" s="5" t="s">
        <v>2809</v>
      </c>
    </row>
    <row r="874" spans="2:11">
      <c r="B874" s="5"/>
      <c r="F874" s="5" t="s">
        <v>1798</v>
      </c>
      <c r="G874" s="5" t="s">
        <v>1799</v>
      </c>
      <c r="J874" s="5" t="s">
        <v>2810</v>
      </c>
      <c r="K874" s="5" t="s">
        <v>2811</v>
      </c>
    </row>
    <row r="875" spans="2:11">
      <c r="B875" s="5"/>
      <c r="F875" s="5" t="s">
        <v>1800</v>
      </c>
      <c r="G875" s="5" t="s">
        <v>1801</v>
      </c>
      <c r="J875" s="5" t="s">
        <v>2812</v>
      </c>
      <c r="K875" s="5" t="s">
        <v>2813</v>
      </c>
    </row>
    <row r="876" spans="2:11">
      <c r="B876" s="5"/>
      <c r="F876" s="5" t="s">
        <v>1802</v>
      </c>
      <c r="G876" s="5" t="s">
        <v>1803</v>
      </c>
      <c r="J876" s="5" t="s">
        <v>2814</v>
      </c>
      <c r="K876" s="5" t="s">
        <v>2815</v>
      </c>
    </row>
    <row r="877" spans="2:11">
      <c r="B877" s="5"/>
      <c r="F877" s="5" t="s">
        <v>1804</v>
      </c>
      <c r="G877" s="5" t="s">
        <v>1805</v>
      </c>
      <c r="J877" s="5" t="s">
        <v>2816</v>
      </c>
      <c r="K877" s="5" t="s">
        <v>2817</v>
      </c>
    </row>
    <row r="878" spans="2:11">
      <c r="B878" s="5"/>
      <c r="F878" s="5" t="s">
        <v>1806</v>
      </c>
      <c r="G878" s="5" t="s">
        <v>1807</v>
      </c>
      <c r="J878" s="5" t="s">
        <v>2818</v>
      </c>
      <c r="K878" s="5" t="s">
        <v>2819</v>
      </c>
    </row>
    <row r="879" spans="2:11">
      <c r="B879" s="5"/>
      <c r="F879" s="5" t="s">
        <v>1808</v>
      </c>
      <c r="G879" s="5" t="s">
        <v>1809</v>
      </c>
      <c r="J879" s="5" t="s">
        <v>2820</v>
      </c>
      <c r="K879" s="5" t="s">
        <v>2821</v>
      </c>
    </row>
    <row r="880" spans="2:11">
      <c r="B880" s="5"/>
      <c r="F880" s="5" t="s">
        <v>1810</v>
      </c>
      <c r="G880" s="5" t="s">
        <v>1811</v>
      </c>
      <c r="J880" s="5" t="s">
        <v>2822</v>
      </c>
      <c r="K880" s="5" t="s">
        <v>2823</v>
      </c>
    </row>
    <row r="881" spans="2:11">
      <c r="B881" s="5"/>
      <c r="F881" s="5" t="s">
        <v>1812</v>
      </c>
      <c r="G881" s="5" t="s">
        <v>1813</v>
      </c>
      <c r="J881" s="5" t="s">
        <v>2824</v>
      </c>
      <c r="K881" s="5" t="s">
        <v>2825</v>
      </c>
    </row>
    <row r="882" spans="2:11">
      <c r="B882" s="5"/>
      <c r="F882" s="5" t="s">
        <v>1814</v>
      </c>
      <c r="G882" s="5" t="s">
        <v>1815</v>
      </c>
      <c r="J882" s="5" t="s">
        <v>2826</v>
      </c>
      <c r="K882" s="5" t="s">
        <v>2827</v>
      </c>
    </row>
    <row r="883" spans="2:11">
      <c r="B883" s="5"/>
      <c r="F883" s="5" t="s">
        <v>1816</v>
      </c>
      <c r="G883" s="5" t="s">
        <v>1817</v>
      </c>
      <c r="J883" s="5" t="s">
        <v>2828</v>
      </c>
      <c r="K883" s="5" t="s">
        <v>2829</v>
      </c>
    </row>
    <row r="884" spans="2:11">
      <c r="B884" s="5"/>
      <c r="F884" s="5" t="s">
        <v>1818</v>
      </c>
      <c r="G884" s="5" t="s">
        <v>1819</v>
      </c>
      <c r="J884" s="5" t="s">
        <v>2830</v>
      </c>
      <c r="K884" s="5" t="s">
        <v>2831</v>
      </c>
    </row>
    <row r="885" spans="2:11">
      <c r="B885" s="5"/>
      <c r="F885" s="5" t="s">
        <v>1820</v>
      </c>
      <c r="G885" s="5" t="s">
        <v>1821</v>
      </c>
      <c r="J885" s="5" t="s">
        <v>2832</v>
      </c>
      <c r="K885" s="5" t="s">
        <v>2833</v>
      </c>
    </row>
    <row r="886" spans="2:11">
      <c r="B886" s="5"/>
      <c r="F886" s="5" t="s">
        <v>1822</v>
      </c>
      <c r="G886" s="5" t="s">
        <v>1823</v>
      </c>
      <c r="J886" s="5" t="s">
        <v>2834</v>
      </c>
      <c r="K886" s="5" t="s">
        <v>2835</v>
      </c>
    </row>
    <row r="887" spans="2:11">
      <c r="B887" s="5"/>
      <c r="F887" s="5" t="s">
        <v>1824</v>
      </c>
      <c r="G887" s="5" t="s">
        <v>1825</v>
      </c>
      <c r="J887" s="5" t="s">
        <v>2836</v>
      </c>
      <c r="K887" s="5" t="s">
        <v>2837</v>
      </c>
    </row>
    <row r="888" spans="2:11">
      <c r="B888" s="5"/>
      <c r="F888" s="5" t="s">
        <v>1826</v>
      </c>
      <c r="G888" s="5" t="s">
        <v>1827</v>
      </c>
      <c r="J888" s="5" t="s">
        <v>2838</v>
      </c>
      <c r="K888" s="5" t="s">
        <v>2839</v>
      </c>
    </row>
    <row r="889" spans="2:11">
      <c r="B889" s="5"/>
      <c r="F889" s="5" t="s">
        <v>1828</v>
      </c>
      <c r="G889" s="5" t="s">
        <v>1829</v>
      </c>
      <c r="J889" s="5" t="s">
        <v>2840</v>
      </c>
      <c r="K889" s="5" t="s">
        <v>2841</v>
      </c>
    </row>
    <row r="890" spans="2:11">
      <c r="B890" s="5"/>
      <c r="F890" s="5" t="s">
        <v>1830</v>
      </c>
      <c r="G890" s="5" t="s">
        <v>1831</v>
      </c>
      <c r="J890" s="5" t="s">
        <v>2842</v>
      </c>
      <c r="K890" s="5" t="s">
        <v>2843</v>
      </c>
    </row>
    <row r="891" spans="2:11">
      <c r="B891" s="5"/>
      <c r="F891" s="5" t="s">
        <v>1832</v>
      </c>
      <c r="G891" s="5" t="s">
        <v>1833</v>
      </c>
      <c r="J891" s="5" t="s">
        <v>2844</v>
      </c>
      <c r="K891" s="5" t="s">
        <v>2845</v>
      </c>
    </row>
    <row r="892" spans="2:11">
      <c r="B892" s="5"/>
      <c r="F892" s="5" t="s">
        <v>1834</v>
      </c>
      <c r="G892" s="5" t="s">
        <v>1835</v>
      </c>
      <c r="J892" s="5" t="s">
        <v>2846</v>
      </c>
      <c r="K892" s="5" t="s">
        <v>2847</v>
      </c>
    </row>
    <row r="893" spans="2:11">
      <c r="B893" s="5"/>
      <c r="F893" s="5" t="s">
        <v>1836</v>
      </c>
      <c r="G893" s="5" t="s">
        <v>1837</v>
      </c>
      <c r="J893" s="5" t="s">
        <v>2848</v>
      </c>
      <c r="K893" s="5" t="s">
        <v>2849</v>
      </c>
    </row>
    <row r="894" spans="2:11">
      <c r="B894" s="5"/>
      <c r="F894" s="5" t="s">
        <v>1838</v>
      </c>
      <c r="G894" s="5" t="s">
        <v>1839</v>
      </c>
      <c r="J894" s="5" t="s">
        <v>2850</v>
      </c>
      <c r="K894" s="5" t="s">
        <v>2851</v>
      </c>
    </row>
    <row r="895" spans="2:11">
      <c r="B895" s="5"/>
      <c r="F895" s="5" t="s">
        <v>1840</v>
      </c>
      <c r="G895" s="5" t="s">
        <v>1841</v>
      </c>
      <c r="J895" s="5" t="s">
        <v>2852</v>
      </c>
      <c r="K895" s="5" t="s">
        <v>2853</v>
      </c>
    </row>
    <row r="896" spans="2:11">
      <c r="B896" s="5"/>
      <c r="F896" s="5" t="s">
        <v>1842</v>
      </c>
      <c r="G896" s="5" t="s">
        <v>1843</v>
      </c>
      <c r="J896" s="5" t="s">
        <v>2854</v>
      </c>
      <c r="K896" s="5" t="s">
        <v>2855</v>
      </c>
    </row>
    <row r="897" spans="2:11">
      <c r="B897" s="5"/>
      <c r="F897" s="5" t="s">
        <v>1844</v>
      </c>
      <c r="G897" s="5" t="s">
        <v>1845</v>
      </c>
      <c r="J897" s="5" t="s">
        <v>2856</v>
      </c>
      <c r="K897" s="5" t="s">
        <v>2857</v>
      </c>
    </row>
    <row r="898" spans="2:11">
      <c r="B898" s="5"/>
      <c r="F898" s="5" t="s">
        <v>1846</v>
      </c>
      <c r="G898" s="5" t="s">
        <v>1847</v>
      </c>
      <c r="J898" s="5" t="s">
        <v>2858</v>
      </c>
      <c r="K898" s="5" t="s">
        <v>2859</v>
      </c>
    </row>
    <row r="899" spans="2:11">
      <c r="B899" s="5"/>
      <c r="F899" s="5" t="s">
        <v>1848</v>
      </c>
      <c r="G899" s="5" t="s">
        <v>1849</v>
      </c>
      <c r="J899" s="5" t="s">
        <v>2860</v>
      </c>
      <c r="K899" s="5" t="s">
        <v>2861</v>
      </c>
    </row>
    <row r="900" spans="2:11">
      <c r="B900" s="5"/>
      <c r="F900" s="5" t="s">
        <v>1850</v>
      </c>
      <c r="G900" s="5" t="s">
        <v>1851</v>
      </c>
      <c r="J900" s="5" t="s">
        <v>2862</v>
      </c>
      <c r="K900" s="5" t="s">
        <v>2863</v>
      </c>
    </row>
    <row r="901" spans="2:11">
      <c r="B901" s="5"/>
      <c r="F901" s="5" t="s">
        <v>1852</v>
      </c>
      <c r="G901" s="5" t="s">
        <v>1853</v>
      </c>
      <c r="J901" s="5" t="s">
        <v>2864</v>
      </c>
      <c r="K901" s="5" t="s">
        <v>2865</v>
      </c>
    </row>
    <row r="902" spans="2:11">
      <c r="B902" s="5"/>
      <c r="F902" s="5" t="s">
        <v>1854</v>
      </c>
      <c r="G902" s="5" t="s">
        <v>1855</v>
      </c>
      <c r="J902" s="5" t="s">
        <v>2866</v>
      </c>
      <c r="K902" s="5" t="s">
        <v>2867</v>
      </c>
    </row>
    <row r="903" spans="2:11">
      <c r="B903" s="5"/>
      <c r="F903" s="5" t="s">
        <v>1856</v>
      </c>
      <c r="G903" s="5" t="s">
        <v>1857</v>
      </c>
      <c r="J903" s="5" t="s">
        <v>2868</v>
      </c>
      <c r="K903" s="5" t="s">
        <v>2869</v>
      </c>
    </row>
    <row r="904" spans="2:11">
      <c r="B904" s="5"/>
      <c r="F904" s="5" t="s">
        <v>1858</v>
      </c>
      <c r="G904" s="5" t="s">
        <v>1859</v>
      </c>
      <c r="J904" s="5" t="s">
        <v>2870</v>
      </c>
      <c r="K904" s="5" t="s">
        <v>2871</v>
      </c>
    </row>
    <row r="905" spans="2:11">
      <c r="B905" s="5"/>
      <c r="F905" s="5" t="s">
        <v>1860</v>
      </c>
      <c r="G905" s="5" t="s">
        <v>1861</v>
      </c>
      <c r="J905" s="5" t="s">
        <v>2872</v>
      </c>
      <c r="K905" s="5" t="s">
        <v>2873</v>
      </c>
    </row>
    <row r="906" spans="2:11">
      <c r="B906" s="5"/>
      <c r="F906" s="5" t="s">
        <v>1862</v>
      </c>
      <c r="G906" s="5" t="s">
        <v>1863</v>
      </c>
      <c r="J906" s="5" t="s">
        <v>2874</v>
      </c>
      <c r="K906" s="5" t="s">
        <v>2875</v>
      </c>
    </row>
    <row r="907" spans="2:11">
      <c r="B907" s="5"/>
      <c r="F907" s="5" t="s">
        <v>1864</v>
      </c>
      <c r="G907" s="5" t="s">
        <v>1865</v>
      </c>
      <c r="J907" s="5" t="s">
        <v>2876</v>
      </c>
      <c r="K907" s="5" t="s">
        <v>2877</v>
      </c>
    </row>
    <row r="908" spans="2:11">
      <c r="B908" s="5"/>
      <c r="F908" s="5" t="s">
        <v>1866</v>
      </c>
      <c r="G908" s="5" t="s">
        <v>1867</v>
      </c>
      <c r="J908" s="5" t="s">
        <v>2878</v>
      </c>
      <c r="K908" s="5" t="s">
        <v>2879</v>
      </c>
    </row>
    <row r="909" spans="2:11">
      <c r="B909" s="5"/>
      <c r="F909" s="5" t="s">
        <v>1868</v>
      </c>
      <c r="G909" s="5" t="s">
        <v>1869</v>
      </c>
      <c r="J909" s="5" t="s">
        <v>2880</v>
      </c>
      <c r="K909" s="5" t="s">
        <v>2881</v>
      </c>
    </row>
    <row r="910" spans="2:11">
      <c r="B910" s="5"/>
      <c r="F910" s="5" t="s">
        <v>1870</v>
      </c>
      <c r="G910" s="5" t="s">
        <v>1871</v>
      </c>
      <c r="J910" s="5" t="s">
        <v>2882</v>
      </c>
      <c r="K910" s="5" t="s">
        <v>2883</v>
      </c>
    </row>
    <row r="911" spans="2:11">
      <c r="B911" s="5"/>
      <c r="F911" s="5" t="s">
        <v>1872</v>
      </c>
      <c r="G911" s="5" t="s">
        <v>1873</v>
      </c>
      <c r="J911" s="5" t="s">
        <v>2884</v>
      </c>
      <c r="K911" s="5" t="s">
        <v>2885</v>
      </c>
    </row>
    <row r="912" spans="2:11">
      <c r="B912" s="5"/>
      <c r="F912" s="5" t="s">
        <v>1874</v>
      </c>
      <c r="G912" s="5" t="s">
        <v>1875</v>
      </c>
      <c r="J912" s="5" t="s">
        <v>2886</v>
      </c>
      <c r="K912" s="5" t="s">
        <v>2887</v>
      </c>
    </row>
    <row r="913" spans="2:11">
      <c r="B913" s="5"/>
      <c r="F913" s="5" t="s">
        <v>1876</v>
      </c>
      <c r="G913" s="5" t="s">
        <v>1877</v>
      </c>
      <c r="J913" s="5" t="s">
        <v>2888</v>
      </c>
      <c r="K913" s="5" t="s">
        <v>2889</v>
      </c>
    </row>
    <row r="914" spans="2:11">
      <c r="B914" s="5"/>
      <c r="F914" s="5" t="s">
        <v>1878</v>
      </c>
      <c r="G914" s="5" t="s">
        <v>1879</v>
      </c>
      <c r="J914" s="5" t="s">
        <v>2890</v>
      </c>
      <c r="K914" s="5" t="s">
        <v>2891</v>
      </c>
    </row>
    <row r="915" spans="2:11">
      <c r="B915" s="5"/>
      <c r="F915" s="5" t="s">
        <v>1880</v>
      </c>
      <c r="G915" s="5" t="s">
        <v>1881</v>
      </c>
      <c r="J915" s="5" t="s">
        <v>2892</v>
      </c>
      <c r="K915" s="5" t="s">
        <v>2893</v>
      </c>
    </row>
    <row r="916" spans="2:11">
      <c r="B916" s="5"/>
      <c r="F916" s="5" t="s">
        <v>1882</v>
      </c>
      <c r="G916" s="5" t="s">
        <v>1883</v>
      </c>
      <c r="J916" s="5" t="s">
        <v>2894</v>
      </c>
      <c r="K916" s="5" t="s">
        <v>2895</v>
      </c>
    </row>
    <row r="917" spans="2:11">
      <c r="B917" s="5"/>
      <c r="F917" s="5" t="s">
        <v>1884</v>
      </c>
      <c r="G917" s="5" t="s">
        <v>1885</v>
      </c>
      <c r="J917" s="5" t="s">
        <v>2896</v>
      </c>
      <c r="K917" s="5" t="s">
        <v>2897</v>
      </c>
    </row>
    <row r="918" spans="2:11">
      <c r="B918" s="5"/>
      <c r="F918" s="5" t="s">
        <v>1886</v>
      </c>
      <c r="G918" s="5" t="s">
        <v>1887</v>
      </c>
      <c r="J918" s="5" t="s">
        <v>2898</v>
      </c>
      <c r="K918" s="5" t="s">
        <v>2899</v>
      </c>
    </row>
    <row r="919" spans="2:11">
      <c r="B919" s="5"/>
      <c r="F919" s="5" t="s">
        <v>1888</v>
      </c>
      <c r="G919" s="5" t="s">
        <v>1889</v>
      </c>
      <c r="J919" s="5" t="s">
        <v>2900</v>
      </c>
      <c r="K919" s="5" t="s">
        <v>2901</v>
      </c>
    </row>
    <row r="920" spans="2:11">
      <c r="B920" s="5"/>
      <c r="F920" s="5" t="s">
        <v>1890</v>
      </c>
      <c r="G920" s="5" t="s">
        <v>1891</v>
      </c>
      <c r="J920" s="5" t="s">
        <v>2902</v>
      </c>
      <c r="K920" s="5" t="s">
        <v>2903</v>
      </c>
    </row>
    <row r="921" spans="2:11">
      <c r="B921" s="5"/>
      <c r="F921" s="5" t="s">
        <v>1892</v>
      </c>
      <c r="G921" s="5" t="s">
        <v>1893</v>
      </c>
      <c r="J921" s="5" t="s">
        <v>2904</v>
      </c>
      <c r="K921" s="5" t="s">
        <v>2905</v>
      </c>
    </row>
    <row r="922" spans="2:11">
      <c r="B922" s="5"/>
      <c r="F922" s="5" t="s">
        <v>1894</v>
      </c>
      <c r="G922" s="5" t="s">
        <v>1895</v>
      </c>
      <c r="J922" s="5" t="s">
        <v>2906</v>
      </c>
      <c r="K922" s="5" t="s">
        <v>2907</v>
      </c>
    </row>
    <row r="923" spans="2:11">
      <c r="B923" s="5"/>
      <c r="F923" s="5" t="s">
        <v>1896</v>
      </c>
      <c r="G923" s="5" t="s">
        <v>1897</v>
      </c>
      <c r="J923" s="5" t="s">
        <v>2908</v>
      </c>
      <c r="K923" s="5" t="s">
        <v>2909</v>
      </c>
    </row>
    <row r="924" spans="2:11">
      <c r="B924" s="5"/>
      <c r="F924" s="5" t="s">
        <v>1898</v>
      </c>
      <c r="G924" s="5" t="s">
        <v>1899</v>
      </c>
      <c r="J924" s="5" t="s">
        <v>2910</v>
      </c>
      <c r="K924" s="5" t="s">
        <v>2911</v>
      </c>
    </row>
    <row r="925" spans="2:11">
      <c r="B925" s="5"/>
      <c r="F925" s="5" t="s">
        <v>1900</v>
      </c>
      <c r="G925" s="5" t="s">
        <v>1901</v>
      </c>
      <c r="J925" s="5" t="s">
        <v>2912</v>
      </c>
      <c r="K925" s="5" t="s">
        <v>2913</v>
      </c>
    </row>
    <row r="926" spans="2:11">
      <c r="B926" s="5"/>
      <c r="F926" s="5" t="s">
        <v>1902</v>
      </c>
      <c r="G926" s="5" t="s">
        <v>1903</v>
      </c>
      <c r="J926" s="5" t="s">
        <v>2914</v>
      </c>
      <c r="K926" s="5" t="s">
        <v>2915</v>
      </c>
    </row>
    <row r="927" spans="2:11">
      <c r="B927" s="5"/>
      <c r="F927" s="5" t="s">
        <v>1904</v>
      </c>
      <c r="G927" s="5" t="s">
        <v>1905</v>
      </c>
      <c r="J927" s="5" t="s">
        <v>2916</v>
      </c>
      <c r="K927" s="5" t="s">
        <v>2917</v>
      </c>
    </row>
    <row r="928" spans="2:11">
      <c r="B928" s="5"/>
      <c r="F928" s="5" t="s">
        <v>1906</v>
      </c>
      <c r="G928" s="5" t="s">
        <v>1907</v>
      </c>
      <c r="J928" s="5" t="s">
        <v>2918</v>
      </c>
      <c r="K928" s="5" t="s">
        <v>2919</v>
      </c>
    </row>
    <row r="929" spans="2:11">
      <c r="B929" s="5"/>
      <c r="F929" s="5" t="s">
        <v>1908</v>
      </c>
      <c r="G929" s="5" t="s">
        <v>1909</v>
      </c>
      <c r="J929" s="5" t="s">
        <v>2920</v>
      </c>
      <c r="K929" s="5" t="s">
        <v>2921</v>
      </c>
    </row>
    <row r="930" spans="2:11">
      <c r="B930" s="5"/>
      <c r="F930" s="5" t="s">
        <v>1910</v>
      </c>
      <c r="G930" s="5" t="s">
        <v>1911</v>
      </c>
      <c r="J930" s="5" t="s">
        <v>2922</v>
      </c>
      <c r="K930" s="5" t="s">
        <v>2923</v>
      </c>
    </row>
    <row r="931" spans="2:11">
      <c r="B931" s="5"/>
      <c r="F931" s="5" t="s">
        <v>1912</v>
      </c>
      <c r="G931" s="5" t="s">
        <v>1913</v>
      </c>
      <c r="J931" s="5" t="s">
        <v>2924</v>
      </c>
      <c r="K931" s="5" t="s">
        <v>2925</v>
      </c>
    </row>
    <row r="932" spans="2:11">
      <c r="B932" s="5"/>
      <c r="F932" s="5" t="s">
        <v>1914</v>
      </c>
      <c r="G932" s="5" t="s">
        <v>1915</v>
      </c>
      <c r="J932" s="5" t="s">
        <v>2926</v>
      </c>
      <c r="K932" s="5" t="s">
        <v>2927</v>
      </c>
    </row>
    <row r="933" spans="2:11">
      <c r="B933" s="5"/>
      <c r="F933" s="5" t="s">
        <v>1916</v>
      </c>
      <c r="G933" s="5" t="s">
        <v>1917</v>
      </c>
      <c r="J933" s="5" t="s">
        <v>2928</v>
      </c>
      <c r="K933" s="5" t="s">
        <v>2929</v>
      </c>
    </row>
    <row r="934" spans="2:11">
      <c r="B934" s="5"/>
      <c r="F934" s="5" t="s">
        <v>1918</v>
      </c>
      <c r="G934" s="5" t="s">
        <v>1919</v>
      </c>
      <c r="J934" s="5" t="s">
        <v>2930</v>
      </c>
      <c r="K934" s="5" t="s">
        <v>2931</v>
      </c>
    </row>
    <row r="935" spans="2:11">
      <c r="B935" s="5"/>
      <c r="F935" s="5" t="s">
        <v>1920</v>
      </c>
      <c r="G935" s="5" t="s">
        <v>1921</v>
      </c>
      <c r="J935" s="5" t="s">
        <v>2932</v>
      </c>
      <c r="K935" s="5" t="s">
        <v>2933</v>
      </c>
    </row>
    <row r="936" spans="2:11">
      <c r="B936" s="5"/>
      <c r="F936" s="5" t="s">
        <v>1922</v>
      </c>
      <c r="G936" s="5" t="s">
        <v>1923</v>
      </c>
      <c r="J936" s="5" t="s">
        <v>2934</v>
      </c>
      <c r="K936" s="5" t="s">
        <v>2935</v>
      </c>
    </row>
    <row r="937" spans="2:11">
      <c r="B937" s="5"/>
      <c r="F937" s="5" t="s">
        <v>1924</v>
      </c>
      <c r="G937" s="5" t="s">
        <v>1925</v>
      </c>
      <c r="J937" s="5" t="s">
        <v>2936</v>
      </c>
      <c r="K937" s="5" t="s">
        <v>2937</v>
      </c>
    </row>
    <row r="938" spans="2:11">
      <c r="B938" s="5"/>
      <c r="F938" s="5" t="s">
        <v>1926</v>
      </c>
      <c r="G938" s="5" t="s">
        <v>1927</v>
      </c>
      <c r="J938" s="5" t="s">
        <v>2938</v>
      </c>
      <c r="K938" s="5" t="s">
        <v>2939</v>
      </c>
    </row>
    <row r="939" spans="2:11">
      <c r="B939" s="5"/>
      <c r="F939" s="5" t="s">
        <v>1928</v>
      </c>
      <c r="G939" s="5" t="s">
        <v>1929</v>
      </c>
      <c r="J939" s="5" t="s">
        <v>2940</v>
      </c>
      <c r="K939" s="5" t="s">
        <v>2941</v>
      </c>
    </row>
    <row r="940" spans="2:11">
      <c r="B940" s="5"/>
      <c r="F940" s="5" t="s">
        <v>1930</v>
      </c>
      <c r="G940" s="5" t="s">
        <v>1931</v>
      </c>
      <c r="J940" s="5" t="s">
        <v>2942</v>
      </c>
      <c r="K940" s="5" t="s">
        <v>2943</v>
      </c>
    </row>
    <row r="941" spans="2:11">
      <c r="B941" s="5"/>
      <c r="F941" s="5" t="s">
        <v>1932</v>
      </c>
      <c r="G941" s="5" t="s">
        <v>1933</v>
      </c>
      <c r="J941" s="5" t="s">
        <v>2944</v>
      </c>
      <c r="K941" s="5" t="s">
        <v>2945</v>
      </c>
    </row>
    <row r="942" spans="2:11">
      <c r="B942" s="5"/>
      <c r="F942" s="5" t="s">
        <v>1934</v>
      </c>
      <c r="G942" s="5" t="s">
        <v>1935</v>
      </c>
      <c r="J942" s="5" t="s">
        <v>2946</v>
      </c>
      <c r="K942" s="5" t="s">
        <v>2947</v>
      </c>
    </row>
    <row r="943" spans="2:11">
      <c r="B943" s="5"/>
      <c r="F943" s="5" t="s">
        <v>1936</v>
      </c>
      <c r="G943" s="5" t="s">
        <v>1937</v>
      </c>
      <c r="J943" s="5" t="s">
        <v>2948</v>
      </c>
      <c r="K943" s="5" t="s">
        <v>2949</v>
      </c>
    </row>
    <row r="944" spans="2:11">
      <c r="B944" s="5"/>
      <c r="F944" s="5" t="s">
        <v>1938</v>
      </c>
      <c r="G944" s="5" t="s">
        <v>1939</v>
      </c>
      <c r="J944" s="5" t="s">
        <v>2950</v>
      </c>
      <c r="K944" s="5" t="s">
        <v>2951</v>
      </c>
    </row>
    <row r="945" spans="2:11">
      <c r="B945" s="5"/>
      <c r="F945" s="5" t="s">
        <v>1940</v>
      </c>
      <c r="G945" s="5" t="s">
        <v>1941</v>
      </c>
      <c r="J945" s="5" t="s">
        <v>2952</v>
      </c>
      <c r="K945" s="5" t="s">
        <v>2953</v>
      </c>
    </row>
    <row r="946" spans="2:11">
      <c r="B946" s="5"/>
      <c r="F946" s="5" t="s">
        <v>1942</v>
      </c>
      <c r="G946" s="5" t="s">
        <v>1943</v>
      </c>
      <c r="J946" s="5" t="s">
        <v>2954</v>
      </c>
      <c r="K946" s="5" t="s">
        <v>2955</v>
      </c>
    </row>
    <row r="947" spans="2:11">
      <c r="B947" s="5"/>
      <c r="F947" s="5" t="s">
        <v>1944</v>
      </c>
      <c r="G947" s="5" t="s">
        <v>1945</v>
      </c>
      <c r="J947" s="5" t="s">
        <v>2956</v>
      </c>
      <c r="K947" s="5" t="s">
        <v>2957</v>
      </c>
    </row>
    <row r="948" spans="2:11">
      <c r="B948" s="5"/>
      <c r="F948" s="5" t="s">
        <v>1946</v>
      </c>
      <c r="G948" s="5" t="s">
        <v>1947</v>
      </c>
      <c r="J948" s="5" t="s">
        <v>2958</v>
      </c>
      <c r="K948" s="5" t="s">
        <v>2959</v>
      </c>
    </row>
    <row r="949" spans="2:11">
      <c r="B949" s="5"/>
      <c r="F949" s="5" t="s">
        <v>1948</v>
      </c>
      <c r="G949" s="5" t="s">
        <v>1949</v>
      </c>
      <c r="J949" s="5" t="s">
        <v>2960</v>
      </c>
      <c r="K949" s="5" t="s">
        <v>2961</v>
      </c>
    </row>
    <row r="950" spans="2:11">
      <c r="B950" s="5"/>
      <c r="F950" s="5" t="s">
        <v>1950</v>
      </c>
      <c r="G950" s="5" t="s">
        <v>1951</v>
      </c>
      <c r="J950" s="5" t="s">
        <v>2962</v>
      </c>
      <c r="K950" s="5" t="s">
        <v>2963</v>
      </c>
    </row>
    <row r="951" spans="2:11">
      <c r="B951" s="5"/>
      <c r="F951" s="5" t="s">
        <v>1952</v>
      </c>
      <c r="G951" s="5" t="s">
        <v>1953</v>
      </c>
      <c r="J951" s="5" t="s">
        <v>2964</v>
      </c>
      <c r="K951" s="5" t="s">
        <v>2965</v>
      </c>
    </row>
    <row r="952" spans="2:11">
      <c r="B952" s="5"/>
      <c r="F952" s="5" t="s">
        <v>1954</v>
      </c>
      <c r="G952" s="5" t="s">
        <v>1955</v>
      </c>
      <c r="J952" s="5" t="s">
        <v>2966</v>
      </c>
      <c r="K952" s="5" t="s">
        <v>2967</v>
      </c>
    </row>
    <row r="953" spans="2:11">
      <c r="B953" s="5"/>
      <c r="F953" s="5" t="s">
        <v>1956</v>
      </c>
      <c r="G953" s="5" t="s">
        <v>1957</v>
      </c>
      <c r="J953" s="5" t="s">
        <v>2968</v>
      </c>
      <c r="K953" s="5" t="s">
        <v>2969</v>
      </c>
    </row>
    <row r="954" spans="2:11">
      <c r="B954" s="5"/>
      <c r="F954" s="5" t="s">
        <v>1958</v>
      </c>
      <c r="G954" s="5" t="s">
        <v>1959</v>
      </c>
      <c r="J954" s="5" t="s">
        <v>2970</v>
      </c>
      <c r="K954" s="5" t="s">
        <v>2971</v>
      </c>
    </row>
    <row r="955" spans="2:11">
      <c r="B955" s="5"/>
      <c r="F955" s="5" t="s">
        <v>1960</v>
      </c>
      <c r="G955" s="5" t="s">
        <v>1961</v>
      </c>
      <c r="J955" s="5" t="s">
        <v>2972</v>
      </c>
      <c r="K955" s="5" t="s">
        <v>2973</v>
      </c>
    </row>
    <row r="956" spans="2:11">
      <c r="B956" s="5"/>
      <c r="F956" s="5" t="s">
        <v>1962</v>
      </c>
      <c r="G956" s="5" t="s">
        <v>1963</v>
      </c>
      <c r="J956" s="5" t="s">
        <v>2974</v>
      </c>
      <c r="K956" s="5" t="s">
        <v>2975</v>
      </c>
    </row>
    <row r="957" spans="2:11">
      <c r="B957" s="5"/>
      <c r="F957" s="5" t="s">
        <v>1964</v>
      </c>
      <c r="G957" s="5" t="s">
        <v>1965</v>
      </c>
      <c r="J957" s="5" t="s">
        <v>2976</v>
      </c>
      <c r="K957" s="5" t="s">
        <v>2977</v>
      </c>
    </row>
    <row r="958" spans="2:11">
      <c r="B958" s="5"/>
      <c r="F958" s="5" t="s">
        <v>1966</v>
      </c>
      <c r="G958" s="5" t="s">
        <v>1967</v>
      </c>
      <c r="J958" s="5" t="s">
        <v>2978</v>
      </c>
      <c r="K958" s="5" t="s">
        <v>2979</v>
      </c>
    </row>
    <row r="959" spans="2:11">
      <c r="B959" s="5"/>
      <c r="F959" s="5" t="s">
        <v>1968</v>
      </c>
      <c r="G959" s="5" t="s">
        <v>1969</v>
      </c>
      <c r="J959" s="5" t="s">
        <v>2980</v>
      </c>
      <c r="K959" s="5" t="s">
        <v>2981</v>
      </c>
    </row>
    <row r="960" spans="2:11">
      <c r="B960" s="5"/>
      <c r="F960" s="5" t="s">
        <v>1970</v>
      </c>
      <c r="G960" s="5" t="s">
        <v>1971</v>
      </c>
      <c r="J960" s="5" t="s">
        <v>2982</v>
      </c>
      <c r="K960" s="5" t="s">
        <v>2983</v>
      </c>
    </row>
    <row r="961" spans="2:11">
      <c r="B961" s="5"/>
      <c r="F961" s="5" t="s">
        <v>1972</v>
      </c>
      <c r="G961" s="5" t="s">
        <v>1973</v>
      </c>
      <c r="J961" s="5" t="s">
        <v>2984</v>
      </c>
      <c r="K961" s="5" t="s">
        <v>2985</v>
      </c>
    </row>
    <row r="962" spans="2:11">
      <c r="B962" s="5"/>
      <c r="F962" s="5" t="s">
        <v>1974</v>
      </c>
      <c r="G962" s="5" t="s">
        <v>1975</v>
      </c>
      <c r="J962" s="5" t="s">
        <v>2986</v>
      </c>
      <c r="K962" s="5" t="s">
        <v>2987</v>
      </c>
    </row>
    <row r="963" spans="2:11">
      <c r="B963" s="5"/>
      <c r="F963" s="5" t="s">
        <v>1976</v>
      </c>
      <c r="G963" s="5" t="s">
        <v>1977</v>
      </c>
      <c r="J963" s="5" t="s">
        <v>2988</v>
      </c>
      <c r="K963" s="5" t="s">
        <v>2989</v>
      </c>
    </row>
    <row r="964" spans="2:11">
      <c r="B964" s="5"/>
      <c r="F964" s="5" t="s">
        <v>1978</v>
      </c>
      <c r="G964" s="5" t="s">
        <v>1979</v>
      </c>
      <c r="J964" s="5" t="s">
        <v>2990</v>
      </c>
      <c r="K964" s="5" t="s">
        <v>2991</v>
      </c>
    </row>
    <row r="965" spans="2:11">
      <c r="B965" s="5"/>
      <c r="F965" s="5" t="s">
        <v>1980</v>
      </c>
      <c r="G965" s="5" t="s">
        <v>1981</v>
      </c>
      <c r="J965" s="5" t="s">
        <v>2992</v>
      </c>
      <c r="K965" s="5" t="s">
        <v>2993</v>
      </c>
    </row>
    <row r="966" spans="2:11">
      <c r="B966" s="5"/>
      <c r="F966" s="5" t="s">
        <v>1982</v>
      </c>
      <c r="G966" s="5" t="s">
        <v>1983</v>
      </c>
      <c r="J966" s="5" t="s">
        <v>2994</v>
      </c>
      <c r="K966" s="5" t="s">
        <v>2995</v>
      </c>
    </row>
    <row r="967" spans="2:11">
      <c r="B967" s="5"/>
      <c r="F967" s="5" t="s">
        <v>1984</v>
      </c>
      <c r="G967" s="5" t="s">
        <v>1985</v>
      </c>
      <c r="J967" s="5" t="s">
        <v>2996</v>
      </c>
      <c r="K967" s="5" t="s">
        <v>2997</v>
      </c>
    </row>
    <row r="968" spans="2:11">
      <c r="B968" s="5"/>
      <c r="F968" s="5" t="s">
        <v>1986</v>
      </c>
      <c r="G968" s="5" t="s">
        <v>1987</v>
      </c>
      <c r="J968" s="5" t="s">
        <v>2998</v>
      </c>
      <c r="K968" s="5" t="s">
        <v>2999</v>
      </c>
    </row>
    <row r="969" spans="2:11">
      <c r="B969" s="5"/>
      <c r="F969" s="5" t="s">
        <v>1988</v>
      </c>
      <c r="G969" s="5" t="s">
        <v>1989</v>
      </c>
      <c r="J969" s="5" t="s">
        <v>3000</v>
      </c>
      <c r="K969" s="5" t="s">
        <v>3001</v>
      </c>
    </row>
    <row r="970" spans="2:11">
      <c r="B970" s="5"/>
      <c r="F970" s="5" t="s">
        <v>1990</v>
      </c>
      <c r="G970" s="5" t="s">
        <v>1991</v>
      </c>
      <c r="J970" s="5" t="s">
        <v>3002</v>
      </c>
      <c r="K970" s="5" t="s">
        <v>3003</v>
      </c>
    </row>
    <row r="971" spans="2:11">
      <c r="B971" s="5"/>
      <c r="F971" s="5" t="s">
        <v>1992</v>
      </c>
      <c r="G971" s="5" t="s">
        <v>1993</v>
      </c>
      <c r="J971" s="5" t="s">
        <v>3004</v>
      </c>
      <c r="K971" s="5" t="s">
        <v>3005</v>
      </c>
    </row>
    <row r="972" spans="2:11">
      <c r="B972" s="5"/>
      <c r="F972" s="5" t="s">
        <v>1994</v>
      </c>
      <c r="G972" s="5" t="s">
        <v>1995</v>
      </c>
      <c r="J972" s="5" t="s">
        <v>3006</v>
      </c>
      <c r="K972" s="5" t="s">
        <v>3007</v>
      </c>
    </row>
    <row r="973" spans="2:11">
      <c r="B973" s="5"/>
      <c r="F973" s="5" t="s">
        <v>1996</v>
      </c>
      <c r="G973" s="5" t="s">
        <v>1997</v>
      </c>
      <c r="J973" s="5" t="s">
        <v>3008</v>
      </c>
      <c r="K973" s="5" t="s">
        <v>3009</v>
      </c>
    </row>
    <row r="974" spans="2:11">
      <c r="B974" s="5"/>
      <c r="F974" s="5" t="s">
        <v>1998</v>
      </c>
      <c r="G974" s="5" t="s">
        <v>1999</v>
      </c>
      <c r="J974" s="5" t="s">
        <v>3010</v>
      </c>
      <c r="K974" s="5" t="s">
        <v>3011</v>
      </c>
    </row>
    <row r="975" spans="2:11">
      <c r="B975" s="5"/>
      <c r="F975" s="5" t="s">
        <v>2000</v>
      </c>
      <c r="G975" s="5" t="s">
        <v>2001</v>
      </c>
      <c r="J975" s="5" t="s">
        <v>3012</v>
      </c>
      <c r="K975" s="5" t="s">
        <v>3013</v>
      </c>
    </row>
    <row r="976" spans="2:11">
      <c r="B976" s="5"/>
      <c r="F976" s="5" t="s">
        <v>2002</v>
      </c>
      <c r="G976" s="5" t="s">
        <v>2003</v>
      </c>
      <c r="J976" s="5" t="s">
        <v>3014</v>
      </c>
      <c r="K976" s="5" t="s">
        <v>3015</v>
      </c>
    </row>
    <row r="977" spans="2:11">
      <c r="B977" s="5"/>
      <c r="F977" s="5" t="s">
        <v>2004</v>
      </c>
      <c r="G977" s="5" t="s">
        <v>2005</v>
      </c>
      <c r="J977" s="5" t="s">
        <v>3016</v>
      </c>
      <c r="K977" s="5" t="s">
        <v>3017</v>
      </c>
    </row>
    <row r="978" spans="2:11">
      <c r="B978" s="5"/>
      <c r="F978" s="5" t="s">
        <v>2006</v>
      </c>
      <c r="G978" s="5" t="s">
        <v>2007</v>
      </c>
      <c r="J978" s="5" t="s">
        <v>3018</v>
      </c>
      <c r="K978" s="5" t="s">
        <v>3019</v>
      </c>
    </row>
    <row r="979" spans="2:11">
      <c r="B979" s="5"/>
      <c r="F979" s="5" t="s">
        <v>2008</v>
      </c>
      <c r="G979" s="5" t="s">
        <v>2009</v>
      </c>
      <c r="J979" s="5" t="s">
        <v>3020</v>
      </c>
      <c r="K979" s="5" t="s">
        <v>3021</v>
      </c>
    </row>
    <row r="980" spans="2:11">
      <c r="B980" s="5"/>
      <c r="F980" s="5" t="s">
        <v>2010</v>
      </c>
      <c r="G980" s="5" t="s">
        <v>2011</v>
      </c>
      <c r="J980" s="5" t="s">
        <v>3022</v>
      </c>
      <c r="K980" s="5" t="s">
        <v>3023</v>
      </c>
    </row>
    <row r="981" spans="2:11">
      <c r="B981" s="5"/>
      <c r="F981" s="5" t="s">
        <v>2012</v>
      </c>
      <c r="G981" s="5" t="s">
        <v>2013</v>
      </c>
      <c r="J981" s="5" t="s">
        <v>3024</v>
      </c>
      <c r="K981" s="5" t="s">
        <v>3025</v>
      </c>
    </row>
    <row r="982" spans="2:11">
      <c r="B982" s="5"/>
      <c r="F982" s="5" t="s">
        <v>2014</v>
      </c>
      <c r="G982" s="5" t="s">
        <v>2015</v>
      </c>
      <c r="J982" s="5" t="s">
        <v>3026</v>
      </c>
      <c r="K982" s="5" t="s">
        <v>3027</v>
      </c>
    </row>
    <row r="983" spans="2:11">
      <c r="B983" s="5"/>
      <c r="F983" s="5" t="s">
        <v>2016</v>
      </c>
      <c r="G983" s="5" t="s">
        <v>2017</v>
      </c>
      <c r="J983" s="5" t="s">
        <v>3028</v>
      </c>
      <c r="K983" s="5" t="s">
        <v>3029</v>
      </c>
    </row>
    <row r="984" spans="2:11">
      <c r="B984" s="5"/>
      <c r="F984" s="5" t="s">
        <v>2018</v>
      </c>
      <c r="G984" s="5" t="s">
        <v>2019</v>
      </c>
      <c r="J984" s="5" t="s">
        <v>3030</v>
      </c>
      <c r="K984" s="5" t="s">
        <v>3031</v>
      </c>
    </row>
    <row r="985" spans="2:11">
      <c r="B985" s="5"/>
      <c r="F985" s="5" t="s">
        <v>2020</v>
      </c>
      <c r="G985" s="5" t="s">
        <v>2021</v>
      </c>
      <c r="J985" s="5" t="s">
        <v>3032</v>
      </c>
      <c r="K985" s="5" t="s">
        <v>3033</v>
      </c>
    </row>
    <row r="986" spans="2:11">
      <c r="B986" s="5"/>
      <c r="F986" s="5" t="s">
        <v>2022</v>
      </c>
      <c r="G986" s="5" t="s">
        <v>2023</v>
      </c>
      <c r="J986" s="5" t="s">
        <v>3034</v>
      </c>
      <c r="K986" s="5" t="s">
        <v>3035</v>
      </c>
    </row>
    <row r="987" spans="2:11">
      <c r="B987" s="5"/>
      <c r="F987" s="5" t="s">
        <v>2024</v>
      </c>
      <c r="G987" s="5" t="s">
        <v>2025</v>
      </c>
      <c r="J987" s="5" t="s">
        <v>3036</v>
      </c>
      <c r="K987" s="5" t="s">
        <v>3037</v>
      </c>
    </row>
    <row r="988" spans="2:11">
      <c r="B988" s="5"/>
      <c r="F988" s="5" t="s">
        <v>2026</v>
      </c>
      <c r="G988" s="5" t="s">
        <v>2027</v>
      </c>
      <c r="J988" s="5" t="s">
        <v>3038</v>
      </c>
      <c r="K988" s="5" t="s">
        <v>3039</v>
      </c>
    </row>
    <row r="989" spans="2:11">
      <c r="B989" s="5"/>
      <c r="F989" s="5" t="s">
        <v>2028</v>
      </c>
      <c r="G989" s="5" t="s">
        <v>2029</v>
      </c>
      <c r="J989" s="5" t="s">
        <v>3040</v>
      </c>
      <c r="K989" s="5" t="s">
        <v>3041</v>
      </c>
    </row>
    <row r="990" spans="2:11">
      <c r="B990" s="5"/>
      <c r="F990" s="5" t="s">
        <v>2030</v>
      </c>
      <c r="G990" s="5" t="s">
        <v>2031</v>
      </c>
      <c r="J990" s="5" t="s">
        <v>3042</v>
      </c>
      <c r="K990" s="5" t="s">
        <v>3043</v>
      </c>
    </row>
    <row r="991" spans="2:11">
      <c r="B991" s="5"/>
      <c r="F991" s="5" t="s">
        <v>2032</v>
      </c>
      <c r="G991" s="5" t="s">
        <v>2033</v>
      </c>
      <c r="J991" s="5" t="s">
        <v>3044</v>
      </c>
      <c r="K991" s="5" t="s">
        <v>3045</v>
      </c>
    </row>
    <row r="992" spans="2:11">
      <c r="B992" s="5"/>
      <c r="F992" s="5" t="s">
        <v>2034</v>
      </c>
      <c r="G992" s="5" t="s">
        <v>2035</v>
      </c>
      <c r="J992" s="5" t="s">
        <v>3046</v>
      </c>
      <c r="K992" s="5" t="s">
        <v>3047</v>
      </c>
    </row>
    <row r="993" spans="2:11">
      <c r="B993" s="5"/>
      <c r="F993" s="5" t="s">
        <v>2036</v>
      </c>
      <c r="G993" s="5" t="s">
        <v>2037</v>
      </c>
      <c r="J993" s="5" t="s">
        <v>3048</v>
      </c>
      <c r="K993" s="5" t="s">
        <v>3049</v>
      </c>
    </row>
    <row r="994" spans="2:11">
      <c r="B994" s="5"/>
      <c r="F994" s="5" t="s">
        <v>2038</v>
      </c>
      <c r="G994" s="5" t="s">
        <v>2039</v>
      </c>
      <c r="J994" s="5" t="s">
        <v>3050</v>
      </c>
      <c r="K994" s="5" t="s">
        <v>3051</v>
      </c>
    </row>
    <row r="995" spans="2:11">
      <c r="B995" s="5"/>
      <c r="F995" s="5" t="s">
        <v>2040</v>
      </c>
      <c r="G995" s="5" t="s">
        <v>2041</v>
      </c>
      <c r="J995" s="5" t="s">
        <v>3052</v>
      </c>
      <c r="K995" s="5" t="s">
        <v>3053</v>
      </c>
    </row>
    <row r="996" spans="2:11">
      <c r="B996" s="5"/>
      <c r="F996" s="5" t="s">
        <v>2042</v>
      </c>
      <c r="G996" s="5" t="s">
        <v>2043</v>
      </c>
      <c r="J996" s="5" t="s">
        <v>3054</v>
      </c>
      <c r="K996" s="5" t="s">
        <v>3055</v>
      </c>
    </row>
    <row r="997" spans="2:11">
      <c r="B997" s="5"/>
      <c r="F997" s="5" t="s">
        <v>2044</v>
      </c>
      <c r="G997" s="5" t="s">
        <v>2045</v>
      </c>
      <c r="J997" s="5" t="s">
        <v>3056</v>
      </c>
      <c r="K997" s="5" t="s">
        <v>3057</v>
      </c>
    </row>
    <row r="998" spans="2:11">
      <c r="B998" s="5"/>
      <c r="F998" s="5" t="s">
        <v>2046</v>
      </c>
      <c r="G998" s="5" t="s">
        <v>2047</v>
      </c>
      <c r="J998" s="5" t="s">
        <v>3058</v>
      </c>
      <c r="K998" s="5" t="s">
        <v>3059</v>
      </c>
    </row>
    <row r="999" spans="2:11">
      <c r="B999" s="5"/>
      <c r="F999" s="5" t="s">
        <v>2048</v>
      </c>
      <c r="G999" s="5" t="s">
        <v>2049</v>
      </c>
      <c r="J999" s="5" t="s">
        <v>3060</v>
      </c>
      <c r="K999" s="5" t="s">
        <v>3061</v>
      </c>
    </row>
    <row r="1000" spans="2:11">
      <c r="B1000" s="5"/>
      <c r="F1000" s="5" t="s">
        <v>2050</v>
      </c>
      <c r="G1000" s="5" t="s">
        <v>2051</v>
      </c>
      <c r="J1000" s="5" t="s">
        <v>3062</v>
      </c>
      <c r="K1000" s="5" t="s">
        <v>3063</v>
      </c>
    </row>
    <row r="1001" spans="2:11">
      <c r="B1001" s="5"/>
      <c r="F1001" s="5" t="s">
        <v>2052</v>
      </c>
      <c r="G1001" s="5" t="s">
        <v>2053</v>
      </c>
      <c r="J1001" s="5" t="s">
        <v>3064</v>
      </c>
      <c r="K1001" s="5" t="s">
        <v>3065</v>
      </c>
    </row>
    <row r="1002" spans="2:11">
      <c r="B1002" s="5"/>
      <c r="F1002" s="5" t="s">
        <v>2054</v>
      </c>
      <c r="G1002" s="5" t="s">
        <v>2055</v>
      </c>
      <c r="J1002" s="5" t="s">
        <v>3066</v>
      </c>
      <c r="K1002" s="5" t="s">
        <v>3067</v>
      </c>
    </row>
    <row r="1003" spans="2:11">
      <c r="B1003" s="5"/>
      <c r="F1003" s="5" t="s">
        <v>2056</v>
      </c>
      <c r="G1003" s="5" t="s">
        <v>2057</v>
      </c>
      <c r="J1003" s="5" t="s">
        <v>3068</v>
      </c>
      <c r="K1003" s="5" t="s">
        <v>3069</v>
      </c>
    </row>
    <row r="1004" spans="2:11">
      <c r="B1004" s="5"/>
      <c r="F1004" s="5" t="s">
        <v>2058</v>
      </c>
      <c r="G1004" s="5" t="s">
        <v>2059</v>
      </c>
      <c r="J1004" s="5" t="s">
        <v>3070</v>
      </c>
      <c r="K1004" s="5" t="s">
        <v>3071</v>
      </c>
    </row>
    <row r="1005" spans="2:11">
      <c r="B1005" s="5"/>
      <c r="F1005" s="5" t="s">
        <v>2060</v>
      </c>
      <c r="G1005" s="5" t="s">
        <v>2061</v>
      </c>
      <c r="J1005" s="5" t="s">
        <v>3072</v>
      </c>
      <c r="K1005" s="5" t="s">
        <v>3073</v>
      </c>
    </row>
    <row r="1006" spans="2:11">
      <c r="B1006" s="5"/>
      <c r="F1006" s="5" t="s">
        <v>2062</v>
      </c>
      <c r="G1006" s="5" t="s">
        <v>2063</v>
      </c>
      <c r="J1006" s="5" t="s">
        <v>3074</v>
      </c>
      <c r="K1006" s="5" t="s">
        <v>3075</v>
      </c>
    </row>
    <row r="1007" spans="2:11">
      <c r="B1007" s="5"/>
      <c r="F1007" s="5" t="s">
        <v>2064</v>
      </c>
      <c r="G1007" s="5" t="s">
        <v>2065</v>
      </c>
      <c r="J1007" s="5" t="s">
        <v>3076</v>
      </c>
      <c r="K1007" s="5" t="s">
        <v>3077</v>
      </c>
    </row>
    <row r="1008" spans="2:11">
      <c r="B1008" s="5"/>
      <c r="F1008" s="5" t="s">
        <v>2066</v>
      </c>
      <c r="G1008" s="5" t="s">
        <v>2067</v>
      </c>
      <c r="J1008" s="5" t="s">
        <v>3078</v>
      </c>
      <c r="K1008" s="5" t="s">
        <v>3079</v>
      </c>
    </row>
    <row r="1009" spans="2:11">
      <c r="B1009" s="5"/>
      <c r="F1009" s="5" t="s">
        <v>2068</v>
      </c>
      <c r="G1009" s="5" t="s">
        <v>2069</v>
      </c>
      <c r="J1009" s="5" t="s">
        <v>3080</v>
      </c>
      <c r="K1009" s="5" t="s">
        <v>3081</v>
      </c>
    </row>
    <row r="1010" spans="2:11">
      <c r="B1010" s="5"/>
      <c r="F1010" s="5" t="s">
        <v>2070</v>
      </c>
      <c r="G1010" s="5" t="s">
        <v>2071</v>
      </c>
      <c r="J1010" s="5" t="s">
        <v>3082</v>
      </c>
      <c r="K1010" s="5" t="s">
        <v>3083</v>
      </c>
    </row>
    <row r="1011" spans="2:11">
      <c r="B1011" s="5"/>
      <c r="F1011" s="5" t="s">
        <v>2072</v>
      </c>
      <c r="G1011" s="5" t="s">
        <v>2073</v>
      </c>
      <c r="J1011" s="5" t="s">
        <v>3084</v>
      </c>
      <c r="K1011" s="5" t="s">
        <v>3085</v>
      </c>
    </row>
    <row r="1012" spans="2:11">
      <c r="B1012" s="5"/>
      <c r="F1012" s="5" t="s">
        <v>2074</v>
      </c>
      <c r="G1012" s="5" t="s">
        <v>2075</v>
      </c>
      <c r="J1012" s="5" t="s">
        <v>3086</v>
      </c>
      <c r="K1012" s="5" t="s">
        <v>3087</v>
      </c>
    </row>
    <row r="1013" spans="2:11">
      <c r="B1013" s="5"/>
      <c r="F1013" s="5" t="s">
        <v>2076</v>
      </c>
      <c r="G1013" s="5" t="s">
        <v>2077</v>
      </c>
      <c r="J1013" s="5" t="s">
        <v>3088</v>
      </c>
      <c r="K1013" s="5" t="s">
        <v>3089</v>
      </c>
    </row>
    <row r="1014" spans="2:11">
      <c r="B1014" s="5"/>
      <c r="F1014" s="5" t="s">
        <v>2078</v>
      </c>
      <c r="G1014" s="5" t="s">
        <v>2079</v>
      </c>
      <c r="J1014" s="5" t="s">
        <v>3090</v>
      </c>
      <c r="K1014" s="5" t="s">
        <v>3091</v>
      </c>
    </row>
    <row r="1015" spans="2:11">
      <c r="B1015" s="5"/>
      <c r="F1015" s="5" t="s">
        <v>2080</v>
      </c>
      <c r="G1015" s="5" t="s">
        <v>2081</v>
      </c>
      <c r="J1015" s="5" t="s">
        <v>3092</v>
      </c>
      <c r="K1015" s="5" t="s">
        <v>3093</v>
      </c>
    </row>
    <row r="1016" spans="2:11">
      <c r="B1016" s="5"/>
      <c r="F1016" s="5" t="s">
        <v>2082</v>
      </c>
      <c r="G1016" s="5" t="s">
        <v>2083</v>
      </c>
      <c r="J1016" s="5" t="s">
        <v>3094</v>
      </c>
      <c r="K1016" s="5" t="s">
        <v>3095</v>
      </c>
    </row>
    <row r="1017" spans="2:11">
      <c r="B1017" s="5"/>
      <c r="F1017" s="5" t="s">
        <v>2084</v>
      </c>
      <c r="G1017" s="5" t="s">
        <v>2085</v>
      </c>
      <c r="J1017" s="5" t="s">
        <v>3096</v>
      </c>
      <c r="K1017" s="5" t="s">
        <v>3097</v>
      </c>
    </row>
    <row r="1018" spans="2:11">
      <c r="B1018" s="5"/>
      <c r="F1018" s="5" t="s">
        <v>2086</v>
      </c>
      <c r="G1018" s="5" t="s">
        <v>2087</v>
      </c>
      <c r="J1018" s="5" t="s">
        <v>3098</v>
      </c>
      <c r="K1018" s="5" t="s">
        <v>3099</v>
      </c>
    </row>
    <row r="1019" spans="2:11">
      <c r="B1019" s="5"/>
      <c r="F1019" s="5" t="s">
        <v>2088</v>
      </c>
      <c r="G1019" s="5" t="s">
        <v>2089</v>
      </c>
      <c r="J1019" s="5" t="s">
        <v>3100</v>
      </c>
      <c r="K1019" s="5" t="s">
        <v>3101</v>
      </c>
    </row>
    <row r="1020" spans="2:11">
      <c r="B1020" s="5"/>
      <c r="F1020" s="5" t="s">
        <v>2090</v>
      </c>
      <c r="G1020" s="5" t="s">
        <v>2091</v>
      </c>
      <c r="J1020" s="5" t="s">
        <v>3102</v>
      </c>
      <c r="K1020" s="5" t="s">
        <v>3103</v>
      </c>
    </row>
    <row r="1021" spans="2:11">
      <c r="B1021" s="5"/>
      <c r="F1021" s="5" t="s">
        <v>2092</v>
      </c>
      <c r="G1021" s="5" t="s">
        <v>2093</v>
      </c>
      <c r="J1021" s="5" t="s">
        <v>3104</v>
      </c>
      <c r="K1021" s="5" t="s">
        <v>3105</v>
      </c>
    </row>
    <row r="1022" spans="2:11">
      <c r="B1022" s="5"/>
      <c r="F1022" s="5" t="s">
        <v>2094</v>
      </c>
      <c r="G1022" s="5" t="s">
        <v>2095</v>
      </c>
      <c r="J1022" s="5" t="s">
        <v>3106</v>
      </c>
      <c r="K1022" s="5" t="s">
        <v>3107</v>
      </c>
    </row>
    <row r="1023" spans="2:11">
      <c r="B1023" s="5"/>
      <c r="F1023" s="5" t="s">
        <v>2096</v>
      </c>
      <c r="G1023" s="5" t="s">
        <v>2097</v>
      </c>
      <c r="J1023" s="5" t="s">
        <v>3108</v>
      </c>
      <c r="K1023" s="5" t="s">
        <v>3109</v>
      </c>
    </row>
    <row r="1024" spans="2:11">
      <c r="B1024" s="5"/>
      <c r="F1024" s="5" t="s">
        <v>2098</v>
      </c>
      <c r="G1024" s="5" t="s">
        <v>2099</v>
      </c>
      <c r="J1024" s="5" t="s">
        <v>3110</v>
      </c>
      <c r="K1024" s="5" t="s">
        <v>3111</v>
      </c>
    </row>
    <row r="1025" spans="2:11">
      <c r="B1025" s="5"/>
      <c r="F1025" s="5" t="s">
        <v>2100</v>
      </c>
      <c r="G1025" s="5" t="s">
        <v>2101</v>
      </c>
      <c r="J1025" s="5" t="s">
        <v>3112</v>
      </c>
      <c r="K1025" s="5" t="s">
        <v>3113</v>
      </c>
    </row>
    <row r="1026" spans="2:11">
      <c r="B1026" s="5"/>
      <c r="F1026" s="5" t="s">
        <v>2102</v>
      </c>
      <c r="G1026" s="5" t="s">
        <v>2103</v>
      </c>
      <c r="J1026" s="5" t="s">
        <v>3114</v>
      </c>
      <c r="K1026" s="5" t="s">
        <v>3115</v>
      </c>
    </row>
    <row r="1027" spans="2:11">
      <c r="B1027" s="5"/>
      <c r="F1027" s="5" t="s">
        <v>2104</v>
      </c>
      <c r="G1027" s="5" t="s">
        <v>2105</v>
      </c>
      <c r="J1027" s="5" t="s">
        <v>3116</v>
      </c>
      <c r="K1027" s="5" t="s">
        <v>3117</v>
      </c>
    </row>
    <row r="1028" spans="2:11">
      <c r="B1028" s="5"/>
      <c r="F1028" s="5" t="s">
        <v>2106</v>
      </c>
      <c r="G1028" s="5" t="s">
        <v>2107</v>
      </c>
      <c r="J1028" s="5" t="s">
        <v>3118</v>
      </c>
      <c r="K1028" s="5" t="s">
        <v>3119</v>
      </c>
    </row>
    <row r="1029" spans="2:11">
      <c r="B1029" s="5"/>
      <c r="F1029" s="5" t="s">
        <v>2108</v>
      </c>
      <c r="G1029" s="5" t="s">
        <v>2109</v>
      </c>
      <c r="J1029" s="5" t="s">
        <v>3120</v>
      </c>
      <c r="K1029" s="5" t="s">
        <v>3121</v>
      </c>
    </row>
    <row r="1030" spans="2:11">
      <c r="B1030" s="5"/>
      <c r="F1030" s="5" t="s">
        <v>2110</v>
      </c>
      <c r="G1030" s="5" t="s">
        <v>2111</v>
      </c>
      <c r="J1030" s="5" t="s">
        <v>3122</v>
      </c>
      <c r="K1030" s="5" t="s">
        <v>3123</v>
      </c>
    </row>
    <row r="1031" spans="2:11">
      <c r="B1031" s="5"/>
      <c r="F1031" s="5" t="s">
        <v>2112</v>
      </c>
      <c r="G1031" s="5" t="s">
        <v>2113</v>
      </c>
      <c r="J1031" s="5" t="s">
        <v>3124</v>
      </c>
      <c r="K1031" s="5" t="s">
        <v>3125</v>
      </c>
    </row>
    <row r="1032" spans="2:11">
      <c r="B1032" s="5"/>
      <c r="F1032" s="5" t="s">
        <v>2114</v>
      </c>
      <c r="G1032" s="5" t="s">
        <v>2115</v>
      </c>
      <c r="J1032" s="5" t="s">
        <v>3126</v>
      </c>
      <c r="K1032" s="5" t="s">
        <v>3127</v>
      </c>
    </row>
    <row r="1033" spans="2:11">
      <c r="B1033" s="5"/>
      <c r="F1033" s="5" t="s">
        <v>2116</v>
      </c>
      <c r="G1033" s="5" t="s">
        <v>2117</v>
      </c>
      <c r="J1033" s="5" t="s">
        <v>3128</v>
      </c>
      <c r="K1033" s="5" t="s">
        <v>3129</v>
      </c>
    </row>
    <row r="1034" spans="2:11">
      <c r="B1034" s="5"/>
      <c r="F1034" s="5" t="s">
        <v>2118</v>
      </c>
      <c r="G1034" s="5" t="s">
        <v>2119</v>
      </c>
      <c r="J1034" s="5" t="s">
        <v>3130</v>
      </c>
      <c r="K1034" s="5" t="s">
        <v>3131</v>
      </c>
    </row>
    <row r="1035" spans="2:11">
      <c r="B1035" s="5"/>
      <c r="F1035" s="5" t="s">
        <v>2120</v>
      </c>
      <c r="G1035" s="5" t="s">
        <v>2121</v>
      </c>
      <c r="J1035" s="5" t="s">
        <v>3132</v>
      </c>
      <c r="K1035" s="5" t="s">
        <v>3133</v>
      </c>
    </row>
    <row r="1036" spans="2:11">
      <c r="B1036" s="5"/>
      <c r="F1036" s="5" t="s">
        <v>2122</v>
      </c>
      <c r="G1036" s="5" t="s">
        <v>2123</v>
      </c>
      <c r="J1036" s="5" t="s">
        <v>3134</v>
      </c>
      <c r="K1036" s="5" t="s">
        <v>3135</v>
      </c>
    </row>
    <row r="1037" spans="2:11">
      <c r="B1037" s="5"/>
      <c r="F1037" s="5" t="s">
        <v>2124</v>
      </c>
      <c r="G1037" s="5" t="s">
        <v>2125</v>
      </c>
      <c r="J1037" s="5" t="s">
        <v>3136</v>
      </c>
      <c r="K1037" s="5" t="s">
        <v>3137</v>
      </c>
    </row>
    <row r="1038" spans="2:11">
      <c r="B1038" s="5"/>
      <c r="F1038" s="5" t="s">
        <v>2126</v>
      </c>
      <c r="G1038" s="5" t="s">
        <v>2127</v>
      </c>
      <c r="J1038" s="5" t="s">
        <v>3138</v>
      </c>
      <c r="K1038" s="5" t="s">
        <v>3139</v>
      </c>
    </row>
    <row r="1039" spans="2:11">
      <c r="B1039" s="5"/>
      <c r="F1039" s="5" t="s">
        <v>2128</v>
      </c>
      <c r="G1039" s="5" t="s">
        <v>2129</v>
      </c>
      <c r="J1039" s="5" t="s">
        <v>3140</v>
      </c>
      <c r="K1039" s="5" t="s">
        <v>3141</v>
      </c>
    </row>
    <row r="1040" spans="2:11">
      <c r="B1040" s="5"/>
      <c r="F1040" s="5" t="s">
        <v>2130</v>
      </c>
      <c r="G1040" s="5" t="s">
        <v>2131</v>
      </c>
      <c r="J1040" s="5" t="s">
        <v>3142</v>
      </c>
      <c r="K1040" s="5" t="s">
        <v>3143</v>
      </c>
    </row>
    <row r="1041" spans="2:11">
      <c r="B1041" s="5"/>
      <c r="F1041" s="5" t="s">
        <v>2132</v>
      </c>
      <c r="G1041" s="5" t="s">
        <v>2133</v>
      </c>
      <c r="J1041" s="5" t="s">
        <v>3144</v>
      </c>
      <c r="K1041" s="5" t="s">
        <v>3145</v>
      </c>
    </row>
    <row r="1042" spans="2:11">
      <c r="B1042" s="5"/>
      <c r="F1042" s="5" t="s">
        <v>2134</v>
      </c>
      <c r="G1042" s="5" t="s">
        <v>2135</v>
      </c>
      <c r="J1042" s="5" t="s">
        <v>3146</v>
      </c>
      <c r="K1042" s="5" t="s">
        <v>3147</v>
      </c>
    </row>
    <row r="1043" spans="2:11">
      <c r="B1043" s="5"/>
      <c r="F1043" s="5" t="s">
        <v>2136</v>
      </c>
      <c r="G1043" s="5" t="s">
        <v>2137</v>
      </c>
      <c r="J1043" s="5" t="s">
        <v>3148</v>
      </c>
      <c r="K1043" s="5" t="s">
        <v>3149</v>
      </c>
    </row>
    <row r="1044" spans="2:11">
      <c r="B1044" s="5"/>
      <c r="F1044" s="5" t="s">
        <v>2138</v>
      </c>
      <c r="G1044" s="5" t="s">
        <v>2139</v>
      </c>
      <c r="J1044" s="5" t="s">
        <v>3150</v>
      </c>
      <c r="K1044" s="5" t="s">
        <v>3151</v>
      </c>
    </row>
    <row r="1045" spans="2:11">
      <c r="B1045" s="5"/>
      <c r="F1045" s="5" t="s">
        <v>2140</v>
      </c>
      <c r="G1045" s="5" t="s">
        <v>2141</v>
      </c>
      <c r="J1045" s="5" t="s">
        <v>3152</v>
      </c>
      <c r="K1045" s="5" t="s">
        <v>3153</v>
      </c>
    </row>
    <row r="1046" spans="2:11">
      <c r="B1046" s="5"/>
      <c r="F1046" s="5" t="s">
        <v>2142</v>
      </c>
      <c r="G1046" s="5" t="s">
        <v>2143</v>
      </c>
      <c r="J1046" s="5" t="s">
        <v>3154</v>
      </c>
      <c r="K1046" s="5" t="s">
        <v>3155</v>
      </c>
    </row>
    <row r="1047" spans="2:11">
      <c r="B1047" s="5"/>
      <c r="F1047" s="5" t="s">
        <v>2144</v>
      </c>
      <c r="G1047" s="5" t="s">
        <v>2145</v>
      </c>
      <c r="J1047" s="5" t="s">
        <v>3156</v>
      </c>
      <c r="K1047" s="5" t="s">
        <v>3157</v>
      </c>
    </row>
    <row r="1048" spans="2:11">
      <c r="B1048" s="5"/>
      <c r="F1048" s="5" t="s">
        <v>2146</v>
      </c>
      <c r="G1048" s="5" t="s">
        <v>2147</v>
      </c>
      <c r="J1048" s="5" t="s">
        <v>3158</v>
      </c>
      <c r="K1048" s="5" t="s">
        <v>3159</v>
      </c>
    </row>
    <row r="1049" spans="2:11">
      <c r="B1049" s="5"/>
      <c r="F1049" s="5" t="s">
        <v>2148</v>
      </c>
      <c r="G1049" s="5" t="s">
        <v>2149</v>
      </c>
      <c r="J1049" s="5" t="s">
        <v>3160</v>
      </c>
      <c r="K1049" s="5" t="s">
        <v>3161</v>
      </c>
    </row>
    <row r="1050" spans="2:11">
      <c r="B1050" s="5"/>
      <c r="F1050" s="5" t="s">
        <v>2150</v>
      </c>
      <c r="G1050" s="5" t="s">
        <v>2151</v>
      </c>
      <c r="J1050" s="5" t="s">
        <v>3162</v>
      </c>
      <c r="K1050" s="5" t="s">
        <v>3163</v>
      </c>
    </row>
    <row r="1051" spans="2:11">
      <c r="B1051" s="5"/>
      <c r="F1051" s="5" t="s">
        <v>2152</v>
      </c>
      <c r="G1051" s="5" t="s">
        <v>2153</v>
      </c>
      <c r="J1051" s="5" t="s">
        <v>3164</v>
      </c>
      <c r="K1051" s="5" t="s">
        <v>3165</v>
      </c>
    </row>
    <row r="1052" spans="2:11">
      <c r="B1052" s="5"/>
      <c r="F1052" s="5" t="s">
        <v>2154</v>
      </c>
      <c r="G1052" s="5" t="s">
        <v>2155</v>
      </c>
      <c r="J1052" s="5" t="s">
        <v>3166</v>
      </c>
      <c r="K1052" s="5" t="s">
        <v>3167</v>
      </c>
    </row>
    <row r="1053" spans="2:11">
      <c r="B1053" s="5"/>
      <c r="F1053" s="5" t="s">
        <v>2156</v>
      </c>
      <c r="G1053" s="5" t="s">
        <v>2157</v>
      </c>
      <c r="J1053" s="5" t="s">
        <v>3168</v>
      </c>
      <c r="K1053" s="5" t="s">
        <v>3169</v>
      </c>
    </row>
    <row r="1054" spans="2:11">
      <c r="B1054" s="5"/>
      <c r="F1054" s="5" t="s">
        <v>2158</v>
      </c>
      <c r="G1054" s="5" t="s">
        <v>2159</v>
      </c>
      <c r="J1054" s="5" t="s">
        <v>3170</v>
      </c>
      <c r="K1054" s="5" t="s">
        <v>3171</v>
      </c>
    </row>
    <row r="1055" spans="2:11">
      <c r="B1055" s="5"/>
      <c r="F1055" s="5" t="s">
        <v>2160</v>
      </c>
      <c r="G1055" s="5" t="s">
        <v>2161</v>
      </c>
      <c r="J1055" s="5" t="s">
        <v>3172</v>
      </c>
      <c r="K1055" s="5" t="s">
        <v>3173</v>
      </c>
    </row>
    <row r="1056" spans="2:11">
      <c r="B1056" s="5"/>
      <c r="F1056" s="5" t="s">
        <v>2162</v>
      </c>
      <c r="G1056" s="5" t="s">
        <v>2163</v>
      </c>
      <c r="J1056" s="5" t="s">
        <v>3174</v>
      </c>
      <c r="K1056" s="5" t="s">
        <v>3175</v>
      </c>
    </row>
    <row r="1057" spans="2:11">
      <c r="B1057" s="5"/>
      <c r="F1057" s="5" t="s">
        <v>2164</v>
      </c>
      <c r="G1057" s="5" t="s">
        <v>2165</v>
      </c>
      <c r="J1057" s="5" t="s">
        <v>3176</v>
      </c>
      <c r="K1057" s="5" t="s">
        <v>3177</v>
      </c>
    </row>
    <row r="1058" spans="2:11">
      <c r="B1058" s="5"/>
      <c r="F1058" s="5" t="s">
        <v>2166</v>
      </c>
      <c r="G1058" s="5" t="s">
        <v>2167</v>
      </c>
      <c r="J1058" s="5" t="s">
        <v>3178</v>
      </c>
      <c r="K1058" s="5" t="s">
        <v>3179</v>
      </c>
    </row>
    <row r="1059" spans="2:11">
      <c r="B1059" s="5"/>
      <c r="F1059" s="5" t="s">
        <v>2168</v>
      </c>
      <c r="G1059" s="5" t="s">
        <v>2169</v>
      </c>
      <c r="J1059" s="5" t="s">
        <v>3180</v>
      </c>
      <c r="K1059" s="5" t="s">
        <v>3181</v>
      </c>
    </row>
    <row r="1060" spans="2:11">
      <c r="B1060" s="5"/>
      <c r="F1060" s="5" t="s">
        <v>2170</v>
      </c>
      <c r="G1060" s="5" t="s">
        <v>2171</v>
      </c>
      <c r="J1060" s="5" t="s">
        <v>3182</v>
      </c>
      <c r="K1060" s="5" t="s">
        <v>3183</v>
      </c>
    </row>
    <row r="1061" spans="2:11">
      <c r="B1061" s="5"/>
      <c r="F1061" s="5" t="s">
        <v>2172</v>
      </c>
      <c r="G1061" s="5" t="s">
        <v>2173</v>
      </c>
      <c r="J1061" s="5" t="s">
        <v>3184</v>
      </c>
      <c r="K1061" s="5" t="s">
        <v>3185</v>
      </c>
    </row>
    <row r="1062" spans="2:11">
      <c r="B1062" s="5"/>
      <c r="F1062" s="5" t="s">
        <v>2174</v>
      </c>
      <c r="G1062" s="5" t="s">
        <v>2175</v>
      </c>
      <c r="J1062" s="5" t="s">
        <v>3186</v>
      </c>
      <c r="K1062" s="5" t="s">
        <v>3187</v>
      </c>
    </row>
    <row r="1063" spans="2:11">
      <c r="B1063" s="5"/>
      <c r="F1063" s="5" t="s">
        <v>2176</v>
      </c>
      <c r="G1063" s="5" t="s">
        <v>2177</v>
      </c>
      <c r="J1063" s="5" t="s">
        <v>3188</v>
      </c>
      <c r="K1063" s="5" t="s">
        <v>3189</v>
      </c>
    </row>
    <row r="1064" spans="2:11">
      <c r="B1064" s="5"/>
      <c r="F1064" s="5" t="s">
        <v>2178</v>
      </c>
      <c r="G1064" s="5" t="s">
        <v>2179</v>
      </c>
      <c r="J1064" s="5" t="s">
        <v>3190</v>
      </c>
      <c r="K1064" s="5" t="s">
        <v>3191</v>
      </c>
    </row>
    <row r="1065" spans="2:11">
      <c r="B1065" s="5"/>
      <c r="F1065" s="5" t="s">
        <v>2180</v>
      </c>
      <c r="G1065" s="5" t="s">
        <v>2181</v>
      </c>
      <c r="J1065" s="5" t="s">
        <v>3192</v>
      </c>
      <c r="K1065" s="5" t="s">
        <v>3193</v>
      </c>
    </row>
    <row r="1066" spans="2:11">
      <c r="B1066" s="5"/>
      <c r="F1066" s="5" t="s">
        <v>2182</v>
      </c>
      <c r="G1066" s="5" t="s">
        <v>2183</v>
      </c>
      <c r="J1066" s="5" t="s">
        <v>3194</v>
      </c>
      <c r="K1066" s="5" t="s">
        <v>3195</v>
      </c>
    </row>
    <row r="1067" spans="2:11">
      <c r="B1067" s="5"/>
      <c r="F1067" s="5" t="s">
        <v>2184</v>
      </c>
      <c r="G1067" s="5" t="s">
        <v>2185</v>
      </c>
      <c r="J1067" s="5" t="s">
        <v>3196</v>
      </c>
      <c r="K1067" s="5" t="s">
        <v>3197</v>
      </c>
    </row>
    <row r="1068" spans="2:11">
      <c r="B1068" s="5"/>
      <c r="F1068" s="5" t="s">
        <v>2186</v>
      </c>
      <c r="G1068" s="5" t="s">
        <v>2187</v>
      </c>
      <c r="J1068" s="5" t="s">
        <v>3198</v>
      </c>
      <c r="K1068" s="5" t="s">
        <v>3199</v>
      </c>
    </row>
    <row r="1069" spans="2:11">
      <c r="B1069" s="5"/>
      <c r="F1069" s="5" t="s">
        <v>2188</v>
      </c>
      <c r="G1069" s="5" t="s">
        <v>2189</v>
      </c>
      <c r="J1069" s="5" t="s">
        <v>3200</v>
      </c>
      <c r="K1069" s="5" t="s">
        <v>3201</v>
      </c>
    </row>
    <row r="1070" spans="2:11">
      <c r="B1070" s="5"/>
      <c r="F1070" s="5" t="s">
        <v>2190</v>
      </c>
      <c r="G1070" s="5" t="s">
        <v>2191</v>
      </c>
      <c r="J1070" s="5" t="s">
        <v>3202</v>
      </c>
      <c r="K1070" s="5" t="s">
        <v>3203</v>
      </c>
    </row>
    <row r="1071" spans="2:11">
      <c r="B1071" s="5"/>
      <c r="F1071" s="5" t="s">
        <v>2192</v>
      </c>
      <c r="G1071" s="5" t="s">
        <v>2193</v>
      </c>
      <c r="J1071" s="5" t="s">
        <v>3204</v>
      </c>
      <c r="K1071" s="5" t="s">
        <v>3205</v>
      </c>
    </row>
    <row r="1072" spans="2:11">
      <c r="B1072" s="5"/>
      <c r="F1072" s="5" t="s">
        <v>2194</v>
      </c>
      <c r="G1072" s="5" t="s">
        <v>2195</v>
      </c>
      <c r="J1072" s="5" t="s">
        <v>3206</v>
      </c>
      <c r="K1072" s="5" t="s">
        <v>3207</v>
      </c>
    </row>
    <row r="1073" spans="2:11">
      <c r="B1073" s="5"/>
      <c r="F1073" s="5" t="s">
        <v>2196</v>
      </c>
      <c r="G1073" s="5" t="s">
        <v>2197</v>
      </c>
      <c r="J1073" s="5" t="s">
        <v>3208</v>
      </c>
      <c r="K1073" s="5" t="s">
        <v>3209</v>
      </c>
    </row>
    <row r="1074" spans="2:11">
      <c r="B1074" s="5"/>
      <c r="F1074" s="5" t="s">
        <v>2198</v>
      </c>
      <c r="G1074" s="5" t="s">
        <v>2199</v>
      </c>
      <c r="J1074" s="5" t="s">
        <v>3210</v>
      </c>
      <c r="K1074" s="5" t="s">
        <v>3211</v>
      </c>
    </row>
    <row r="1075" spans="2:11">
      <c r="B1075" s="5"/>
      <c r="F1075" s="5" t="s">
        <v>2200</v>
      </c>
      <c r="G1075" s="5" t="s">
        <v>2201</v>
      </c>
      <c r="J1075" s="5" t="s">
        <v>3212</v>
      </c>
      <c r="K1075" s="5" t="s">
        <v>3213</v>
      </c>
    </row>
    <row r="1076" spans="2:11">
      <c r="B1076" s="5"/>
      <c r="F1076" s="5" t="s">
        <v>2202</v>
      </c>
      <c r="G1076" s="5" t="s">
        <v>2203</v>
      </c>
      <c r="J1076" s="5" t="s">
        <v>3214</v>
      </c>
      <c r="K1076" s="5" t="s">
        <v>3215</v>
      </c>
    </row>
    <row r="1077" spans="2:11">
      <c r="B1077" s="5"/>
      <c r="F1077" s="5" t="s">
        <v>2204</v>
      </c>
      <c r="G1077" s="5" t="s">
        <v>2205</v>
      </c>
      <c r="J1077" s="5" t="s">
        <v>3216</v>
      </c>
      <c r="K1077" s="5" t="s">
        <v>3217</v>
      </c>
    </row>
    <row r="1078" spans="2:11">
      <c r="B1078" s="5"/>
      <c r="F1078" s="5" t="s">
        <v>2206</v>
      </c>
      <c r="G1078" s="5" t="s">
        <v>2207</v>
      </c>
      <c r="J1078" s="5" t="s">
        <v>3218</v>
      </c>
      <c r="K1078" s="5" t="s">
        <v>3219</v>
      </c>
    </row>
    <row r="1079" spans="2:11">
      <c r="B1079" s="5"/>
      <c r="F1079" s="5" t="s">
        <v>2208</v>
      </c>
      <c r="G1079" s="5" t="s">
        <v>2209</v>
      </c>
      <c r="J1079" s="5" t="s">
        <v>3220</v>
      </c>
      <c r="K1079" s="5" t="s">
        <v>3221</v>
      </c>
    </row>
    <row r="1080" spans="2:11">
      <c r="B1080" s="5"/>
      <c r="F1080" s="5" t="s">
        <v>2210</v>
      </c>
      <c r="G1080" s="5" t="s">
        <v>2211</v>
      </c>
      <c r="J1080" s="5" t="s">
        <v>3222</v>
      </c>
      <c r="K1080" s="5" t="s">
        <v>3223</v>
      </c>
    </row>
    <row r="1081" spans="2:11">
      <c r="B1081" s="5"/>
      <c r="F1081" s="5" t="s">
        <v>2212</v>
      </c>
      <c r="G1081" s="5" t="s">
        <v>2213</v>
      </c>
      <c r="J1081" s="5" t="s">
        <v>3224</v>
      </c>
      <c r="K1081" s="5" t="s">
        <v>3225</v>
      </c>
    </row>
    <row r="1082" spans="2:11">
      <c r="B1082" s="5"/>
      <c r="F1082" s="5" t="s">
        <v>2214</v>
      </c>
      <c r="G1082" s="5" t="s">
        <v>2215</v>
      </c>
      <c r="J1082" s="5" t="s">
        <v>3226</v>
      </c>
      <c r="K1082" s="5" t="s">
        <v>3227</v>
      </c>
    </row>
    <row r="1083" spans="2:11">
      <c r="B1083" s="5"/>
      <c r="F1083" s="5" t="s">
        <v>2216</v>
      </c>
      <c r="G1083" s="5" t="s">
        <v>2217</v>
      </c>
      <c r="J1083" s="5" t="s">
        <v>3228</v>
      </c>
      <c r="K1083" s="5" t="s">
        <v>3229</v>
      </c>
    </row>
    <row r="1084" spans="2:11">
      <c r="B1084" s="5"/>
      <c r="F1084" s="5" t="s">
        <v>2218</v>
      </c>
      <c r="G1084" s="5" t="s">
        <v>2219</v>
      </c>
      <c r="J1084" s="5" t="s">
        <v>3230</v>
      </c>
      <c r="K1084" s="5" t="s">
        <v>3231</v>
      </c>
    </row>
    <row r="1085" spans="2:11">
      <c r="B1085" s="5"/>
      <c r="F1085" s="5" t="s">
        <v>2220</v>
      </c>
      <c r="G1085" s="5" t="s">
        <v>2221</v>
      </c>
      <c r="J1085" s="5" t="s">
        <v>3232</v>
      </c>
      <c r="K1085" s="5" t="s">
        <v>3233</v>
      </c>
    </row>
    <row r="1086" spans="2:11">
      <c r="B1086" s="5"/>
      <c r="F1086" s="5" t="s">
        <v>2222</v>
      </c>
      <c r="G1086" s="5" t="s">
        <v>2223</v>
      </c>
      <c r="J1086" s="5" t="s">
        <v>3234</v>
      </c>
      <c r="K1086" s="5" t="s">
        <v>3235</v>
      </c>
    </row>
    <row r="1087" spans="2:11">
      <c r="B1087" s="5"/>
      <c r="F1087" s="5" t="s">
        <v>2224</v>
      </c>
      <c r="G1087" s="5" t="s">
        <v>2225</v>
      </c>
      <c r="J1087" s="5" t="s">
        <v>3236</v>
      </c>
      <c r="K1087" s="5" t="s">
        <v>3237</v>
      </c>
    </row>
    <row r="1088" spans="2:11">
      <c r="B1088" s="5"/>
      <c r="F1088" s="5" t="s">
        <v>2226</v>
      </c>
      <c r="G1088" s="5" t="s">
        <v>2227</v>
      </c>
      <c r="J1088" s="5" t="s">
        <v>3238</v>
      </c>
      <c r="K1088" s="5" t="s">
        <v>3239</v>
      </c>
    </row>
    <row r="1089" spans="2:11">
      <c r="B1089" s="5"/>
      <c r="F1089" s="5" t="s">
        <v>2228</v>
      </c>
      <c r="G1089" s="5" t="s">
        <v>2229</v>
      </c>
      <c r="J1089" s="5" t="s">
        <v>3240</v>
      </c>
      <c r="K1089" s="5" t="s">
        <v>3241</v>
      </c>
    </row>
    <row r="1090" spans="2:11">
      <c r="B1090" s="5"/>
      <c r="F1090" s="5" t="s">
        <v>2230</v>
      </c>
      <c r="G1090" s="5" t="s">
        <v>2231</v>
      </c>
      <c r="J1090" s="5" t="s">
        <v>3242</v>
      </c>
      <c r="K1090" s="5" t="s">
        <v>3243</v>
      </c>
    </row>
    <row r="1091" spans="2:11">
      <c r="B1091" s="5"/>
      <c r="F1091" s="5" t="s">
        <v>2232</v>
      </c>
      <c r="G1091" s="5" t="s">
        <v>2233</v>
      </c>
      <c r="J1091" s="5" t="s">
        <v>3244</v>
      </c>
      <c r="K1091" s="5" t="s">
        <v>3245</v>
      </c>
    </row>
    <row r="1092" spans="2:11">
      <c r="B1092" s="5"/>
      <c r="F1092" s="5" t="s">
        <v>2234</v>
      </c>
      <c r="G1092" s="5" t="s">
        <v>2235</v>
      </c>
      <c r="J1092" s="5" t="s">
        <v>3246</v>
      </c>
      <c r="K1092" s="5" t="s">
        <v>3247</v>
      </c>
    </row>
    <row r="1093" spans="2:11">
      <c r="B1093" s="5"/>
      <c r="F1093" s="5" t="s">
        <v>2236</v>
      </c>
      <c r="G1093" s="5" t="s">
        <v>2237</v>
      </c>
      <c r="J1093" s="5" t="s">
        <v>3248</v>
      </c>
      <c r="K1093" s="5" t="s">
        <v>3249</v>
      </c>
    </row>
    <row r="1094" spans="2:11">
      <c r="B1094" s="5"/>
      <c r="F1094" s="5" t="s">
        <v>2238</v>
      </c>
      <c r="G1094" s="5" t="s">
        <v>2239</v>
      </c>
      <c r="J1094" s="5" t="s">
        <v>3250</v>
      </c>
      <c r="K1094" s="5" t="s">
        <v>3251</v>
      </c>
    </row>
    <row r="1095" spans="2:11">
      <c r="B1095" s="5"/>
      <c r="F1095" s="5" t="s">
        <v>2240</v>
      </c>
      <c r="G1095" s="5" t="s">
        <v>2241</v>
      </c>
      <c r="J1095" s="5" t="s">
        <v>3252</v>
      </c>
      <c r="K1095" s="5" t="s">
        <v>3253</v>
      </c>
    </row>
    <row r="1096" spans="2:11">
      <c r="B1096" s="5"/>
      <c r="F1096" s="5" t="s">
        <v>2242</v>
      </c>
      <c r="G1096" s="5" t="s">
        <v>2243</v>
      </c>
      <c r="J1096" s="5" t="s">
        <v>3254</v>
      </c>
      <c r="K1096" s="5" t="s">
        <v>3255</v>
      </c>
    </row>
    <row r="1097" spans="2:11">
      <c r="B1097" s="5"/>
      <c r="F1097" s="5" t="s">
        <v>2244</v>
      </c>
      <c r="G1097" s="5" t="s">
        <v>2245</v>
      </c>
      <c r="J1097" s="5" t="s">
        <v>3256</v>
      </c>
      <c r="K1097" s="5" t="s">
        <v>3257</v>
      </c>
    </row>
    <row r="1098" spans="2:11">
      <c r="B1098" s="5"/>
      <c r="F1098" s="5" t="s">
        <v>2246</v>
      </c>
      <c r="G1098" s="5" t="s">
        <v>2247</v>
      </c>
      <c r="J1098" s="5" t="s">
        <v>3258</v>
      </c>
      <c r="K1098" s="5" t="s">
        <v>3259</v>
      </c>
    </row>
    <row r="1099" spans="2:11">
      <c r="B1099" s="5"/>
      <c r="F1099" s="5" t="s">
        <v>2248</v>
      </c>
      <c r="G1099" s="5" t="s">
        <v>2249</v>
      </c>
      <c r="J1099" s="5" t="s">
        <v>3260</v>
      </c>
      <c r="K1099" s="5" t="s">
        <v>3261</v>
      </c>
    </row>
    <row r="1100" spans="2:11">
      <c r="B1100" s="5"/>
      <c r="F1100" s="5" t="s">
        <v>2250</v>
      </c>
      <c r="G1100" s="5" t="s">
        <v>2251</v>
      </c>
      <c r="J1100" s="5" t="s">
        <v>3262</v>
      </c>
      <c r="K1100" s="5" t="s">
        <v>3263</v>
      </c>
    </row>
    <row r="1101" spans="2:11">
      <c r="B1101" s="5"/>
      <c r="F1101" s="5" t="s">
        <v>2252</v>
      </c>
      <c r="G1101" s="5" t="s">
        <v>2253</v>
      </c>
      <c r="J1101" s="5" t="s">
        <v>3264</v>
      </c>
      <c r="K1101" s="5" t="s">
        <v>3265</v>
      </c>
    </row>
    <row r="1102" spans="2:11">
      <c r="B1102" s="5"/>
      <c r="F1102" s="5" t="s">
        <v>2254</v>
      </c>
      <c r="G1102" s="5" t="s">
        <v>2255</v>
      </c>
      <c r="J1102" s="5" t="s">
        <v>3266</v>
      </c>
      <c r="K1102" s="5" t="s">
        <v>3267</v>
      </c>
    </row>
    <row r="1103" spans="2:11">
      <c r="B1103" s="5"/>
      <c r="F1103" s="5" t="s">
        <v>2256</v>
      </c>
      <c r="G1103" s="5" t="s">
        <v>2257</v>
      </c>
      <c r="J1103" s="5" t="s">
        <v>3268</v>
      </c>
      <c r="K1103" s="5" t="s">
        <v>3269</v>
      </c>
    </row>
    <row r="1104" spans="2:11">
      <c r="B1104" s="5"/>
      <c r="F1104" s="5" t="s">
        <v>2258</v>
      </c>
      <c r="G1104" s="5" t="s">
        <v>2259</v>
      </c>
      <c r="J1104" s="5" t="s">
        <v>3270</v>
      </c>
      <c r="K1104" s="5" t="s">
        <v>3271</v>
      </c>
    </row>
    <row r="1105" spans="2:11">
      <c r="B1105" s="5"/>
      <c r="F1105" s="5" t="s">
        <v>2260</v>
      </c>
      <c r="G1105" s="5" t="s">
        <v>2261</v>
      </c>
      <c r="J1105" s="5" t="s">
        <v>3272</v>
      </c>
      <c r="K1105" s="5" t="s">
        <v>3273</v>
      </c>
    </row>
    <row r="1106" spans="2:11">
      <c r="B1106" s="5"/>
      <c r="F1106" s="5" t="s">
        <v>2262</v>
      </c>
      <c r="G1106" s="5" t="s">
        <v>2263</v>
      </c>
      <c r="J1106" s="5" t="s">
        <v>3274</v>
      </c>
      <c r="K1106" s="5" t="s">
        <v>3275</v>
      </c>
    </row>
    <row r="1107" spans="2:11">
      <c r="B1107" s="5"/>
      <c r="F1107" s="5" t="s">
        <v>2264</v>
      </c>
      <c r="G1107" s="5" t="s">
        <v>2265</v>
      </c>
      <c r="J1107" s="5" t="s">
        <v>3276</v>
      </c>
      <c r="K1107" s="5" t="s">
        <v>3277</v>
      </c>
    </row>
    <row r="1108" spans="2:11">
      <c r="B1108" s="5"/>
      <c r="F1108" s="5" t="s">
        <v>2266</v>
      </c>
      <c r="G1108" s="5" t="s">
        <v>2267</v>
      </c>
      <c r="J1108" s="5" t="s">
        <v>3278</v>
      </c>
      <c r="K1108" s="5" t="s">
        <v>3279</v>
      </c>
    </row>
    <row r="1109" spans="2:11">
      <c r="B1109" s="5"/>
      <c r="F1109" s="5" t="s">
        <v>2268</v>
      </c>
      <c r="G1109" s="5" t="s">
        <v>2269</v>
      </c>
      <c r="J1109" s="5" t="s">
        <v>3280</v>
      </c>
      <c r="K1109" s="5" t="s">
        <v>3281</v>
      </c>
    </row>
    <row r="1110" spans="2:11">
      <c r="B1110" s="5"/>
      <c r="F1110" s="5" t="s">
        <v>2270</v>
      </c>
      <c r="G1110" s="5" t="s">
        <v>2271</v>
      </c>
      <c r="J1110" s="5" t="s">
        <v>3282</v>
      </c>
      <c r="K1110" s="5" t="s">
        <v>3283</v>
      </c>
    </row>
    <row r="1111" spans="2:11">
      <c r="B1111" s="5"/>
      <c r="F1111" s="5" t="s">
        <v>2272</v>
      </c>
      <c r="G1111" s="5" t="s">
        <v>2273</v>
      </c>
      <c r="J1111" s="5" t="s">
        <v>3284</v>
      </c>
      <c r="K1111" s="5" t="s">
        <v>3285</v>
      </c>
    </row>
    <row r="1112" spans="2:11">
      <c r="B1112" s="5"/>
      <c r="F1112" s="5" t="s">
        <v>2274</v>
      </c>
      <c r="G1112" s="5" t="s">
        <v>2275</v>
      </c>
      <c r="J1112" s="5" t="s">
        <v>3286</v>
      </c>
      <c r="K1112" s="5" t="s">
        <v>3287</v>
      </c>
    </row>
    <row r="1113" spans="2:11">
      <c r="B1113" s="5"/>
      <c r="F1113" s="5" t="s">
        <v>2276</v>
      </c>
      <c r="G1113" s="5" t="s">
        <v>2277</v>
      </c>
      <c r="J1113" s="5" t="s">
        <v>3288</v>
      </c>
      <c r="K1113" s="5" t="s">
        <v>3289</v>
      </c>
    </row>
    <row r="1114" spans="2:11">
      <c r="B1114" s="5"/>
      <c r="F1114" s="5" t="s">
        <v>2278</v>
      </c>
      <c r="G1114" s="5" t="s">
        <v>2279</v>
      </c>
      <c r="J1114" s="5" t="s">
        <v>3290</v>
      </c>
      <c r="K1114" s="5" t="s">
        <v>3291</v>
      </c>
    </row>
    <row r="1115" spans="2:11">
      <c r="B1115" s="5"/>
      <c r="F1115" s="5" t="s">
        <v>2280</v>
      </c>
      <c r="G1115" s="5" t="s">
        <v>2281</v>
      </c>
      <c r="J1115" s="5" t="s">
        <v>3292</v>
      </c>
      <c r="K1115" s="5" t="s">
        <v>3293</v>
      </c>
    </row>
    <row r="1116" spans="2:11">
      <c r="B1116" s="5"/>
      <c r="F1116" s="5" t="s">
        <v>2282</v>
      </c>
      <c r="G1116" s="5" t="s">
        <v>2283</v>
      </c>
      <c r="J1116" s="5" t="s">
        <v>3294</v>
      </c>
      <c r="K1116" s="5" t="s">
        <v>3295</v>
      </c>
    </row>
    <row r="1117" spans="2:11">
      <c r="B1117" s="5"/>
      <c r="F1117" s="5" t="s">
        <v>2284</v>
      </c>
      <c r="G1117" s="5" t="s">
        <v>2285</v>
      </c>
      <c r="J1117" s="5" t="s">
        <v>3296</v>
      </c>
      <c r="K1117" s="5" t="s">
        <v>3297</v>
      </c>
    </row>
    <row r="1118" spans="2:11">
      <c r="B1118" s="5"/>
      <c r="F1118" s="5" t="s">
        <v>2286</v>
      </c>
      <c r="G1118" s="5" t="s">
        <v>2287</v>
      </c>
      <c r="J1118" s="5" t="s">
        <v>3298</v>
      </c>
      <c r="K1118" s="5" t="s">
        <v>3299</v>
      </c>
    </row>
    <row r="1119" spans="2:11">
      <c r="B1119" s="5"/>
      <c r="F1119" s="5" t="s">
        <v>2288</v>
      </c>
      <c r="G1119" s="5" t="s">
        <v>2289</v>
      </c>
      <c r="J1119" s="5" t="s">
        <v>3300</v>
      </c>
      <c r="K1119" s="5" t="s">
        <v>3301</v>
      </c>
    </row>
    <row r="1120" spans="2:11">
      <c r="B1120" s="5"/>
      <c r="F1120" s="5" t="s">
        <v>2290</v>
      </c>
      <c r="G1120" s="5" t="s">
        <v>2291</v>
      </c>
      <c r="J1120" s="5" t="s">
        <v>3302</v>
      </c>
      <c r="K1120" s="5" t="s">
        <v>3303</v>
      </c>
    </row>
    <row r="1121" spans="2:11">
      <c r="B1121" s="5"/>
      <c r="F1121" s="5" t="s">
        <v>2292</v>
      </c>
      <c r="G1121" s="5" t="s">
        <v>2293</v>
      </c>
      <c r="J1121" s="5" t="s">
        <v>3304</v>
      </c>
      <c r="K1121" s="5" t="s">
        <v>3305</v>
      </c>
    </row>
    <row r="1122" spans="2:11">
      <c r="B1122" s="5"/>
      <c r="F1122" s="5" t="s">
        <v>2294</v>
      </c>
      <c r="G1122" s="5" t="s">
        <v>2295</v>
      </c>
      <c r="J1122" s="5" t="s">
        <v>3306</v>
      </c>
      <c r="K1122" s="5" t="s">
        <v>3307</v>
      </c>
    </row>
    <row r="1123" spans="2:11">
      <c r="B1123" s="5"/>
      <c r="F1123" s="5" t="s">
        <v>2296</v>
      </c>
      <c r="G1123" s="5" t="s">
        <v>2297</v>
      </c>
      <c r="J1123" s="5" t="s">
        <v>3308</v>
      </c>
      <c r="K1123" s="5" t="s">
        <v>3309</v>
      </c>
    </row>
    <row r="1124" spans="2:11">
      <c r="B1124" s="5"/>
      <c r="F1124" s="5" t="s">
        <v>2298</v>
      </c>
      <c r="G1124" s="5" t="s">
        <v>2299</v>
      </c>
      <c r="J1124" s="5" t="s">
        <v>3310</v>
      </c>
      <c r="K1124" s="5" t="s">
        <v>3311</v>
      </c>
    </row>
    <row r="1125" spans="2:11">
      <c r="B1125" s="5"/>
      <c r="F1125" s="5" t="s">
        <v>2300</v>
      </c>
      <c r="G1125" s="5" t="s">
        <v>2301</v>
      </c>
      <c r="J1125" s="5" t="s">
        <v>3312</v>
      </c>
      <c r="K1125" s="5" t="s">
        <v>3313</v>
      </c>
    </row>
    <row r="1126" spans="2:11">
      <c r="B1126" s="5"/>
      <c r="F1126" s="5" t="s">
        <v>2302</v>
      </c>
      <c r="G1126" s="5" t="s">
        <v>2303</v>
      </c>
      <c r="J1126" s="5" t="s">
        <v>3314</v>
      </c>
      <c r="K1126" s="5" t="s">
        <v>3315</v>
      </c>
    </row>
    <row r="1127" spans="2:11">
      <c r="B1127" s="5"/>
      <c r="F1127" s="5" t="s">
        <v>2304</v>
      </c>
      <c r="G1127" s="5" t="s">
        <v>2305</v>
      </c>
      <c r="J1127" s="5" t="s">
        <v>3316</v>
      </c>
      <c r="K1127" s="5" t="s">
        <v>3317</v>
      </c>
    </row>
    <row r="1128" spans="2:11">
      <c r="B1128" s="5"/>
      <c r="F1128" s="5" t="s">
        <v>2306</v>
      </c>
      <c r="G1128" s="5" t="s">
        <v>2307</v>
      </c>
      <c r="J1128" s="5" t="s">
        <v>3318</v>
      </c>
      <c r="K1128" s="5" t="s">
        <v>3319</v>
      </c>
    </row>
    <row r="1129" spans="2:11">
      <c r="B1129" s="5"/>
      <c r="F1129" s="5" t="s">
        <v>2308</v>
      </c>
      <c r="G1129" s="5" t="s">
        <v>2309</v>
      </c>
      <c r="J1129" s="5" t="s">
        <v>3320</v>
      </c>
      <c r="K1129" s="5" t="s">
        <v>3321</v>
      </c>
    </row>
    <row r="1130" spans="2:11">
      <c r="B1130" s="5"/>
      <c r="F1130" s="5" t="s">
        <v>2310</v>
      </c>
      <c r="G1130" s="5" t="s">
        <v>2311</v>
      </c>
      <c r="J1130" s="5" t="s">
        <v>3322</v>
      </c>
      <c r="K1130" s="5" t="s">
        <v>3323</v>
      </c>
    </row>
    <row r="1131" spans="2:11">
      <c r="B1131" s="5"/>
      <c r="F1131" s="5" t="s">
        <v>2312</v>
      </c>
      <c r="G1131" s="5" t="s">
        <v>2313</v>
      </c>
      <c r="J1131" s="5" t="s">
        <v>3324</v>
      </c>
      <c r="K1131" s="5" t="s">
        <v>3325</v>
      </c>
    </row>
    <row r="1132" spans="2:11">
      <c r="B1132" s="5"/>
      <c r="F1132" s="5" t="s">
        <v>2314</v>
      </c>
      <c r="G1132" s="5" t="s">
        <v>2315</v>
      </c>
      <c r="J1132" s="5" t="s">
        <v>3326</v>
      </c>
      <c r="K1132" s="5" t="s">
        <v>3327</v>
      </c>
    </row>
    <row r="1133" spans="2:11">
      <c r="B1133" s="5"/>
      <c r="F1133" s="5" t="s">
        <v>2316</v>
      </c>
      <c r="G1133" s="5" t="s">
        <v>2317</v>
      </c>
      <c r="J1133" s="5" t="s">
        <v>3328</v>
      </c>
      <c r="K1133" s="5" t="s">
        <v>3329</v>
      </c>
    </row>
    <row r="1134" spans="2:11">
      <c r="B1134" s="5"/>
      <c r="F1134" s="5" t="s">
        <v>2318</v>
      </c>
      <c r="G1134" s="5" t="s">
        <v>2319</v>
      </c>
      <c r="J1134" s="5" t="s">
        <v>3330</v>
      </c>
      <c r="K1134" s="5" t="s">
        <v>3331</v>
      </c>
    </row>
    <row r="1135" spans="2:11">
      <c r="B1135" s="5"/>
      <c r="F1135" s="5" t="s">
        <v>2320</v>
      </c>
      <c r="G1135" s="5" t="s">
        <v>2321</v>
      </c>
      <c r="J1135" s="5" t="s">
        <v>3332</v>
      </c>
      <c r="K1135" s="5" t="s">
        <v>3333</v>
      </c>
    </row>
    <row r="1136" spans="2:11">
      <c r="B1136" s="5"/>
      <c r="F1136" s="5" t="s">
        <v>2322</v>
      </c>
      <c r="G1136" s="5" t="s">
        <v>2323</v>
      </c>
      <c r="J1136" s="5" t="s">
        <v>3334</v>
      </c>
      <c r="K1136" s="5" t="s">
        <v>3335</v>
      </c>
    </row>
    <row r="1137" spans="2:11">
      <c r="B1137" s="5"/>
      <c r="F1137" s="5" t="s">
        <v>2324</v>
      </c>
      <c r="G1137" s="5" t="s">
        <v>2325</v>
      </c>
      <c r="J1137" s="5" t="s">
        <v>3336</v>
      </c>
      <c r="K1137" s="5" t="s">
        <v>3337</v>
      </c>
    </row>
    <row r="1138" spans="2:11">
      <c r="B1138" s="5"/>
      <c r="F1138" s="5" t="s">
        <v>2326</v>
      </c>
      <c r="G1138" s="5" t="s">
        <v>2327</v>
      </c>
      <c r="J1138" s="5" t="s">
        <v>3338</v>
      </c>
      <c r="K1138" s="5" t="s">
        <v>3339</v>
      </c>
    </row>
    <row r="1139" spans="2:11">
      <c r="B1139" s="5"/>
      <c r="F1139" s="5" t="s">
        <v>2328</v>
      </c>
      <c r="G1139" s="5" t="s">
        <v>2329</v>
      </c>
      <c r="J1139" s="5" t="s">
        <v>3340</v>
      </c>
      <c r="K1139" s="5" t="s">
        <v>3341</v>
      </c>
    </row>
    <row r="1140" spans="2:11">
      <c r="B1140" s="5"/>
      <c r="F1140" s="5" t="s">
        <v>2330</v>
      </c>
      <c r="G1140" s="5" t="s">
        <v>2331</v>
      </c>
      <c r="J1140" s="5" t="s">
        <v>3342</v>
      </c>
      <c r="K1140" s="5" t="s">
        <v>3343</v>
      </c>
    </row>
    <row r="1141" spans="2:11">
      <c r="B1141" s="5"/>
      <c r="F1141" s="5" t="s">
        <v>2332</v>
      </c>
      <c r="G1141" s="5" t="s">
        <v>2333</v>
      </c>
      <c r="J1141" s="5" t="s">
        <v>3344</v>
      </c>
      <c r="K1141" s="5" t="s">
        <v>3345</v>
      </c>
    </row>
    <row r="1142" spans="2:11">
      <c r="B1142" s="5"/>
      <c r="F1142" s="5" t="s">
        <v>2334</v>
      </c>
      <c r="G1142" s="5" t="s">
        <v>2335</v>
      </c>
      <c r="J1142" s="5" t="s">
        <v>3346</v>
      </c>
      <c r="K1142" s="5" t="s">
        <v>3347</v>
      </c>
    </row>
    <row r="1143" spans="2:11">
      <c r="B1143" s="5"/>
      <c r="F1143" s="5" t="s">
        <v>2336</v>
      </c>
      <c r="G1143" s="5" t="s">
        <v>2337</v>
      </c>
      <c r="J1143" s="5" t="s">
        <v>3348</v>
      </c>
      <c r="K1143" s="5" t="s">
        <v>3349</v>
      </c>
    </row>
    <row r="1144" spans="2:11">
      <c r="B1144" s="5"/>
      <c r="F1144" s="5" t="s">
        <v>2338</v>
      </c>
      <c r="G1144" s="5" t="s">
        <v>2339</v>
      </c>
      <c r="J1144" s="5" t="s">
        <v>3350</v>
      </c>
      <c r="K1144" s="5" t="s">
        <v>3351</v>
      </c>
    </row>
    <row r="1145" spans="2:11">
      <c r="B1145" s="5"/>
      <c r="F1145" s="5" t="s">
        <v>2340</v>
      </c>
      <c r="G1145" s="5" t="s">
        <v>2341</v>
      </c>
      <c r="J1145" s="5" t="s">
        <v>3352</v>
      </c>
      <c r="K1145" s="5" t="s">
        <v>3353</v>
      </c>
    </row>
    <row r="1146" spans="2:11">
      <c r="B1146" s="5"/>
      <c r="F1146" s="5" t="s">
        <v>2342</v>
      </c>
      <c r="G1146" s="5" t="s">
        <v>2343</v>
      </c>
      <c r="J1146" s="5" t="s">
        <v>3354</v>
      </c>
      <c r="K1146" s="5" t="s">
        <v>3355</v>
      </c>
    </row>
    <row r="1147" spans="2:11">
      <c r="B1147" s="5"/>
      <c r="F1147" s="5" t="s">
        <v>2344</v>
      </c>
      <c r="G1147" s="5" t="s">
        <v>2345</v>
      </c>
      <c r="J1147" s="5" t="s">
        <v>3356</v>
      </c>
      <c r="K1147" s="5" t="s">
        <v>3357</v>
      </c>
    </row>
    <row r="1148" spans="2:11">
      <c r="B1148" s="5"/>
      <c r="F1148" s="5" t="s">
        <v>2346</v>
      </c>
      <c r="G1148" s="5" t="s">
        <v>2347</v>
      </c>
      <c r="J1148" s="5" t="s">
        <v>3358</v>
      </c>
      <c r="K1148" s="5" t="s">
        <v>3359</v>
      </c>
    </row>
    <row r="1149" spans="2:11">
      <c r="B1149" s="5"/>
      <c r="F1149" s="5" t="s">
        <v>2348</v>
      </c>
      <c r="G1149" s="5" t="s">
        <v>2349</v>
      </c>
      <c r="J1149" s="5" t="s">
        <v>3360</v>
      </c>
      <c r="K1149" s="5" t="s">
        <v>3361</v>
      </c>
    </row>
    <row r="1150" spans="2:11">
      <c r="B1150" s="5"/>
      <c r="F1150" s="5" t="s">
        <v>2350</v>
      </c>
      <c r="G1150" s="5" t="s">
        <v>2351</v>
      </c>
      <c r="J1150" s="5" t="s">
        <v>3362</v>
      </c>
      <c r="K1150" s="5" t="s">
        <v>3363</v>
      </c>
    </row>
    <row r="1151" spans="2:11">
      <c r="B1151" s="5"/>
      <c r="F1151" s="5" t="s">
        <v>2352</v>
      </c>
      <c r="G1151" s="5" t="s">
        <v>2353</v>
      </c>
      <c r="J1151" s="5" t="s">
        <v>3364</v>
      </c>
      <c r="K1151" s="5" t="s">
        <v>3365</v>
      </c>
    </row>
    <row r="1152" spans="2:11">
      <c r="B1152" s="5"/>
      <c r="F1152" s="5" t="s">
        <v>2354</v>
      </c>
      <c r="G1152" s="5" t="s">
        <v>2355</v>
      </c>
      <c r="J1152" s="5" t="s">
        <v>3366</v>
      </c>
      <c r="K1152" s="5" t="s">
        <v>3367</v>
      </c>
    </row>
    <row r="1153" spans="2:11">
      <c r="B1153" s="5"/>
      <c r="F1153" s="5" t="s">
        <v>2356</v>
      </c>
      <c r="G1153" s="5" t="s">
        <v>2357</v>
      </c>
      <c r="J1153" s="5" t="s">
        <v>3368</v>
      </c>
      <c r="K1153" s="5" t="s">
        <v>3369</v>
      </c>
    </row>
    <row r="1154" spans="2:11">
      <c r="B1154" s="5"/>
      <c r="F1154" s="5" t="s">
        <v>2358</v>
      </c>
      <c r="G1154" s="5" t="s">
        <v>2359</v>
      </c>
      <c r="J1154" s="5" t="s">
        <v>3370</v>
      </c>
      <c r="K1154" s="5" t="s">
        <v>3371</v>
      </c>
    </row>
    <row r="1155" spans="2:11">
      <c r="B1155" s="5"/>
      <c r="F1155" s="5" t="s">
        <v>2360</v>
      </c>
      <c r="G1155" s="5" t="s">
        <v>2361</v>
      </c>
      <c r="J1155" s="5" t="s">
        <v>3372</v>
      </c>
      <c r="K1155" s="5" t="s">
        <v>3373</v>
      </c>
    </row>
    <row r="1156" spans="2:11">
      <c r="B1156" s="5"/>
      <c r="F1156" s="5" t="s">
        <v>2362</v>
      </c>
      <c r="G1156" s="5" t="s">
        <v>2363</v>
      </c>
      <c r="J1156" s="5" t="s">
        <v>3374</v>
      </c>
      <c r="K1156" s="5" t="s">
        <v>3375</v>
      </c>
    </row>
    <row r="1157" spans="2:11">
      <c r="B1157" s="5"/>
      <c r="F1157" s="5" t="s">
        <v>2364</v>
      </c>
      <c r="G1157" s="5" t="s">
        <v>2365</v>
      </c>
      <c r="J1157" s="5" t="s">
        <v>3376</v>
      </c>
      <c r="K1157" s="5" t="s">
        <v>3377</v>
      </c>
    </row>
    <row r="1158" spans="2:11">
      <c r="B1158" s="5"/>
      <c r="F1158" s="5" t="s">
        <v>2366</v>
      </c>
      <c r="G1158" s="5" t="s">
        <v>2367</v>
      </c>
      <c r="J1158" s="5" t="s">
        <v>3378</v>
      </c>
      <c r="K1158" s="5" t="s">
        <v>3379</v>
      </c>
    </row>
    <row r="1159" spans="2:11">
      <c r="B1159" s="5"/>
      <c r="F1159" s="5" t="s">
        <v>2368</v>
      </c>
      <c r="G1159" s="5" t="s">
        <v>2369</v>
      </c>
      <c r="J1159" s="5" t="s">
        <v>3380</v>
      </c>
      <c r="K1159" s="5" t="s">
        <v>3381</v>
      </c>
    </row>
    <row r="1160" spans="2:11">
      <c r="B1160" s="5"/>
      <c r="F1160" s="5" t="s">
        <v>2370</v>
      </c>
      <c r="G1160" s="5" t="s">
        <v>2371</v>
      </c>
      <c r="J1160" s="5" t="s">
        <v>3382</v>
      </c>
      <c r="K1160" s="5" t="s">
        <v>3383</v>
      </c>
    </row>
    <row r="1161" spans="2:11">
      <c r="B1161" s="5"/>
      <c r="F1161" s="5" t="s">
        <v>2372</v>
      </c>
      <c r="G1161" s="5" t="s">
        <v>2373</v>
      </c>
      <c r="J1161" s="5" t="s">
        <v>3384</v>
      </c>
      <c r="K1161" s="5" t="s">
        <v>3385</v>
      </c>
    </row>
    <row r="1162" spans="2:11">
      <c r="B1162" s="5"/>
      <c r="F1162" s="5" t="s">
        <v>2374</v>
      </c>
      <c r="G1162" s="5" t="s">
        <v>2375</v>
      </c>
      <c r="J1162" s="5" t="s">
        <v>3386</v>
      </c>
      <c r="K1162" s="5" t="s">
        <v>3387</v>
      </c>
    </row>
    <row r="1163" spans="2:11">
      <c r="B1163" s="5"/>
      <c r="F1163" s="5" t="s">
        <v>2376</v>
      </c>
      <c r="G1163" s="5" t="s">
        <v>2377</v>
      </c>
      <c r="J1163" s="5" t="s">
        <v>3388</v>
      </c>
      <c r="K1163" s="5" t="s">
        <v>3389</v>
      </c>
    </row>
    <row r="1164" spans="2:11">
      <c r="B1164" s="5"/>
      <c r="F1164" s="5" t="s">
        <v>2378</v>
      </c>
      <c r="G1164" s="5" t="s">
        <v>2379</v>
      </c>
      <c r="J1164" s="5" t="s">
        <v>3390</v>
      </c>
      <c r="K1164" s="5" t="s">
        <v>3391</v>
      </c>
    </row>
    <row r="1165" spans="2:11">
      <c r="B1165" s="5"/>
      <c r="F1165" s="5" t="s">
        <v>2380</v>
      </c>
      <c r="G1165" s="5" t="s">
        <v>2381</v>
      </c>
      <c r="J1165" s="5" t="s">
        <v>3392</v>
      </c>
      <c r="K1165" s="5" t="s">
        <v>3393</v>
      </c>
    </row>
    <row r="1166" spans="2:11">
      <c r="B1166" s="5"/>
      <c r="F1166" s="5" t="s">
        <v>2382</v>
      </c>
      <c r="G1166" s="5" t="s">
        <v>2383</v>
      </c>
      <c r="J1166" s="5" t="s">
        <v>3394</v>
      </c>
      <c r="K1166" s="5" t="s">
        <v>3395</v>
      </c>
    </row>
    <row r="1167" spans="2:11">
      <c r="B1167" s="5"/>
      <c r="F1167" s="5" t="s">
        <v>2384</v>
      </c>
      <c r="G1167" s="5" t="s">
        <v>2385</v>
      </c>
      <c r="J1167" s="5" t="s">
        <v>3396</v>
      </c>
      <c r="K1167" s="5" t="s">
        <v>3397</v>
      </c>
    </row>
    <row r="1168" spans="2:11">
      <c r="B1168" s="5"/>
      <c r="F1168" s="5" t="s">
        <v>2386</v>
      </c>
      <c r="G1168" s="5" t="s">
        <v>2387</v>
      </c>
      <c r="J1168" s="5" t="s">
        <v>3398</v>
      </c>
      <c r="K1168" s="5" t="s">
        <v>3399</v>
      </c>
    </row>
    <row r="1169" spans="2:11">
      <c r="B1169" s="5"/>
      <c r="F1169" s="5" t="s">
        <v>2388</v>
      </c>
      <c r="G1169" s="5" t="s">
        <v>2389</v>
      </c>
      <c r="J1169" s="5" t="s">
        <v>3400</v>
      </c>
      <c r="K1169" s="5" t="s">
        <v>3401</v>
      </c>
    </row>
    <row r="1170" spans="2:11">
      <c r="B1170" s="5"/>
      <c r="F1170" s="5" t="s">
        <v>2390</v>
      </c>
      <c r="G1170" s="5" t="s">
        <v>2391</v>
      </c>
      <c r="J1170" s="5" t="s">
        <v>3402</v>
      </c>
      <c r="K1170" s="5" t="s">
        <v>3403</v>
      </c>
    </row>
    <row r="1171" spans="2:11">
      <c r="B1171" s="5"/>
      <c r="F1171" s="5" t="s">
        <v>2392</v>
      </c>
      <c r="G1171" s="5" t="s">
        <v>2393</v>
      </c>
      <c r="J1171" s="5" t="s">
        <v>3404</v>
      </c>
      <c r="K1171" s="5" t="s">
        <v>3405</v>
      </c>
    </row>
    <row r="1172" spans="2:11">
      <c r="B1172" s="5"/>
      <c r="F1172" s="5" t="s">
        <v>2394</v>
      </c>
      <c r="G1172" s="5" t="s">
        <v>2395</v>
      </c>
      <c r="J1172" s="5" t="s">
        <v>3406</v>
      </c>
      <c r="K1172" s="5" t="s">
        <v>3407</v>
      </c>
    </row>
    <row r="1173" spans="2:11">
      <c r="B1173" s="5"/>
      <c r="F1173" s="5" t="s">
        <v>2396</v>
      </c>
      <c r="G1173" s="5" t="s">
        <v>2397</v>
      </c>
      <c r="J1173" s="5" t="s">
        <v>3408</v>
      </c>
      <c r="K1173" s="5" t="s">
        <v>3409</v>
      </c>
    </row>
    <row r="1174" spans="2:11">
      <c r="B1174" s="5"/>
      <c r="F1174" s="5" t="s">
        <v>2398</v>
      </c>
      <c r="G1174" s="5" t="s">
        <v>2399</v>
      </c>
      <c r="J1174" s="5" t="s">
        <v>3410</v>
      </c>
      <c r="K1174" s="5" t="s">
        <v>3411</v>
      </c>
    </row>
    <row r="1175" spans="2:11">
      <c r="B1175" s="5"/>
      <c r="F1175" s="5" t="s">
        <v>2400</v>
      </c>
      <c r="G1175" s="5" t="s">
        <v>2401</v>
      </c>
      <c r="J1175" s="5" t="s">
        <v>3412</v>
      </c>
      <c r="K1175" s="5" t="s">
        <v>3413</v>
      </c>
    </row>
    <row r="1176" spans="2:11">
      <c r="B1176" s="5"/>
      <c r="F1176" s="5" t="s">
        <v>2402</v>
      </c>
      <c r="G1176" s="5" t="s">
        <v>2403</v>
      </c>
      <c r="J1176" s="5" t="s">
        <v>3414</v>
      </c>
      <c r="K1176" s="5" t="s">
        <v>3415</v>
      </c>
    </row>
    <row r="1177" spans="2:11">
      <c r="B1177" s="5"/>
      <c r="F1177" s="5" t="s">
        <v>2404</v>
      </c>
      <c r="G1177" s="5" t="s">
        <v>2405</v>
      </c>
      <c r="J1177" s="5" t="s">
        <v>3416</v>
      </c>
      <c r="K1177" s="5" t="s">
        <v>3417</v>
      </c>
    </row>
    <row r="1178" spans="2:11">
      <c r="B1178" s="5"/>
      <c r="F1178" s="5" t="s">
        <v>2406</v>
      </c>
      <c r="G1178" s="5" t="s">
        <v>2407</v>
      </c>
      <c r="J1178" s="5" t="s">
        <v>3418</v>
      </c>
      <c r="K1178" s="5" t="s">
        <v>3419</v>
      </c>
    </row>
    <row r="1179" spans="2:11">
      <c r="B1179" s="5"/>
      <c r="F1179" s="5" t="s">
        <v>2408</v>
      </c>
      <c r="G1179" s="5" t="s">
        <v>2409</v>
      </c>
      <c r="J1179" s="5" t="s">
        <v>3420</v>
      </c>
      <c r="K1179" s="5" t="s">
        <v>3421</v>
      </c>
    </row>
    <row r="1180" spans="2:11">
      <c r="B1180" s="5"/>
      <c r="F1180" s="5" t="s">
        <v>2410</v>
      </c>
      <c r="G1180" s="5" t="s">
        <v>2411</v>
      </c>
      <c r="J1180" s="5" t="s">
        <v>3422</v>
      </c>
      <c r="K1180" s="5" t="s">
        <v>3423</v>
      </c>
    </row>
    <row r="1181" spans="2:11">
      <c r="B1181" s="5"/>
      <c r="F1181" s="5" t="s">
        <v>2412</v>
      </c>
      <c r="G1181" s="5" t="s">
        <v>2413</v>
      </c>
      <c r="J1181" s="5" t="s">
        <v>3424</v>
      </c>
      <c r="K1181" s="5" t="s">
        <v>3425</v>
      </c>
    </row>
    <row r="1182" spans="2:11">
      <c r="B1182" s="5"/>
      <c r="F1182" s="5" t="s">
        <v>2414</v>
      </c>
      <c r="G1182" s="5" t="s">
        <v>2415</v>
      </c>
      <c r="J1182" s="5" t="s">
        <v>3426</v>
      </c>
      <c r="K1182" s="5" t="s">
        <v>3427</v>
      </c>
    </row>
    <row r="1183" spans="2:11">
      <c r="B1183" s="5"/>
      <c r="F1183" s="5" t="s">
        <v>2416</v>
      </c>
      <c r="G1183" s="5" t="s">
        <v>2417</v>
      </c>
      <c r="J1183" s="5" t="s">
        <v>3428</v>
      </c>
      <c r="K1183" s="5" t="s">
        <v>3429</v>
      </c>
    </row>
    <row r="1184" spans="2:11">
      <c r="B1184" s="5"/>
      <c r="F1184" s="5" t="s">
        <v>2418</v>
      </c>
      <c r="G1184" s="5" t="s">
        <v>2419</v>
      </c>
      <c r="J1184" s="5" t="s">
        <v>3430</v>
      </c>
      <c r="K1184" s="5" t="s">
        <v>3431</v>
      </c>
    </row>
    <row r="1185" spans="2:11">
      <c r="B1185" s="5"/>
      <c r="F1185" s="5" t="s">
        <v>2420</v>
      </c>
      <c r="G1185" s="5" t="s">
        <v>2421</v>
      </c>
      <c r="J1185" s="5" t="s">
        <v>3432</v>
      </c>
      <c r="K1185" s="5" t="s">
        <v>3433</v>
      </c>
    </row>
    <row r="1186" spans="2:11">
      <c r="B1186" s="5"/>
      <c r="F1186" s="5" t="s">
        <v>2422</v>
      </c>
      <c r="G1186" s="5" t="s">
        <v>2423</v>
      </c>
      <c r="J1186" s="5" t="s">
        <v>3434</v>
      </c>
      <c r="K1186" s="5" t="s">
        <v>3435</v>
      </c>
    </row>
    <row r="1187" spans="2:11">
      <c r="B1187" s="5"/>
      <c r="F1187" s="5" t="s">
        <v>2424</v>
      </c>
      <c r="G1187" s="5" t="s">
        <v>2425</v>
      </c>
      <c r="J1187" s="5" t="s">
        <v>3436</v>
      </c>
      <c r="K1187" s="5" t="s">
        <v>3437</v>
      </c>
    </row>
    <row r="1188" spans="2:11">
      <c r="B1188" s="5"/>
      <c r="F1188" s="5" t="s">
        <v>2426</v>
      </c>
      <c r="G1188" s="5" t="s">
        <v>2427</v>
      </c>
      <c r="J1188" s="5" t="s">
        <v>3438</v>
      </c>
      <c r="K1188" s="5" t="s">
        <v>3439</v>
      </c>
    </row>
    <row r="1189" spans="2:11">
      <c r="B1189" s="5"/>
      <c r="F1189" s="5" t="s">
        <v>2428</v>
      </c>
      <c r="G1189" s="5" t="s">
        <v>2429</v>
      </c>
      <c r="J1189" s="5" t="s">
        <v>3440</v>
      </c>
      <c r="K1189" s="5" t="s">
        <v>3441</v>
      </c>
    </row>
    <row r="1190" spans="2:11">
      <c r="B1190" s="5"/>
      <c r="F1190" s="5" t="s">
        <v>2430</v>
      </c>
      <c r="G1190" s="5" t="s">
        <v>2431</v>
      </c>
      <c r="J1190" s="5" t="s">
        <v>3442</v>
      </c>
      <c r="K1190" s="5" t="s">
        <v>3443</v>
      </c>
    </row>
    <row r="1191" spans="2:11">
      <c r="B1191" s="5"/>
      <c r="F1191" s="5" t="s">
        <v>2432</v>
      </c>
      <c r="G1191" s="5" t="s">
        <v>2433</v>
      </c>
      <c r="J1191" s="5" t="s">
        <v>3444</v>
      </c>
      <c r="K1191" s="5" t="s">
        <v>3445</v>
      </c>
    </row>
    <row r="1192" spans="2:11">
      <c r="B1192" s="5"/>
      <c r="F1192" s="5" t="s">
        <v>2434</v>
      </c>
      <c r="G1192" s="5" t="s">
        <v>2435</v>
      </c>
      <c r="J1192" s="5" t="s">
        <v>3446</v>
      </c>
      <c r="K1192" s="5" t="s">
        <v>3447</v>
      </c>
    </row>
    <row r="1193" spans="2:11">
      <c r="B1193" s="5"/>
      <c r="F1193" s="5" t="s">
        <v>2436</v>
      </c>
      <c r="G1193" s="5" t="s">
        <v>2437</v>
      </c>
      <c r="J1193" s="5" t="s">
        <v>3448</v>
      </c>
      <c r="K1193" s="5" t="s">
        <v>3449</v>
      </c>
    </row>
    <row r="1194" spans="2:11">
      <c r="B1194" s="5"/>
      <c r="F1194" s="5" t="s">
        <v>2438</v>
      </c>
      <c r="G1194" s="5" t="s">
        <v>2439</v>
      </c>
      <c r="J1194" s="5" t="s">
        <v>3450</v>
      </c>
      <c r="K1194" s="5" t="s">
        <v>3451</v>
      </c>
    </row>
    <row r="1195" spans="2:11">
      <c r="B1195" s="5"/>
      <c r="F1195" s="5" t="s">
        <v>2440</v>
      </c>
      <c r="G1195" s="5" t="s">
        <v>2441</v>
      </c>
      <c r="J1195" s="5" t="s">
        <v>3452</v>
      </c>
      <c r="K1195" s="5" t="s">
        <v>3453</v>
      </c>
    </row>
    <row r="1196" spans="2:11">
      <c r="B1196" s="5"/>
      <c r="F1196" s="5" t="s">
        <v>2442</v>
      </c>
      <c r="G1196" s="5" t="s">
        <v>2443</v>
      </c>
      <c r="J1196" s="5" t="s">
        <v>3454</v>
      </c>
      <c r="K1196" s="5" t="s">
        <v>3455</v>
      </c>
    </row>
    <row r="1197" spans="2:11">
      <c r="B1197" s="5"/>
      <c r="F1197" s="5" t="s">
        <v>2444</v>
      </c>
      <c r="G1197" s="5" t="s">
        <v>2445</v>
      </c>
      <c r="J1197" s="5" t="s">
        <v>3456</v>
      </c>
      <c r="K1197" s="5" t="s">
        <v>3457</v>
      </c>
    </row>
    <row r="1198" spans="2:11">
      <c r="B1198" s="5"/>
      <c r="F1198" s="5" t="s">
        <v>2446</v>
      </c>
      <c r="G1198" s="5" t="s">
        <v>2447</v>
      </c>
      <c r="J1198" s="5" t="s">
        <v>3458</v>
      </c>
      <c r="K1198" s="5" t="s">
        <v>3459</v>
      </c>
    </row>
    <row r="1199" spans="2:11">
      <c r="B1199" s="5"/>
      <c r="F1199" s="5" t="s">
        <v>2448</v>
      </c>
      <c r="G1199" s="5" t="s">
        <v>2449</v>
      </c>
      <c r="J1199" s="5" t="s">
        <v>3460</v>
      </c>
      <c r="K1199" s="5" t="s">
        <v>3461</v>
      </c>
    </row>
    <row r="1200" spans="2:11">
      <c r="B1200" s="5"/>
      <c r="F1200" s="5" t="s">
        <v>2450</v>
      </c>
      <c r="G1200" s="5" t="s">
        <v>2451</v>
      </c>
      <c r="J1200" s="5" t="s">
        <v>3462</v>
      </c>
      <c r="K1200" s="5" t="s">
        <v>3463</v>
      </c>
    </row>
    <row r="1201" spans="2:11">
      <c r="B1201" s="5"/>
      <c r="F1201" s="5" t="s">
        <v>2452</v>
      </c>
      <c r="G1201" s="5" t="s">
        <v>2453</v>
      </c>
      <c r="J1201" s="5" t="s">
        <v>3464</v>
      </c>
      <c r="K1201" s="5" t="s">
        <v>3465</v>
      </c>
    </row>
    <row r="1202" spans="2:11">
      <c r="B1202" s="5"/>
      <c r="F1202" s="5" t="s">
        <v>2454</v>
      </c>
      <c r="G1202" s="5" t="s">
        <v>2455</v>
      </c>
      <c r="J1202" s="5" t="s">
        <v>3466</v>
      </c>
      <c r="K1202" s="5" t="s">
        <v>3467</v>
      </c>
    </row>
    <row r="1203" spans="2:11">
      <c r="B1203" s="5"/>
      <c r="F1203" s="5" t="s">
        <v>2456</v>
      </c>
      <c r="G1203" s="5" t="s">
        <v>2457</v>
      </c>
      <c r="J1203" s="5" t="s">
        <v>3468</v>
      </c>
      <c r="K1203" s="5" t="s">
        <v>3469</v>
      </c>
    </row>
    <row r="1204" spans="2:11">
      <c r="B1204" s="5"/>
      <c r="F1204" s="5" t="s">
        <v>2458</v>
      </c>
      <c r="G1204" s="5" t="s">
        <v>2459</v>
      </c>
      <c r="J1204" s="5" t="s">
        <v>3470</v>
      </c>
      <c r="K1204" s="5" t="s">
        <v>3471</v>
      </c>
    </row>
    <row r="1205" spans="2:11">
      <c r="B1205" s="5"/>
      <c r="F1205" s="5" t="s">
        <v>2460</v>
      </c>
      <c r="G1205" s="5" t="s">
        <v>2461</v>
      </c>
      <c r="J1205" s="5" t="s">
        <v>3472</v>
      </c>
      <c r="K1205" s="5" t="s">
        <v>3473</v>
      </c>
    </row>
    <row r="1206" spans="2:11">
      <c r="B1206" s="5"/>
      <c r="F1206" s="5" t="s">
        <v>2462</v>
      </c>
      <c r="G1206" s="5" t="s">
        <v>2463</v>
      </c>
      <c r="J1206" s="5" t="s">
        <v>3474</v>
      </c>
      <c r="K1206" s="5" t="s">
        <v>3475</v>
      </c>
    </row>
    <row r="1207" spans="2:11">
      <c r="B1207" s="5"/>
      <c r="F1207" s="5" t="s">
        <v>2464</v>
      </c>
      <c r="G1207" s="5" t="s">
        <v>2465</v>
      </c>
      <c r="J1207" s="5" t="s">
        <v>3476</v>
      </c>
      <c r="K1207" s="5" t="s">
        <v>3477</v>
      </c>
    </row>
    <row r="1208" spans="2:11">
      <c r="B1208" s="5"/>
      <c r="F1208" s="5" t="s">
        <v>2466</v>
      </c>
      <c r="G1208" s="5" t="s">
        <v>2467</v>
      </c>
      <c r="J1208" s="5" t="s">
        <v>3478</v>
      </c>
      <c r="K1208" s="5" t="s">
        <v>3479</v>
      </c>
    </row>
    <row r="1209" spans="2:11">
      <c r="B1209" s="5"/>
      <c r="F1209" s="5" t="s">
        <v>2468</v>
      </c>
      <c r="G1209" s="5" t="s">
        <v>2469</v>
      </c>
      <c r="J1209" s="5" t="s">
        <v>3480</v>
      </c>
      <c r="K1209" s="5" t="s">
        <v>3481</v>
      </c>
    </row>
    <row r="1210" spans="2:11">
      <c r="B1210" s="5"/>
      <c r="F1210" s="5" t="s">
        <v>2470</v>
      </c>
      <c r="G1210" s="5" t="s">
        <v>2471</v>
      </c>
      <c r="J1210" s="5" t="s">
        <v>3482</v>
      </c>
      <c r="K1210" s="5" t="s">
        <v>3483</v>
      </c>
    </row>
    <row r="1211" spans="2:11">
      <c r="B1211" s="5"/>
      <c r="F1211" s="5" t="s">
        <v>2472</v>
      </c>
      <c r="G1211" s="5" t="s">
        <v>2473</v>
      </c>
      <c r="J1211" s="5" t="s">
        <v>3484</v>
      </c>
      <c r="K1211" s="5" t="s">
        <v>3485</v>
      </c>
    </row>
    <row r="1212" spans="2:11">
      <c r="B1212" s="5"/>
      <c r="F1212" s="5" t="s">
        <v>2474</v>
      </c>
      <c r="G1212" s="5" t="s">
        <v>2475</v>
      </c>
      <c r="J1212" s="5" t="s">
        <v>3486</v>
      </c>
      <c r="K1212" s="5" t="s">
        <v>3487</v>
      </c>
    </row>
    <row r="1213" spans="2:11">
      <c r="B1213" s="5"/>
      <c r="F1213" s="5" t="s">
        <v>2476</v>
      </c>
      <c r="G1213" s="5" t="s">
        <v>2477</v>
      </c>
      <c r="J1213" s="5" t="s">
        <v>3488</v>
      </c>
      <c r="K1213" s="5" t="s">
        <v>3489</v>
      </c>
    </row>
    <row r="1214" spans="2:11">
      <c r="B1214" s="5"/>
      <c r="F1214" s="5" t="s">
        <v>2478</v>
      </c>
      <c r="G1214" s="5" t="s">
        <v>2479</v>
      </c>
      <c r="J1214" s="5" t="s">
        <v>3490</v>
      </c>
      <c r="K1214" s="5" t="s">
        <v>3491</v>
      </c>
    </row>
    <row r="1215" spans="2:11">
      <c r="B1215" s="5"/>
      <c r="F1215" s="5" t="s">
        <v>2480</v>
      </c>
      <c r="G1215" s="5" t="s">
        <v>2481</v>
      </c>
      <c r="J1215" s="5" t="s">
        <v>3492</v>
      </c>
      <c r="K1215" s="5" t="s">
        <v>3493</v>
      </c>
    </row>
    <row r="1216" spans="2:11">
      <c r="B1216" s="5"/>
      <c r="F1216" s="5" t="s">
        <v>2482</v>
      </c>
      <c r="G1216" s="5" t="s">
        <v>2483</v>
      </c>
      <c r="J1216" s="5" t="s">
        <v>3494</v>
      </c>
      <c r="K1216" s="5" t="s">
        <v>3495</v>
      </c>
    </row>
    <row r="1217" spans="2:11">
      <c r="B1217" s="5"/>
      <c r="F1217" s="5" t="s">
        <v>2484</v>
      </c>
      <c r="G1217" s="5" t="s">
        <v>2485</v>
      </c>
      <c r="J1217" s="5" t="s">
        <v>3496</v>
      </c>
      <c r="K1217" s="5" t="s">
        <v>3497</v>
      </c>
    </row>
    <row r="1218" spans="2:11">
      <c r="B1218" s="5"/>
      <c r="F1218" s="5" t="s">
        <v>2486</v>
      </c>
      <c r="G1218" s="5" t="s">
        <v>2487</v>
      </c>
      <c r="J1218" s="5" t="s">
        <v>3498</v>
      </c>
      <c r="K1218" s="5" t="s">
        <v>3499</v>
      </c>
    </row>
    <row r="1219" spans="2:11">
      <c r="B1219" s="5"/>
      <c r="F1219" s="5" t="s">
        <v>2488</v>
      </c>
      <c r="G1219" s="5" t="s">
        <v>2489</v>
      </c>
      <c r="J1219" s="5" t="s">
        <v>3500</v>
      </c>
      <c r="K1219" s="5" t="s">
        <v>3501</v>
      </c>
    </row>
    <row r="1220" spans="2:11">
      <c r="B1220" s="5"/>
      <c r="F1220" s="5" t="s">
        <v>2490</v>
      </c>
      <c r="G1220" s="5" t="s">
        <v>2491</v>
      </c>
      <c r="J1220" s="5" t="s">
        <v>3502</v>
      </c>
      <c r="K1220" s="5" t="s">
        <v>3503</v>
      </c>
    </row>
    <row r="1221" spans="2:11">
      <c r="B1221" s="5"/>
      <c r="F1221" s="5" t="s">
        <v>2492</v>
      </c>
      <c r="G1221" s="5" t="s">
        <v>2493</v>
      </c>
      <c r="J1221" s="5" t="s">
        <v>3504</v>
      </c>
      <c r="K1221" s="5" t="s">
        <v>3505</v>
      </c>
    </row>
    <row r="1222" spans="2:11">
      <c r="B1222" s="5"/>
      <c r="F1222" s="5" t="s">
        <v>2494</v>
      </c>
      <c r="G1222" s="5" t="s">
        <v>2495</v>
      </c>
      <c r="J1222" s="5" t="s">
        <v>3506</v>
      </c>
      <c r="K1222" s="5" t="s">
        <v>3507</v>
      </c>
    </row>
    <row r="1223" spans="2:11">
      <c r="B1223" s="5"/>
      <c r="F1223" s="5" t="s">
        <v>2496</v>
      </c>
      <c r="G1223" s="5" t="s">
        <v>2497</v>
      </c>
      <c r="J1223" s="5" t="s">
        <v>3508</v>
      </c>
      <c r="K1223" s="5" t="s">
        <v>3509</v>
      </c>
    </row>
    <row r="1224" spans="2:11">
      <c r="B1224" s="5"/>
      <c r="F1224" s="5" t="s">
        <v>2498</v>
      </c>
      <c r="G1224" s="5" t="s">
        <v>2499</v>
      </c>
      <c r="J1224" s="5" t="s">
        <v>3510</v>
      </c>
      <c r="K1224" s="5" t="s">
        <v>3511</v>
      </c>
    </row>
    <row r="1225" spans="2:11">
      <c r="B1225" s="5"/>
      <c r="F1225" s="5" t="s">
        <v>2500</v>
      </c>
      <c r="G1225" s="5" t="s">
        <v>2501</v>
      </c>
      <c r="J1225" s="5" t="s">
        <v>3512</v>
      </c>
      <c r="K1225" s="5" t="s">
        <v>3513</v>
      </c>
    </row>
    <row r="1226" spans="2:11">
      <c r="B1226" s="5"/>
      <c r="F1226" s="5" t="s">
        <v>2502</v>
      </c>
      <c r="G1226" s="5" t="s">
        <v>2503</v>
      </c>
      <c r="J1226" s="5" t="s">
        <v>3514</v>
      </c>
      <c r="K1226" s="5" t="s">
        <v>3515</v>
      </c>
    </row>
    <row r="1227" spans="2:11">
      <c r="B1227" s="5"/>
      <c r="F1227" s="5" t="s">
        <v>2504</v>
      </c>
      <c r="G1227" s="5" t="s">
        <v>2505</v>
      </c>
      <c r="J1227" s="5" t="s">
        <v>3516</v>
      </c>
      <c r="K1227" s="5" t="s">
        <v>3517</v>
      </c>
    </row>
    <row r="1228" spans="2:11">
      <c r="B1228" s="5"/>
      <c r="F1228" s="5" t="s">
        <v>2506</v>
      </c>
      <c r="G1228" s="5" t="s">
        <v>2507</v>
      </c>
      <c r="J1228" s="5" t="s">
        <v>3518</v>
      </c>
      <c r="K1228" s="5" t="s">
        <v>3519</v>
      </c>
    </row>
    <row r="1229" spans="2:11">
      <c r="B1229" s="5"/>
      <c r="F1229" s="5" t="s">
        <v>2508</v>
      </c>
      <c r="G1229" s="5" t="s">
        <v>2509</v>
      </c>
      <c r="J1229" s="5" t="s">
        <v>3520</v>
      </c>
      <c r="K1229" s="5" t="s">
        <v>3521</v>
      </c>
    </row>
    <row r="1230" spans="2:11">
      <c r="B1230" s="5"/>
      <c r="F1230" s="5" t="s">
        <v>2510</v>
      </c>
      <c r="G1230" s="5" t="s">
        <v>2511</v>
      </c>
      <c r="J1230" s="5" t="s">
        <v>3522</v>
      </c>
      <c r="K1230" s="5" t="s">
        <v>3523</v>
      </c>
    </row>
    <row r="1231" spans="2:11">
      <c r="B1231" s="5"/>
      <c r="F1231" s="5" t="s">
        <v>2512</v>
      </c>
      <c r="G1231" s="5" t="s">
        <v>2513</v>
      </c>
      <c r="J1231" s="5" t="s">
        <v>3524</v>
      </c>
      <c r="K1231" s="5" t="s">
        <v>3525</v>
      </c>
    </row>
    <row r="1232" spans="2:11">
      <c r="B1232" s="5"/>
      <c r="F1232" s="5" t="s">
        <v>2514</v>
      </c>
      <c r="G1232" s="5" t="s">
        <v>2515</v>
      </c>
      <c r="J1232" s="5" t="s">
        <v>3526</v>
      </c>
      <c r="K1232" s="5" t="s">
        <v>3527</v>
      </c>
    </row>
    <row r="1233" spans="2:11">
      <c r="B1233" s="5"/>
      <c r="F1233" s="5" t="s">
        <v>2516</v>
      </c>
      <c r="G1233" s="5" t="s">
        <v>2517</v>
      </c>
      <c r="J1233" s="5" t="s">
        <v>3528</v>
      </c>
      <c r="K1233" s="5" t="s">
        <v>3529</v>
      </c>
    </row>
    <row r="1234" spans="2:11">
      <c r="B1234" s="5"/>
      <c r="F1234" s="5" t="s">
        <v>2518</v>
      </c>
      <c r="G1234" s="5" t="s">
        <v>2519</v>
      </c>
      <c r="J1234" s="5" t="s">
        <v>3530</v>
      </c>
      <c r="K1234" s="5" t="s">
        <v>3531</v>
      </c>
    </row>
    <row r="1235" spans="2:11">
      <c r="B1235" s="5"/>
      <c r="F1235" s="5" t="s">
        <v>2520</v>
      </c>
      <c r="G1235" s="5" t="s">
        <v>2521</v>
      </c>
      <c r="J1235" s="5" t="s">
        <v>3532</v>
      </c>
      <c r="K1235" s="5" t="s">
        <v>3533</v>
      </c>
    </row>
    <row r="1236" spans="2:11">
      <c r="B1236" s="5"/>
      <c r="F1236" s="5" t="s">
        <v>2522</v>
      </c>
      <c r="G1236" s="5" t="s">
        <v>2523</v>
      </c>
      <c r="J1236" s="5" t="s">
        <v>3534</v>
      </c>
      <c r="K1236" s="5" t="s">
        <v>3535</v>
      </c>
    </row>
    <row r="1237" spans="2:11">
      <c r="B1237" s="5"/>
      <c r="F1237" s="5" t="s">
        <v>2524</v>
      </c>
      <c r="G1237" s="5" t="s">
        <v>2525</v>
      </c>
      <c r="J1237" s="5" t="s">
        <v>3536</v>
      </c>
      <c r="K1237" s="5" t="s">
        <v>3537</v>
      </c>
    </row>
    <row r="1238" spans="2:11">
      <c r="B1238" s="5"/>
      <c r="F1238" s="5" t="s">
        <v>2526</v>
      </c>
      <c r="G1238" s="5" t="s">
        <v>2527</v>
      </c>
      <c r="J1238" s="5" t="s">
        <v>3538</v>
      </c>
      <c r="K1238" s="5" t="s">
        <v>3539</v>
      </c>
    </row>
    <row r="1239" spans="2:11">
      <c r="B1239" s="5"/>
      <c r="F1239" s="5" t="s">
        <v>2528</v>
      </c>
      <c r="G1239" s="5" t="s">
        <v>2529</v>
      </c>
      <c r="J1239" s="5" t="s">
        <v>3540</v>
      </c>
      <c r="K1239" s="5" t="s">
        <v>3541</v>
      </c>
    </row>
    <row r="1240" spans="2:11">
      <c r="B1240" s="5"/>
      <c r="F1240" s="5" t="s">
        <v>2530</v>
      </c>
      <c r="G1240" s="5" t="s">
        <v>2531</v>
      </c>
      <c r="J1240" s="5" t="s">
        <v>3542</v>
      </c>
      <c r="K1240" s="5" t="s">
        <v>3543</v>
      </c>
    </row>
    <row r="1241" spans="2:11">
      <c r="B1241" s="5"/>
      <c r="F1241" s="5" t="s">
        <v>2532</v>
      </c>
      <c r="G1241" s="5" t="s">
        <v>2533</v>
      </c>
      <c r="J1241" s="5" t="s">
        <v>3544</v>
      </c>
      <c r="K1241" s="5" t="s">
        <v>3545</v>
      </c>
    </row>
    <row r="1242" spans="2:11">
      <c r="B1242" s="5"/>
      <c r="F1242" s="5" t="s">
        <v>2534</v>
      </c>
      <c r="G1242" s="5" t="s">
        <v>2535</v>
      </c>
      <c r="J1242" s="5" t="s">
        <v>3546</v>
      </c>
      <c r="K1242" s="5" t="s">
        <v>3547</v>
      </c>
    </row>
    <row r="1243" spans="2:11">
      <c r="B1243" s="5"/>
      <c r="F1243" s="5" t="s">
        <v>2536</v>
      </c>
      <c r="G1243" s="5" t="s">
        <v>2537</v>
      </c>
      <c r="J1243" s="5" t="s">
        <v>3548</v>
      </c>
      <c r="K1243" s="5" t="s">
        <v>3549</v>
      </c>
    </row>
    <row r="1244" spans="2:11">
      <c r="B1244" s="5"/>
      <c r="F1244" s="5" t="s">
        <v>2538</v>
      </c>
      <c r="G1244" s="5" t="s">
        <v>2539</v>
      </c>
      <c r="J1244" s="5" t="s">
        <v>3550</v>
      </c>
      <c r="K1244" s="5" t="s">
        <v>3551</v>
      </c>
    </row>
    <row r="1245" spans="2:11">
      <c r="B1245" s="5"/>
      <c r="F1245" s="5" t="s">
        <v>2540</v>
      </c>
      <c r="G1245" s="5" t="s">
        <v>2541</v>
      </c>
      <c r="J1245" s="5" t="s">
        <v>3552</v>
      </c>
      <c r="K1245" s="5" t="s">
        <v>3553</v>
      </c>
    </row>
    <row r="1246" spans="2:11">
      <c r="B1246" s="5"/>
      <c r="F1246" s="5" t="s">
        <v>2542</v>
      </c>
      <c r="G1246" s="5" t="s">
        <v>2543</v>
      </c>
      <c r="J1246" s="5" t="s">
        <v>3554</v>
      </c>
      <c r="K1246" s="5" t="s">
        <v>3555</v>
      </c>
    </row>
    <row r="1247" spans="2:11">
      <c r="B1247" s="5"/>
      <c r="F1247" s="5" t="s">
        <v>2544</v>
      </c>
      <c r="G1247" s="5" t="s">
        <v>2545</v>
      </c>
      <c r="J1247" s="5" t="s">
        <v>3556</v>
      </c>
      <c r="K1247" s="5" t="s">
        <v>3557</v>
      </c>
    </row>
    <row r="1248" spans="2:11">
      <c r="B1248" s="5"/>
      <c r="F1248" s="5" t="s">
        <v>2546</v>
      </c>
      <c r="G1248" s="5" t="s">
        <v>2547</v>
      </c>
      <c r="J1248" s="5" t="s">
        <v>3558</v>
      </c>
      <c r="K1248" s="5" t="s">
        <v>3559</v>
      </c>
    </row>
    <row r="1249" spans="2:11">
      <c r="B1249" s="5"/>
      <c r="F1249" s="5" t="s">
        <v>2548</v>
      </c>
      <c r="G1249" s="5" t="s">
        <v>2549</v>
      </c>
      <c r="J1249" s="5" t="s">
        <v>3560</v>
      </c>
      <c r="K1249" s="5" t="s">
        <v>3561</v>
      </c>
    </row>
    <row r="1250" spans="2:11">
      <c r="B1250" s="5"/>
      <c r="F1250" s="5" t="s">
        <v>2550</v>
      </c>
      <c r="G1250" s="5" t="s">
        <v>2551</v>
      </c>
      <c r="J1250" s="5" t="s">
        <v>3562</v>
      </c>
      <c r="K1250" s="5" t="s">
        <v>3563</v>
      </c>
    </row>
    <row r="1251" spans="2:11">
      <c r="B1251" s="5"/>
      <c r="F1251" s="5" t="s">
        <v>2552</v>
      </c>
      <c r="G1251" s="5" t="s">
        <v>2553</v>
      </c>
      <c r="J1251" s="5" t="s">
        <v>3564</v>
      </c>
      <c r="K1251" s="5" t="s">
        <v>3565</v>
      </c>
    </row>
    <row r="1252" spans="2:11">
      <c r="B1252" s="5"/>
      <c r="F1252" s="5" t="s">
        <v>2554</v>
      </c>
      <c r="G1252" s="5" t="s">
        <v>2555</v>
      </c>
      <c r="J1252" s="5" t="s">
        <v>3566</v>
      </c>
      <c r="K1252" s="5" t="s">
        <v>3567</v>
      </c>
    </row>
    <row r="1253" spans="2:11">
      <c r="B1253" s="5"/>
      <c r="F1253" s="5" t="s">
        <v>2556</v>
      </c>
      <c r="G1253" s="5" t="s">
        <v>2557</v>
      </c>
      <c r="J1253" s="5" t="s">
        <v>3568</v>
      </c>
      <c r="K1253" s="5" t="s">
        <v>3569</v>
      </c>
    </row>
    <row r="1254" spans="2:11">
      <c r="B1254" s="5"/>
      <c r="F1254" s="5" t="s">
        <v>2558</v>
      </c>
      <c r="G1254" s="5" t="s">
        <v>2559</v>
      </c>
      <c r="J1254" s="5" t="s">
        <v>3570</v>
      </c>
      <c r="K1254" s="5" t="s">
        <v>3571</v>
      </c>
    </row>
    <row r="1255" spans="2:11">
      <c r="B1255" s="5"/>
      <c r="F1255" s="5" t="s">
        <v>2560</v>
      </c>
      <c r="G1255" s="5" t="s">
        <v>2561</v>
      </c>
      <c r="J1255" s="5" t="s">
        <v>3572</v>
      </c>
      <c r="K1255" s="5" t="s">
        <v>3573</v>
      </c>
    </row>
    <row r="1256" spans="2:11">
      <c r="B1256" s="5"/>
      <c r="F1256" s="5" t="s">
        <v>2562</v>
      </c>
      <c r="G1256" s="5" t="s">
        <v>2563</v>
      </c>
      <c r="J1256" s="5" t="s">
        <v>3574</v>
      </c>
      <c r="K1256" s="5" t="s">
        <v>3575</v>
      </c>
    </row>
    <row r="1257" spans="2:11">
      <c r="B1257" s="5"/>
      <c r="F1257" s="5" t="s">
        <v>2564</v>
      </c>
      <c r="G1257" s="5" t="s">
        <v>2565</v>
      </c>
      <c r="J1257" s="5" t="s">
        <v>3576</v>
      </c>
      <c r="K1257" s="5" t="s">
        <v>3577</v>
      </c>
    </row>
    <row r="1258" spans="2:11">
      <c r="B1258" s="5"/>
      <c r="F1258" s="5" t="s">
        <v>2566</v>
      </c>
      <c r="G1258" s="5" t="s">
        <v>2567</v>
      </c>
      <c r="J1258" s="5" t="s">
        <v>3578</v>
      </c>
      <c r="K1258" s="5" t="s">
        <v>3579</v>
      </c>
    </row>
    <row r="1259" spans="2:11">
      <c r="B1259" s="5"/>
      <c r="F1259" s="5" t="s">
        <v>2568</v>
      </c>
      <c r="G1259" s="5" t="s">
        <v>2569</v>
      </c>
      <c r="J1259" s="5" t="s">
        <v>3580</v>
      </c>
      <c r="K1259" s="5" t="s">
        <v>3581</v>
      </c>
    </row>
    <row r="1260" spans="2:11">
      <c r="B1260" s="5"/>
      <c r="F1260" s="5" t="s">
        <v>2570</v>
      </c>
      <c r="G1260" s="5" t="s">
        <v>2571</v>
      </c>
      <c r="J1260" s="5" t="s">
        <v>3582</v>
      </c>
      <c r="K1260" s="5" t="s">
        <v>3583</v>
      </c>
    </row>
    <row r="1261" spans="2:11">
      <c r="B1261" s="5"/>
      <c r="F1261" s="5" t="s">
        <v>2572</v>
      </c>
      <c r="G1261" s="5" t="s">
        <v>2573</v>
      </c>
      <c r="J1261" s="5" t="s">
        <v>3584</v>
      </c>
      <c r="K1261" s="5" t="s">
        <v>3585</v>
      </c>
    </row>
    <row r="1262" spans="2:11">
      <c r="B1262" s="5"/>
      <c r="F1262" s="5" t="s">
        <v>2574</v>
      </c>
      <c r="G1262" s="5" t="s">
        <v>2575</v>
      </c>
      <c r="J1262" s="5" t="s">
        <v>3586</v>
      </c>
      <c r="K1262" s="5" t="s">
        <v>3587</v>
      </c>
    </row>
    <row r="1263" spans="2:11">
      <c r="B1263" s="5"/>
      <c r="F1263" s="5" t="s">
        <v>2576</v>
      </c>
      <c r="G1263" s="5" t="s">
        <v>2577</v>
      </c>
      <c r="J1263" s="5" t="s">
        <v>3588</v>
      </c>
      <c r="K1263" s="5" t="s">
        <v>3589</v>
      </c>
    </row>
    <row r="1264" spans="2:11">
      <c r="B1264" s="5"/>
      <c r="F1264" s="5" t="s">
        <v>2578</v>
      </c>
      <c r="G1264" s="5" t="s">
        <v>2579</v>
      </c>
      <c r="J1264" s="5" t="s">
        <v>3590</v>
      </c>
      <c r="K1264" s="5" t="s">
        <v>3591</v>
      </c>
    </row>
    <row r="1265" spans="2:11">
      <c r="B1265" s="5"/>
      <c r="F1265" s="5" t="s">
        <v>2580</v>
      </c>
      <c r="G1265" s="5" t="s">
        <v>2581</v>
      </c>
      <c r="J1265" s="5" t="s">
        <v>3592</v>
      </c>
      <c r="K1265" s="5" t="s">
        <v>3593</v>
      </c>
    </row>
    <row r="1266" spans="2:11">
      <c r="B1266" s="5"/>
      <c r="F1266" s="5" t="s">
        <v>2582</v>
      </c>
      <c r="G1266" s="5" t="s">
        <v>2583</v>
      </c>
      <c r="J1266" s="5" t="s">
        <v>3594</v>
      </c>
      <c r="K1266" s="5" t="s">
        <v>3595</v>
      </c>
    </row>
    <row r="1267" spans="2:11">
      <c r="B1267" s="5"/>
      <c r="F1267" s="5" t="s">
        <v>2584</v>
      </c>
      <c r="G1267" s="5" t="s">
        <v>2585</v>
      </c>
      <c r="J1267" s="5" t="s">
        <v>3596</v>
      </c>
      <c r="K1267" s="5" t="s">
        <v>3597</v>
      </c>
    </row>
    <row r="1268" spans="2:11">
      <c r="B1268" s="5"/>
      <c r="F1268" s="5" t="s">
        <v>2586</v>
      </c>
      <c r="G1268" s="5" t="s">
        <v>2587</v>
      </c>
      <c r="J1268" s="5" t="s">
        <v>3598</v>
      </c>
      <c r="K1268" s="5" t="s">
        <v>3599</v>
      </c>
    </row>
    <row r="1269" spans="2:11">
      <c r="B1269" s="5"/>
      <c r="F1269" s="5" t="s">
        <v>2588</v>
      </c>
      <c r="G1269" s="5" t="s">
        <v>2589</v>
      </c>
      <c r="J1269" s="5" t="s">
        <v>3600</v>
      </c>
      <c r="K1269" s="5" t="s">
        <v>3601</v>
      </c>
    </row>
    <row r="1270" spans="2:11">
      <c r="B1270" s="5"/>
      <c r="F1270" s="5" t="s">
        <v>2590</v>
      </c>
      <c r="G1270" s="5" t="s">
        <v>2591</v>
      </c>
      <c r="J1270" s="5" t="s">
        <v>3602</v>
      </c>
      <c r="K1270" s="5" t="s">
        <v>3603</v>
      </c>
    </row>
    <row r="1271" spans="2:11">
      <c r="B1271" s="5"/>
      <c r="F1271" s="5" t="s">
        <v>2592</v>
      </c>
      <c r="G1271" s="5" t="s">
        <v>2593</v>
      </c>
      <c r="J1271" s="5" t="s">
        <v>3604</v>
      </c>
      <c r="K1271" s="5" t="s">
        <v>3605</v>
      </c>
    </row>
    <row r="1272" spans="2:11">
      <c r="B1272" s="5"/>
      <c r="F1272" s="5" t="s">
        <v>2594</v>
      </c>
      <c r="G1272" s="5" t="s">
        <v>2595</v>
      </c>
      <c r="J1272" s="5" t="s">
        <v>3606</v>
      </c>
      <c r="K1272" s="5" t="s">
        <v>3607</v>
      </c>
    </row>
    <row r="1273" spans="2:11">
      <c r="B1273" s="5"/>
      <c r="F1273" s="5" t="s">
        <v>2596</v>
      </c>
      <c r="G1273" s="5" t="s">
        <v>2597</v>
      </c>
      <c r="J1273" s="5" t="s">
        <v>3608</v>
      </c>
      <c r="K1273" s="5" t="s">
        <v>3609</v>
      </c>
    </row>
    <row r="1274" spans="2:11">
      <c r="B1274" s="5"/>
      <c r="F1274" s="5" t="s">
        <v>2598</v>
      </c>
      <c r="G1274" s="5" t="s">
        <v>2599</v>
      </c>
      <c r="J1274" s="5" t="s">
        <v>3610</v>
      </c>
      <c r="K1274" s="5" t="s">
        <v>3611</v>
      </c>
    </row>
    <row r="1275" spans="2:11">
      <c r="B1275" s="5"/>
      <c r="F1275" s="5" t="s">
        <v>2600</v>
      </c>
      <c r="G1275" s="5" t="s">
        <v>2601</v>
      </c>
      <c r="J1275" s="5" t="s">
        <v>3612</v>
      </c>
      <c r="K1275" s="5" t="s">
        <v>3613</v>
      </c>
    </row>
    <row r="1276" spans="2:11">
      <c r="B1276" s="5"/>
      <c r="F1276" s="5" t="s">
        <v>2602</v>
      </c>
      <c r="G1276" s="5" t="s">
        <v>2603</v>
      </c>
      <c r="J1276" s="5" t="s">
        <v>3614</v>
      </c>
      <c r="K1276" s="5" t="s">
        <v>3615</v>
      </c>
    </row>
    <row r="1277" spans="2:11">
      <c r="B1277" s="5"/>
      <c r="F1277" s="5" t="s">
        <v>2604</v>
      </c>
      <c r="G1277" s="5" t="s">
        <v>2605</v>
      </c>
      <c r="J1277" s="5" t="s">
        <v>3616</v>
      </c>
      <c r="K1277" s="5" t="s">
        <v>3617</v>
      </c>
    </row>
    <row r="1278" spans="2:11">
      <c r="B1278" s="5"/>
      <c r="F1278" s="5" t="s">
        <v>2606</v>
      </c>
      <c r="G1278" s="5" t="s">
        <v>2607</v>
      </c>
      <c r="J1278" s="5" t="s">
        <v>3618</v>
      </c>
      <c r="K1278" s="5" t="s">
        <v>3619</v>
      </c>
    </row>
    <row r="1279" spans="2:11">
      <c r="B1279" s="5"/>
      <c r="F1279" s="5" t="s">
        <v>2608</v>
      </c>
      <c r="G1279" s="5" t="s">
        <v>2609</v>
      </c>
      <c r="J1279" s="5" t="s">
        <v>3620</v>
      </c>
      <c r="K1279" s="5" t="s">
        <v>3621</v>
      </c>
    </row>
    <row r="1280" spans="2:11">
      <c r="B1280" s="5"/>
      <c r="F1280" s="5" t="s">
        <v>2610</v>
      </c>
      <c r="G1280" s="5" t="s">
        <v>2611</v>
      </c>
      <c r="J1280" s="5" t="s">
        <v>3622</v>
      </c>
      <c r="K1280" s="5" t="s">
        <v>3623</v>
      </c>
    </row>
    <row r="1281" spans="2:11">
      <c r="B1281" s="5"/>
      <c r="F1281" s="5" t="s">
        <v>2612</v>
      </c>
      <c r="G1281" s="5" t="s">
        <v>2613</v>
      </c>
      <c r="J1281" s="5" t="s">
        <v>3624</v>
      </c>
      <c r="K1281" s="5" t="s">
        <v>3625</v>
      </c>
    </row>
    <row r="1282" spans="2:11">
      <c r="B1282" s="5"/>
      <c r="F1282" s="5" t="s">
        <v>2614</v>
      </c>
      <c r="G1282" s="5" t="s">
        <v>2615</v>
      </c>
      <c r="J1282" s="5" t="s">
        <v>3626</v>
      </c>
      <c r="K1282" s="5" t="s">
        <v>3627</v>
      </c>
    </row>
    <row r="1283" spans="2:11">
      <c r="B1283" s="5"/>
      <c r="F1283" s="5" t="s">
        <v>2616</v>
      </c>
      <c r="G1283" s="5" t="s">
        <v>2617</v>
      </c>
      <c r="J1283" s="5" t="s">
        <v>3628</v>
      </c>
      <c r="K1283" s="5" t="s">
        <v>3629</v>
      </c>
    </row>
    <row r="1284" spans="2:11">
      <c r="B1284" s="5"/>
      <c r="F1284" s="5" t="s">
        <v>2618</v>
      </c>
      <c r="G1284" s="5" t="s">
        <v>2619</v>
      </c>
      <c r="J1284" s="5" t="s">
        <v>3630</v>
      </c>
      <c r="K1284" s="5" t="s">
        <v>3631</v>
      </c>
    </row>
    <row r="1285" spans="2:11">
      <c r="B1285" s="5"/>
      <c r="F1285" s="5" t="s">
        <v>2620</v>
      </c>
      <c r="G1285" s="5" t="s">
        <v>2621</v>
      </c>
      <c r="J1285" s="5" t="s">
        <v>3632</v>
      </c>
      <c r="K1285" s="5" t="s">
        <v>3633</v>
      </c>
    </row>
    <row r="1286" spans="2:11">
      <c r="B1286" s="5"/>
      <c r="F1286" s="5" t="s">
        <v>2622</v>
      </c>
      <c r="G1286" s="5" t="s">
        <v>2623</v>
      </c>
      <c r="J1286" s="5" t="s">
        <v>3634</v>
      </c>
      <c r="K1286" s="5" t="s">
        <v>3635</v>
      </c>
    </row>
    <row r="1287" spans="2:11">
      <c r="B1287" s="5"/>
      <c r="F1287" s="5" t="s">
        <v>2624</v>
      </c>
      <c r="G1287" s="5" t="s">
        <v>2625</v>
      </c>
      <c r="J1287" s="5" t="s">
        <v>3636</v>
      </c>
      <c r="K1287" s="5" t="s">
        <v>3637</v>
      </c>
    </row>
    <row r="1288" spans="2:11">
      <c r="B1288" s="5"/>
      <c r="F1288" s="5" t="s">
        <v>2626</v>
      </c>
      <c r="G1288" s="5" t="s">
        <v>2627</v>
      </c>
      <c r="J1288" s="5" t="s">
        <v>3638</v>
      </c>
      <c r="K1288" s="5" t="s">
        <v>3639</v>
      </c>
    </row>
    <row r="1289" spans="2:11">
      <c r="B1289" s="5"/>
      <c r="F1289" s="5" t="s">
        <v>2628</v>
      </c>
      <c r="G1289" s="5" t="s">
        <v>2629</v>
      </c>
      <c r="J1289" s="5" t="s">
        <v>3640</v>
      </c>
      <c r="K1289" s="5" t="s">
        <v>3641</v>
      </c>
    </row>
    <row r="1290" spans="2:11">
      <c r="B1290" s="5"/>
      <c r="F1290" s="5" t="s">
        <v>2630</v>
      </c>
      <c r="G1290" s="5" t="s">
        <v>2631</v>
      </c>
      <c r="J1290" s="5" t="s">
        <v>3642</v>
      </c>
      <c r="K1290" s="5" t="s">
        <v>3643</v>
      </c>
    </row>
    <row r="1291" spans="2:11">
      <c r="B1291" s="5"/>
      <c r="F1291" s="5" t="s">
        <v>2632</v>
      </c>
      <c r="G1291" s="5" t="s">
        <v>2633</v>
      </c>
      <c r="J1291" s="5" t="s">
        <v>3644</v>
      </c>
      <c r="K1291" s="5" t="s">
        <v>3645</v>
      </c>
    </row>
    <row r="1292" spans="2:11">
      <c r="B1292" s="5"/>
      <c r="F1292" s="5" t="s">
        <v>2634</v>
      </c>
      <c r="G1292" s="5" t="s">
        <v>2635</v>
      </c>
      <c r="J1292" s="5" t="s">
        <v>3646</v>
      </c>
      <c r="K1292" s="5" t="s">
        <v>3647</v>
      </c>
    </row>
    <row r="1293" spans="2:11">
      <c r="B1293" s="5"/>
      <c r="F1293" s="5" t="s">
        <v>2636</v>
      </c>
      <c r="G1293" s="5" t="s">
        <v>2637</v>
      </c>
      <c r="J1293" s="5" t="s">
        <v>3648</v>
      </c>
      <c r="K1293" s="5" t="s">
        <v>3649</v>
      </c>
    </row>
    <row r="1294" spans="2:11">
      <c r="B1294" s="5"/>
      <c r="F1294" s="5" t="s">
        <v>2638</v>
      </c>
      <c r="G1294" s="5" t="s">
        <v>2639</v>
      </c>
      <c r="J1294" s="5" t="s">
        <v>3650</v>
      </c>
      <c r="K1294" s="5" t="s">
        <v>3651</v>
      </c>
    </row>
    <row r="1295" spans="2:11">
      <c r="B1295" s="5"/>
      <c r="F1295" s="5" t="s">
        <v>2640</v>
      </c>
      <c r="G1295" s="5" t="s">
        <v>2641</v>
      </c>
      <c r="J1295" s="5" t="s">
        <v>3652</v>
      </c>
      <c r="K1295" s="5" t="s">
        <v>3653</v>
      </c>
    </row>
    <row r="1296" spans="2:11">
      <c r="B1296" s="5"/>
      <c r="F1296" s="5" t="s">
        <v>2642</v>
      </c>
      <c r="G1296" s="5" t="s">
        <v>2643</v>
      </c>
      <c r="J1296" s="5" t="s">
        <v>3654</v>
      </c>
      <c r="K1296" s="5" t="s">
        <v>3655</v>
      </c>
    </row>
    <row r="1297" spans="2:11">
      <c r="B1297" s="5"/>
      <c r="F1297" s="5" t="s">
        <v>2644</v>
      </c>
      <c r="G1297" s="5" t="s">
        <v>2645</v>
      </c>
      <c r="J1297" s="5" t="s">
        <v>3656</v>
      </c>
      <c r="K1297" s="5" t="s">
        <v>3657</v>
      </c>
    </row>
    <row r="1298" spans="2:11">
      <c r="B1298" s="5"/>
      <c r="F1298" s="5" t="s">
        <v>2646</v>
      </c>
      <c r="G1298" s="5" t="s">
        <v>2647</v>
      </c>
      <c r="J1298" s="5" t="s">
        <v>3658</v>
      </c>
      <c r="K1298" s="5" t="s">
        <v>3659</v>
      </c>
    </row>
    <row r="1299" spans="2:11">
      <c r="B1299" s="5"/>
      <c r="F1299" s="5" t="s">
        <v>2648</v>
      </c>
      <c r="G1299" s="5" t="s">
        <v>2649</v>
      </c>
      <c r="J1299" s="5" t="s">
        <v>3660</v>
      </c>
      <c r="K1299" s="5" t="s">
        <v>3661</v>
      </c>
    </row>
    <row r="1300" spans="2:11">
      <c r="B1300" s="5"/>
      <c r="F1300" s="5" t="s">
        <v>2650</v>
      </c>
      <c r="G1300" s="5" t="s">
        <v>2651</v>
      </c>
      <c r="J1300" s="5" t="s">
        <v>3662</v>
      </c>
      <c r="K1300" s="5" t="s">
        <v>3663</v>
      </c>
    </row>
    <row r="1301" spans="2:11">
      <c r="B1301" s="5"/>
      <c r="F1301" s="5" t="s">
        <v>2652</v>
      </c>
      <c r="G1301" s="5" t="s">
        <v>2653</v>
      </c>
      <c r="J1301" s="5" t="s">
        <v>3664</v>
      </c>
      <c r="K1301" s="5" t="s">
        <v>3665</v>
      </c>
    </row>
    <row r="1302" spans="2:11">
      <c r="B1302" s="5"/>
      <c r="F1302" s="5" t="s">
        <v>2654</v>
      </c>
      <c r="G1302" s="5" t="s">
        <v>2655</v>
      </c>
      <c r="J1302" s="5" t="s">
        <v>3666</v>
      </c>
      <c r="K1302" s="5" t="s">
        <v>3667</v>
      </c>
    </row>
    <row r="1303" spans="2:11">
      <c r="B1303" s="5"/>
      <c r="F1303" s="5" t="s">
        <v>2656</v>
      </c>
      <c r="G1303" s="5" t="s">
        <v>2657</v>
      </c>
      <c r="J1303" s="5" t="s">
        <v>3668</v>
      </c>
      <c r="K1303" s="5" t="s">
        <v>3669</v>
      </c>
    </row>
    <row r="1304" spans="2:11">
      <c r="B1304" s="5"/>
      <c r="F1304" s="5" t="s">
        <v>2658</v>
      </c>
      <c r="G1304" s="5" t="s">
        <v>2659</v>
      </c>
      <c r="J1304" s="5" t="s">
        <v>3670</v>
      </c>
      <c r="K1304" s="5" t="s">
        <v>3671</v>
      </c>
    </row>
    <row r="1305" spans="2:11">
      <c r="B1305" s="5"/>
      <c r="F1305" s="5" t="s">
        <v>2660</v>
      </c>
      <c r="G1305" s="5" t="s">
        <v>2661</v>
      </c>
      <c r="J1305" s="5" t="s">
        <v>3672</v>
      </c>
      <c r="K1305" s="5" t="s">
        <v>3673</v>
      </c>
    </row>
    <row r="1306" spans="2:11">
      <c r="B1306" s="5"/>
      <c r="F1306" s="5" t="s">
        <v>2662</v>
      </c>
      <c r="G1306" s="5" t="s">
        <v>2663</v>
      </c>
      <c r="J1306" s="5" t="s">
        <v>3674</v>
      </c>
      <c r="K1306" s="5" t="s">
        <v>3675</v>
      </c>
    </row>
    <row r="1307" spans="2:11">
      <c r="B1307" s="5"/>
      <c r="F1307" s="5" t="s">
        <v>2664</v>
      </c>
      <c r="G1307" s="5" t="s">
        <v>2665</v>
      </c>
      <c r="J1307" s="5" t="s">
        <v>3676</v>
      </c>
      <c r="K1307" s="5" t="s">
        <v>3677</v>
      </c>
    </row>
    <row r="1308" spans="2:11">
      <c r="B1308" s="5"/>
      <c r="F1308" s="5" t="s">
        <v>2666</v>
      </c>
      <c r="G1308" s="5" t="s">
        <v>2667</v>
      </c>
      <c r="J1308" s="5" t="s">
        <v>3678</v>
      </c>
      <c r="K1308" s="5" t="s">
        <v>3679</v>
      </c>
    </row>
    <row r="1309" spans="2:11">
      <c r="B1309" s="5"/>
      <c r="F1309" s="5" t="s">
        <v>2668</v>
      </c>
      <c r="G1309" s="5" t="s">
        <v>2669</v>
      </c>
      <c r="J1309" s="5" t="s">
        <v>3680</v>
      </c>
      <c r="K1309" s="5" t="s">
        <v>3681</v>
      </c>
    </row>
    <row r="1310" spans="2:11">
      <c r="B1310" s="5"/>
      <c r="F1310" s="5" t="s">
        <v>2670</v>
      </c>
      <c r="G1310" s="5" t="s">
        <v>2671</v>
      </c>
      <c r="J1310" s="5" t="s">
        <v>3682</v>
      </c>
      <c r="K1310" s="5" t="s">
        <v>3683</v>
      </c>
    </row>
    <row r="1311" spans="2:11">
      <c r="B1311" s="5"/>
      <c r="F1311" s="5" t="s">
        <v>2672</v>
      </c>
      <c r="G1311" s="5" t="s">
        <v>2673</v>
      </c>
      <c r="J1311" s="5" t="s">
        <v>3684</v>
      </c>
      <c r="K1311" s="5" t="s">
        <v>3685</v>
      </c>
    </row>
    <row r="1312" spans="2:11">
      <c r="B1312" s="5"/>
      <c r="F1312" s="5" t="s">
        <v>2674</v>
      </c>
      <c r="G1312" s="5" t="s">
        <v>2675</v>
      </c>
      <c r="J1312" s="5" t="s">
        <v>3686</v>
      </c>
      <c r="K1312" s="5" t="s">
        <v>3687</v>
      </c>
    </row>
    <row r="1313" spans="2:11">
      <c r="B1313" s="5"/>
      <c r="F1313" s="5" t="s">
        <v>2676</v>
      </c>
      <c r="G1313" s="5" t="s">
        <v>2677</v>
      </c>
      <c r="J1313" s="5" t="s">
        <v>3688</v>
      </c>
      <c r="K1313" s="5" t="s">
        <v>3689</v>
      </c>
    </row>
    <row r="1314" spans="2:11">
      <c r="B1314" s="5"/>
      <c r="F1314" s="5" t="s">
        <v>2678</v>
      </c>
      <c r="G1314" s="5" t="s">
        <v>2679</v>
      </c>
      <c r="J1314" s="5" t="s">
        <v>3690</v>
      </c>
      <c r="K1314" s="5" t="s">
        <v>3691</v>
      </c>
    </row>
    <row r="1315" spans="2:11">
      <c r="B1315" s="5"/>
      <c r="F1315" s="5" t="s">
        <v>2680</v>
      </c>
      <c r="G1315" s="5" t="s">
        <v>2681</v>
      </c>
      <c r="J1315" s="5" t="s">
        <v>3692</v>
      </c>
      <c r="K1315" s="5" t="s">
        <v>3693</v>
      </c>
    </row>
    <row r="1316" spans="2:11">
      <c r="B1316" s="5"/>
      <c r="F1316" s="5" t="s">
        <v>2682</v>
      </c>
      <c r="G1316" s="5" t="s">
        <v>2683</v>
      </c>
      <c r="J1316" s="5" t="s">
        <v>3694</v>
      </c>
      <c r="K1316" s="5" t="s">
        <v>3695</v>
      </c>
    </row>
    <row r="1317" spans="2:11">
      <c r="B1317" s="5"/>
      <c r="F1317" s="5" t="s">
        <v>2684</v>
      </c>
      <c r="G1317" s="5" t="s">
        <v>2685</v>
      </c>
      <c r="J1317" s="5" t="s">
        <v>3696</v>
      </c>
      <c r="K1317" s="5" t="s">
        <v>3697</v>
      </c>
    </row>
    <row r="1318" spans="2:11">
      <c r="B1318" s="5"/>
      <c r="F1318" s="5" t="s">
        <v>2686</v>
      </c>
      <c r="G1318" s="5" t="s">
        <v>2687</v>
      </c>
      <c r="J1318" s="5" t="s">
        <v>3698</v>
      </c>
      <c r="K1318" s="5" t="s">
        <v>3699</v>
      </c>
    </row>
    <row r="1319" spans="2:11">
      <c r="B1319" s="5"/>
      <c r="F1319" s="5" t="s">
        <v>2688</v>
      </c>
      <c r="G1319" s="5" t="s">
        <v>2689</v>
      </c>
      <c r="J1319" s="5" t="s">
        <v>3700</v>
      </c>
      <c r="K1319" s="5" t="s">
        <v>3701</v>
      </c>
    </row>
    <row r="1320" spans="2:11">
      <c r="B1320" s="5"/>
      <c r="F1320" s="5" t="s">
        <v>2690</v>
      </c>
      <c r="G1320" s="5" t="s">
        <v>2691</v>
      </c>
      <c r="J1320" s="5" t="s">
        <v>3702</v>
      </c>
      <c r="K1320" s="5" t="s">
        <v>3703</v>
      </c>
    </row>
    <row r="1321" spans="2:11">
      <c r="B1321" s="5"/>
      <c r="F1321" s="5" t="s">
        <v>2692</v>
      </c>
      <c r="G1321" s="5" t="s">
        <v>2693</v>
      </c>
      <c r="J1321" s="5" t="s">
        <v>3704</v>
      </c>
      <c r="K1321" s="5" t="s">
        <v>3705</v>
      </c>
    </row>
    <row r="1322" spans="2:11">
      <c r="B1322" s="5"/>
      <c r="F1322" s="5" t="s">
        <v>2694</v>
      </c>
      <c r="G1322" s="5" t="s">
        <v>2695</v>
      </c>
      <c r="J1322" s="5" t="s">
        <v>3706</v>
      </c>
      <c r="K1322" s="5" t="s">
        <v>3707</v>
      </c>
    </row>
    <row r="1323" spans="2:11">
      <c r="B1323" s="5"/>
      <c r="F1323" s="5" t="s">
        <v>2696</v>
      </c>
      <c r="G1323" s="5" t="s">
        <v>2697</v>
      </c>
      <c r="J1323" s="5" t="s">
        <v>3708</v>
      </c>
      <c r="K1323" s="5" t="s">
        <v>3709</v>
      </c>
    </row>
    <row r="1324" spans="2:11">
      <c r="B1324" s="5"/>
      <c r="F1324" s="5" t="s">
        <v>2698</v>
      </c>
      <c r="G1324" s="5" t="s">
        <v>2699</v>
      </c>
      <c r="J1324" s="5" t="s">
        <v>3710</v>
      </c>
      <c r="K1324" s="5" t="s">
        <v>3711</v>
      </c>
    </row>
    <row r="1325" spans="2:11">
      <c r="B1325" s="5"/>
      <c r="F1325" s="5" t="s">
        <v>2700</v>
      </c>
      <c r="G1325" s="5" t="s">
        <v>2701</v>
      </c>
      <c r="J1325" s="5" t="s">
        <v>3712</v>
      </c>
      <c r="K1325" s="5" t="s">
        <v>3713</v>
      </c>
    </row>
    <row r="1326" spans="2:11">
      <c r="B1326" s="5"/>
      <c r="F1326" s="5" t="s">
        <v>2702</v>
      </c>
      <c r="G1326" s="5" t="s">
        <v>2703</v>
      </c>
      <c r="J1326" s="5" t="s">
        <v>3714</v>
      </c>
      <c r="K1326" s="5" t="s">
        <v>3715</v>
      </c>
    </row>
    <row r="1327" spans="2:11">
      <c r="B1327" s="5"/>
      <c r="F1327" s="5" t="s">
        <v>2704</v>
      </c>
      <c r="G1327" s="5" t="s">
        <v>2705</v>
      </c>
      <c r="J1327" s="5" t="s">
        <v>3716</v>
      </c>
      <c r="K1327" s="5" t="s">
        <v>3717</v>
      </c>
    </row>
    <row r="1328" spans="2:11">
      <c r="B1328" s="5"/>
      <c r="F1328" s="5" t="s">
        <v>2706</v>
      </c>
      <c r="G1328" s="5" t="s">
        <v>2707</v>
      </c>
      <c r="J1328" s="5" t="s">
        <v>3718</v>
      </c>
      <c r="K1328" s="5" t="s">
        <v>3719</v>
      </c>
    </row>
    <row r="1329" spans="2:11">
      <c r="B1329" s="5"/>
      <c r="F1329" s="5" t="s">
        <v>2708</v>
      </c>
      <c r="G1329" s="5" t="s">
        <v>2709</v>
      </c>
      <c r="J1329" s="5" t="s">
        <v>3720</v>
      </c>
      <c r="K1329" s="5" t="s">
        <v>3721</v>
      </c>
    </row>
    <row r="1330" spans="2:11">
      <c r="B1330" s="5"/>
      <c r="F1330" s="5" t="s">
        <v>2710</v>
      </c>
      <c r="G1330" s="5" t="s">
        <v>2711</v>
      </c>
      <c r="J1330" s="5" t="s">
        <v>3722</v>
      </c>
      <c r="K1330" s="5" t="s">
        <v>3723</v>
      </c>
    </row>
    <row r="1331" spans="2:11">
      <c r="B1331" s="5"/>
      <c r="F1331" s="5" t="s">
        <v>2712</v>
      </c>
      <c r="G1331" s="5" t="s">
        <v>2713</v>
      </c>
      <c r="J1331" s="5" t="s">
        <v>3724</v>
      </c>
      <c r="K1331" s="5" t="s">
        <v>3725</v>
      </c>
    </row>
    <row r="1332" spans="2:11">
      <c r="B1332" s="5"/>
      <c r="F1332" s="5" t="s">
        <v>2714</v>
      </c>
      <c r="G1332" s="5" t="s">
        <v>2715</v>
      </c>
      <c r="J1332" s="5" t="s">
        <v>3726</v>
      </c>
      <c r="K1332" s="5" t="s">
        <v>3727</v>
      </c>
    </row>
    <row r="1333" spans="2:11">
      <c r="B1333" s="5"/>
      <c r="F1333" s="5" t="s">
        <v>2716</v>
      </c>
      <c r="G1333" s="5" t="s">
        <v>2717</v>
      </c>
      <c r="J1333" s="5" t="s">
        <v>3728</v>
      </c>
      <c r="K1333" s="5" t="s">
        <v>3729</v>
      </c>
    </row>
    <row r="1334" spans="2:11">
      <c r="B1334" s="5"/>
      <c r="F1334" s="5" t="s">
        <v>2718</v>
      </c>
      <c r="G1334" s="5" t="s">
        <v>2719</v>
      </c>
      <c r="J1334" s="5" t="s">
        <v>3730</v>
      </c>
      <c r="K1334" s="5" t="s">
        <v>3731</v>
      </c>
    </row>
    <row r="1335" spans="2:11">
      <c r="B1335" s="5"/>
      <c r="F1335" s="5" t="s">
        <v>2720</v>
      </c>
      <c r="G1335" s="5" t="s">
        <v>2721</v>
      </c>
      <c r="J1335" s="5" t="s">
        <v>3732</v>
      </c>
      <c r="K1335" s="5" t="s">
        <v>3733</v>
      </c>
    </row>
    <row r="1336" spans="2:11">
      <c r="B1336" s="5"/>
      <c r="F1336" s="5" t="s">
        <v>2722</v>
      </c>
      <c r="G1336" s="5" t="s">
        <v>2723</v>
      </c>
      <c r="J1336" s="5" t="s">
        <v>3734</v>
      </c>
      <c r="K1336" s="5" t="s">
        <v>3735</v>
      </c>
    </row>
    <row r="1337" spans="2:11">
      <c r="B1337" s="5"/>
      <c r="F1337" s="5" t="s">
        <v>2724</v>
      </c>
      <c r="G1337" s="5" t="s">
        <v>2725</v>
      </c>
      <c r="J1337" s="5" t="s">
        <v>3736</v>
      </c>
      <c r="K1337" s="5" t="s">
        <v>3737</v>
      </c>
    </row>
    <row r="1338" spans="2:11">
      <c r="B1338" s="5"/>
      <c r="F1338" s="5" t="s">
        <v>2726</v>
      </c>
      <c r="G1338" s="5" t="s">
        <v>2727</v>
      </c>
      <c r="J1338" s="5" t="s">
        <v>3738</v>
      </c>
      <c r="K1338" s="5" t="s">
        <v>3739</v>
      </c>
    </row>
    <row r="1339" spans="2:11">
      <c r="B1339" s="5"/>
      <c r="F1339" s="5" t="s">
        <v>2728</v>
      </c>
      <c r="G1339" s="5" t="s">
        <v>2729</v>
      </c>
      <c r="J1339" s="5" t="s">
        <v>3740</v>
      </c>
      <c r="K1339" s="5" t="s">
        <v>3741</v>
      </c>
    </row>
    <row r="1340" spans="2:11">
      <c r="B1340" s="5"/>
      <c r="F1340" s="5" t="s">
        <v>2730</v>
      </c>
      <c r="G1340" s="5" t="s">
        <v>2731</v>
      </c>
      <c r="J1340" s="5" t="s">
        <v>3742</v>
      </c>
      <c r="K1340" s="5" t="s">
        <v>3743</v>
      </c>
    </row>
    <row r="1341" spans="2:11">
      <c r="B1341" s="5"/>
      <c r="F1341" s="5" t="s">
        <v>2732</v>
      </c>
      <c r="G1341" s="5" t="s">
        <v>2733</v>
      </c>
      <c r="J1341" s="5" t="s">
        <v>3744</v>
      </c>
      <c r="K1341" s="5" t="s">
        <v>3745</v>
      </c>
    </row>
    <row r="1342" spans="2:11">
      <c r="B1342" s="5"/>
      <c r="F1342" s="5" t="s">
        <v>2734</v>
      </c>
      <c r="G1342" s="5" t="s">
        <v>2735</v>
      </c>
      <c r="J1342" s="5" t="s">
        <v>3746</v>
      </c>
      <c r="K1342" s="5" t="s">
        <v>3747</v>
      </c>
    </row>
    <row r="1343" spans="2:11">
      <c r="B1343" s="5"/>
      <c r="F1343" s="5" t="s">
        <v>2736</v>
      </c>
      <c r="G1343" s="5" t="s">
        <v>2737</v>
      </c>
      <c r="J1343" s="5" t="s">
        <v>3748</v>
      </c>
      <c r="K1343" s="5" t="s">
        <v>3749</v>
      </c>
    </row>
    <row r="1344" spans="2:11">
      <c r="B1344" s="5"/>
      <c r="F1344" s="5" t="s">
        <v>2738</v>
      </c>
      <c r="G1344" s="5" t="s">
        <v>2739</v>
      </c>
      <c r="J1344" s="5" t="s">
        <v>3750</v>
      </c>
      <c r="K1344" s="5" t="s">
        <v>3751</v>
      </c>
    </row>
    <row r="1345" spans="2:11">
      <c r="B1345" s="5"/>
      <c r="F1345" s="5" t="s">
        <v>2740</v>
      </c>
      <c r="G1345" s="5" t="s">
        <v>2741</v>
      </c>
      <c r="J1345" s="5" t="s">
        <v>3752</v>
      </c>
      <c r="K1345" s="5" t="s">
        <v>3753</v>
      </c>
    </row>
    <row r="1346" spans="2:11">
      <c r="B1346" s="5"/>
      <c r="F1346" s="5" t="s">
        <v>2742</v>
      </c>
      <c r="G1346" s="5" t="s">
        <v>2743</v>
      </c>
      <c r="J1346" s="5" t="s">
        <v>3754</v>
      </c>
      <c r="K1346" s="5" t="s">
        <v>3755</v>
      </c>
    </row>
    <row r="1347" spans="2:11">
      <c r="B1347" s="5"/>
      <c r="F1347" s="5" t="s">
        <v>2744</v>
      </c>
      <c r="G1347" s="5" t="s">
        <v>2745</v>
      </c>
      <c r="J1347" s="5" t="s">
        <v>3756</v>
      </c>
      <c r="K1347" s="5" t="s">
        <v>3757</v>
      </c>
    </row>
    <row r="1348" spans="2:11">
      <c r="B1348" s="5"/>
      <c r="F1348" s="5" t="s">
        <v>2746</v>
      </c>
      <c r="G1348" s="5" t="s">
        <v>2747</v>
      </c>
      <c r="J1348" s="5" t="s">
        <v>3758</v>
      </c>
      <c r="K1348" s="5" t="s">
        <v>3759</v>
      </c>
    </row>
    <row r="1349" spans="2:11">
      <c r="B1349" s="5"/>
      <c r="F1349" s="5" t="s">
        <v>2748</v>
      </c>
      <c r="G1349" s="5" t="s">
        <v>2749</v>
      </c>
      <c r="J1349" s="5" t="s">
        <v>3760</v>
      </c>
      <c r="K1349" s="5" t="s">
        <v>3761</v>
      </c>
    </row>
    <row r="1350" spans="2:11">
      <c r="B1350" s="5"/>
      <c r="F1350" s="5" t="s">
        <v>2750</v>
      </c>
      <c r="G1350" s="5" t="s">
        <v>2751</v>
      </c>
      <c r="J1350" s="5" t="s">
        <v>3762</v>
      </c>
      <c r="K1350" s="5" t="s">
        <v>3763</v>
      </c>
    </row>
    <row r="1351" spans="2:11">
      <c r="B1351" s="5"/>
      <c r="F1351" s="5" t="s">
        <v>2752</v>
      </c>
      <c r="G1351" s="5" t="s">
        <v>2753</v>
      </c>
      <c r="J1351" s="5" t="s">
        <v>3764</v>
      </c>
      <c r="K1351" s="5" t="s">
        <v>3765</v>
      </c>
    </row>
    <row r="1352" spans="2:11">
      <c r="B1352" s="5"/>
      <c r="F1352" s="5" t="s">
        <v>2754</v>
      </c>
      <c r="G1352" s="5" t="s">
        <v>2755</v>
      </c>
      <c r="J1352" s="5" t="s">
        <v>3766</v>
      </c>
      <c r="K1352" s="5" t="s">
        <v>3767</v>
      </c>
    </row>
    <row r="1353" spans="2:11">
      <c r="B1353" s="5"/>
      <c r="F1353" s="5" t="s">
        <v>2756</v>
      </c>
      <c r="G1353" s="5" t="s">
        <v>2757</v>
      </c>
      <c r="J1353" s="5" t="s">
        <v>3768</v>
      </c>
      <c r="K1353" s="5" t="s">
        <v>3769</v>
      </c>
    </row>
    <row r="1354" spans="2:11">
      <c r="B1354" s="5"/>
      <c r="F1354" s="5" t="s">
        <v>2758</v>
      </c>
      <c r="G1354" s="5" t="s">
        <v>2759</v>
      </c>
      <c r="J1354" s="5" t="s">
        <v>3770</v>
      </c>
      <c r="K1354" s="5" t="s">
        <v>3771</v>
      </c>
    </row>
    <row r="1355" spans="2:11">
      <c r="B1355" s="5"/>
      <c r="F1355" s="5" t="s">
        <v>2760</v>
      </c>
      <c r="G1355" s="5" t="s">
        <v>2761</v>
      </c>
      <c r="J1355" s="5" t="s">
        <v>3772</v>
      </c>
      <c r="K1355" s="5" t="s">
        <v>3773</v>
      </c>
    </row>
    <row r="1356" spans="2:11">
      <c r="B1356" s="5"/>
      <c r="F1356" s="5" t="s">
        <v>2762</v>
      </c>
      <c r="G1356" s="5" t="s">
        <v>2763</v>
      </c>
      <c r="J1356" s="5" t="s">
        <v>3774</v>
      </c>
      <c r="K1356" s="5" t="s">
        <v>3775</v>
      </c>
    </row>
    <row r="1357" spans="2:11">
      <c r="B1357" s="5"/>
      <c r="F1357" s="5" t="s">
        <v>2764</v>
      </c>
      <c r="G1357" s="5" t="s">
        <v>2765</v>
      </c>
      <c r="J1357" s="5" t="s">
        <v>3776</v>
      </c>
      <c r="K1357" s="5" t="s">
        <v>3777</v>
      </c>
    </row>
    <row r="1358" spans="2:11">
      <c r="B1358" s="5"/>
      <c r="F1358" s="5" t="s">
        <v>2766</v>
      </c>
      <c r="G1358" s="5" t="s">
        <v>2767</v>
      </c>
      <c r="J1358" s="5" t="s">
        <v>3778</v>
      </c>
      <c r="K1358" s="5" t="s">
        <v>3779</v>
      </c>
    </row>
    <row r="1359" spans="2:11">
      <c r="B1359" s="5"/>
      <c r="F1359" s="5" t="s">
        <v>2768</v>
      </c>
      <c r="G1359" s="5" t="s">
        <v>2769</v>
      </c>
      <c r="J1359" s="5" t="s">
        <v>3780</v>
      </c>
      <c r="K1359" s="5" t="s">
        <v>3781</v>
      </c>
    </row>
    <row r="1360" spans="2:11">
      <c r="B1360" s="5"/>
      <c r="F1360" s="5" t="s">
        <v>2770</v>
      </c>
      <c r="G1360" s="5" t="s">
        <v>2771</v>
      </c>
      <c r="J1360" s="5" t="s">
        <v>3782</v>
      </c>
      <c r="K1360" s="5" t="s">
        <v>3783</v>
      </c>
    </row>
    <row r="1361" spans="2:11">
      <c r="B1361" s="5"/>
      <c r="F1361" s="5" t="s">
        <v>2772</v>
      </c>
      <c r="G1361" s="5" t="s">
        <v>2773</v>
      </c>
      <c r="J1361" s="5" t="s">
        <v>3784</v>
      </c>
      <c r="K1361" s="5" t="s">
        <v>3785</v>
      </c>
    </row>
    <row r="1362" spans="2:11">
      <c r="B1362" s="5"/>
      <c r="F1362" s="5" t="s">
        <v>2774</v>
      </c>
      <c r="G1362" s="5" t="s">
        <v>2775</v>
      </c>
      <c r="J1362" s="5" t="s">
        <v>3786</v>
      </c>
      <c r="K1362" s="5" t="s">
        <v>3787</v>
      </c>
    </row>
    <row r="1363" spans="2:11">
      <c r="B1363" s="5"/>
      <c r="F1363" s="5" t="s">
        <v>2776</v>
      </c>
      <c r="G1363" s="5" t="s">
        <v>2777</v>
      </c>
      <c r="J1363" s="5" t="s">
        <v>3788</v>
      </c>
      <c r="K1363" s="5" t="s">
        <v>3789</v>
      </c>
    </row>
    <row r="1364" spans="2:11">
      <c r="B1364" s="5"/>
      <c r="F1364" s="5" t="s">
        <v>2778</v>
      </c>
      <c r="G1364" s="5" t="s">
        <v>2779</v>
      </c>
      <c r="J1364" s="5" t="s">
        <v>3790</v>
      </c>
      <c r="K1364" s="5" t="s">
        <v>3791</v>
      </c>
    </row>
    <row r="1365" spans="2:11">
      <c r="B1365" s="5"/>
      <c r="F1365" s="5" t="s">
        <v>2780</v>
      </c>
      <c r="G1365" s="5" t="s">
        <v>2781</v>
      </c>
      <c r="J1365" s="5" t="s">
        <v>3792</v>
      </c>
      <c r="K1365" s="5" t="s">
        <v>3793</v>
      </c>
    </row>
    <row r="1366" spans="2:11">
      <c r="B1366" s="5"/>
      <c r="F1366" s="5" t="s">
        <v>2782</v>
      </c>
      <c r="G1366" s="5" t="s">
        <v>2783</v>
      </c>
      <c r="J1366" s="5" t="s">
        <v>3794</v>
      </c>
      <c r="K1366" s="5" t="s">
        <v>3795</v>
      </c>
    </row>
    <row r="1367" spans="2:11">
      <c r="B1367" s="5"/>
      <c r="F1367" s="5" t="s">
        <v>2784</v>
      </c>
      <c r="G1367" s="5" t="s">
        <v>2785</v>
      </c>
      <c r="J1367" s="5" t="s">
        <v>3796</v>
      </c>
      <c r="K1367" s="5" t="s">
        <v>3797</v>
      </c>
    </row>
    <row r="1368" spans="2:11">
      <c r="B1368" s="5"/>
      <c r="F1368" s="5" t="s">
        <v>2786</v>
      </c>
      <c r="G1368" s="5" t="s">
        <v>2787</v>
      </c>
      <c r="J1368" s="5" t="s">
        <v>3798</v>
      </c>
      <c r="K1368" s="5" t="s">
        <v>3799</v>
      </c>
    </row>
    <row r="1369" spans="2:11">
      <c r="B1369" s="5"/>
      <c r="F1369" s="5" t="s">
        <v>2788</v>
      </c>
      <c r="G1369" s="5" t="s">
        <v>2789</v>
      </c>
      <c r="J1369" s="5" t="s">
        <v>3800</v>
      </c>
      <c r="K1369" s="5" t="s">
        <v>3801</v>
      </c>
    </row>
    <row r="1370" spans="2:11">
      <c r="B1370" s="5"/>
      <c r="F1370" s="5" t="s">
        <v>2790</v>
      </c>
      <c r="G1370" s="5" t="s">
        <v>2791</v>
      </c>
      <c r="J1370" s="5" t="s">
        <v>3802</v>
      </c>
      <c r="K1370" s="5" t="s">
        <v>3803</v>
      </c>
    </row>
    <row r="1371" spans="2:11">
      <c r="B1371" s="5"/>
      <c r="F1371" s="5" t="s">
        <v>2792</v>
      </c>
      <c r="G1371" s="5" t="s">
        <v>2793</v>
      </c>
      <c r="J1371" s="5" t="s">
        <v>3804</v>
      </c>
      <c r="K1371" s="5" t="s">
        <v>3805</v>
      </c>
    </row>
    <row r="1372" spans="2:11">
      <c r="B1372" s="5"/>
      <c r="F1372" s="5" t="s">
        <v>2794</v>
      </c>
      <c r="G1372" s="5" t="s">
        <v>2795</v>
      </c>
      <c r="J1372" s="5" t="s">
        <v>3806</v>
      </c>
      <c r="K1372" s="5" t="s">
        <v>3807</v>
      </c>
    </row>
    <row r="1373" spans="2:11">
      <c r="B1373" s="5"/>
      <c r="F1373" s="5" t="s">
        <v>2796</v>
      </c>
      <c r="G1373" s="5" t="s">
        <v>2797</v>
      </c>
      <c r="J1373" s="5" t="s">
        <v>3808</v>
      </c>
      <c r="K1373" s="5" t="s">
        <v>3809</v>
      </c>
    </row>
    <row r="1374" spans="2:11">
      <c r="B1374" s="5"/>
      <c r="F1374" s="5" t="s">
        <v>2798</v>
      </c>
      <c r="G1374" s="5" t="s">
        <v>2799</v>
      </c>
      <c r="J1374" s="5" t="s">
        <v>3810</v>
      </c>
      <c r="K1374" s="5" t="s">
        <v>3811</v>
      </c>
    </row>
    <row r="1375" spans="2:11">
      <c r="B1375" s="5"/>
      <c r="F1375" s="5" t="s">
        <v>2800</v>
      </c>
      <c r="G1375" s="5" t="s">
        <v>2801</v>
      </c>
      <c r="J1375" s="5" t="s">
        <v>3812</v>
      </c>
      <c r="K1375" s="5" t="s">
        <v>3813</v>
      </c>
    </row>
    <row r="1376" spans="2:11">
      <c r="B1376" s="5"/>
      <c r="F1376" s="5" t="s">
        <v>2802</v>
      </c>
      <c r="G1376" s="5" t="s">
        <v>2803</v>
      </c>
      <c r="J1376" s="5" t="s">
        <v>3814</v>
      </c>
      <c r="K1376" s="5" t="s">
        <v>3815</v>
      </c>
    </row>
    <row r="1377" spans="2:11">
      <c r="B1377" s="5"/>
      <c r="F1377" s="5" t="s">
        <v>2804</v>
      </c>
      <c r="G1377" s="5" t="s">
        <v>2805</v>
      </c>
      <c r="J1377" s="5" t="s">
        <v>3816</v>
      </c>
      <c r="K1377" s="5" t="s">
        <v>3817</v>
      </c>
    </row>
    <row r="1378" spans="2:11">
      <c r="B1378" s="5"/>
      <c r="F1378" s="5" t="s">
        <v>2806</v>
      </c>
      <c r="G1378" s="5" t="s">
        <v>2807</v>
      </c>
      <c r="J1378" s="5" t="s">
        <v>3818</v>
      </c>
      <c r="K1378" s="5" t="s">
        <v>3819</v>
      </c>
    </row>
    <row r="1379" spans="2:11">
      <c r="B1379" s="5"/>
      <c r="F1379" s="5" t="s">
        <v>2808</v>
      </c>
      <c r="G1379" s="5" t="s">
        <v>2809</v>
      </c>
      <c r="J1379" s="5" t="s">
        <v>3820</v>
      </c>
      <c r="K1379" s="5" t="s">
        <v>3821</v>
      </c>
    </row>
    <row r="1380" spans="2:11">
      <c r="B1380" s="5"/>
      <c r="F1380" s="5" t="s">
        <v>2810</v>
      </c>
      <c r="G1380" s="5" t="s">
        <v>2811</v>
      </c>
      <c r="J1380" s="5" t="s">
        <v>3822</v>
      </c>
      <c r="K1380" s="5" t="s">
        <v>3823</v>
      </c>
    </row>
    <row r="1381" spans="2:11">
      <c r="B1381" s="5"/>
      <c r="F1381" s="5" t="s">
        <v>2812</v>
      </c>
      <c r="G1381" s="5" t="s">
        <v>2813</v>
      </c>
      <c r="J1381" s="5" t="s">
        <v>3824</v>
      </c>
      <c r="K1381" s="5" t="s">
        <v>3825</v>
      </c>
    </row>
    <row r="1382" spans="2:11">
      <c r="B1382" s="5"/>
      <c r="F1382" s="5" t="s">
        <v>2814</v>
      </c>
      <c r="G1382" s="5" t="s">
        <v>2815</v>
      </c>
      <c r="J1382" s="5" t="s">
        <v>3826</v>
      </c>
      <c r="K1382" s="5" t="s">
        <v>3827</v>
      </c>
    </row>
    <row r="1383" spans="2:11">
      <c r="B1383" s="5"/>
      <c r="F1383" s="5" t="s">
        <v>2816</v>
      </c>
      <c r="G1383" s="5" t="s">
        <v>2817</v>
      </c>
      <c r="J1383" s="5" t="s">
        <v>3828</v>
      </c>
      <c r="K1383" s="5" t="s">
        <v>3829</v>
      </c>
    </row>
    <row r="1384" spans="2:11">
      <c r="B1384" s="5"/>
      <c r="F1384" s="5" t="s">
        <v>2818</v>
      </c>
      <c r="G1384" s="5" t="s">
        <v>2819</v>
      </c>
      <c r="J1384" s="5" t="s">
        <v>3830</v>
      </c>
      <c r="K1384" s="5" t="s">
        <v>3831</v>
      </c>
    </row>
    <row r="1385" spans="2:11">
      <c r="B1385" s="5"/>
      <c r="F1385" s="5" t="s">
        <v>2820</v>
      </c>
      <c r="G1385" s="5" t="s">
        <v>2821</v>
      </c>
      <c r="J1385" s="5" t="s">
        <v>3832</v>
      </c>
      <c r="K1385" s="5" t="s">
        <v>3833</v>
      </c>
    </row>
    <row r="1386" spans="2:11">
      <c r="B1386" s="5"/>
      <c r="F1386" s="5" t="s">
        <v>2822</v>
      </c>
      <c r="G1386" s="5" t="s">
        <v>2823</v>
      </c>
      <c r="J1386" s="5" t="s">
        <v>3834</v>
      </c>
      <c r="K1386" s="5" t="s">
        <v>3835</v>
      </c>
    </row>
    <row r="1387" spans="2:11">
      <c r="B1387" s="5"/>
      <c r="F1387" s="5" t="s">
        <v>2824</v>
      </c>
      <c r="G1387" s="5" t="s">
        <v>2825</v>
      </c>
      <c r="J1387" s="5" t="s">
        <v>3836</v>
      </c>
      <c r="K1387" s="5" t="s">
        <v>3837</v>
      </c>
    </row>
    <row r="1388" spans="2:11">
      <c r="B1388" s="5"/>
      <c r="F1388" s="5" t="s">
        <v>2826</v>
      </c>
      <c r="G1388" s="5" t="s">
        <v>2827</v>
      </c>
      <c r="J1388" s="5" t="s">
        <v>3838</v>
      </c>
      <c r="K1388" s="5" t="s">
        <v>3839</v>
      </c>
    </row>
    <row r="1389" spans="2:11">
      <c r="B1389" s="5"/>
      <c r="F1389" s="5" t="s">
        <v>2828</v>
      </c>
      <c r="G1389" s="5" t="s">
        <v>2829</v>
      </c>
      <c r="J1389" s="5" t="s">
        <v>3840</v>
      </c>
      <c r="K1389" s="5" t="s">
        <v>3841</v>
      </c>
    </row>
    <row r="1390" spans="2:11">
      <c r="B1390" s="5"/>
      <c r="F1390" s="5" t="s">
        <v>2830</v>
      </c>
      <c r="G1390" s="5" t="s">
        <v>2831</v>
      </c>
      <c r="J1390" s="5" t="s">
        <v>3842</v>
      </c>
      <c r="K1390" s="5" t="s">
        <v>3843</v>
      </c>
    </row>
    <row r="1391" spans="2:11">
      <c r="B1391" s="5"/>
      <c r="F1391" s="5" t="s">
        <v>2832</v>
      </c>
      <c r="G1391" s="5" t="s">
        <v>2833</v>
      </c>
      <c r="J1391" s="5" t="s">
        <v>3844</v>
      </c>
      <c r="K1391" s="5" t="s">
        <v>3845</v>
      </c>
    </row>
    <row r="1392" spans="2:11">
      <c r="B1392" s="5"/>
      <c r="F1392" s="5" t="s">
        <v>2834</v>
      </c>
      <c r="G1392" s="5" t="s">
        <v>2835</v>
      </c>
      <c r="J1392" s="5" t="s">
        <v>3846</v>
      </c>
      <c r="K1392" s="5" t="s">
        <v>3847</v>
      </c>
    </row>
    <row r="1393" spans="2:11">
      <c r="B1393" s="5"/>
      <c r="F1393" s="5" t="s">
        <v>2836</v>
      </c>
      <c r="G1393" s="5" t="s">
        <v>2837</v>
      </c>
      <c r="J1393" s="5" t="s">
        <v>3848</v>
      </c>
      <c r="K1393" s="5" t="s">
        <v>3849</v>
      </c>
    </row>
    <row r="1394" spans="2:11">
      <c r="B1394" s="5"/>
      <c r="F1394" s="5" t="s">
        <v>2838</v>
      </c>
      <c r="G1394" s="5" t="s">
        <v>2839</v>
      </c>
      <c r="J1394" s="5" t="s">
        <v>3850</v>
      </c>
      <c r="K1394" s="5" t="s">
        <v>3851</v>
      </c>
    </row>
    <row r="1395" spans="2:11">
      <c r="B1395" s="5"/>
      <c r="F1395" s="5" t="s">
        <v>2840</v>
      </c>
      <c r="G1395" s="5" t="s">
        <v>2841</v>
      </c>
      <c r="J1395" s="5" t="s">
        <v>3852</v>
      </c>
      <c r="K1395" s="5" t="s">
        <v>3853</v>
      </c>
    </row>
    <row r="1396" spans="2:11">
      <c r="B1396" s="5"/>
      <c r="F1396" s="5" t="s">
        <v>2842</v>
      </c>
      <c r="G1396" s="5" t="s">
        <v>2843</v>
      </c>
      <c r="J1396" s="5" t="s">
        <v>3854</v>
      </c>
      <c r="K1396" s="5" t="s">
        <v>3855</v>
      </c>
    </row>
    <row r="1397" spans="2:11">
      <c r="B1397" s="5"/>
      <c r="F1397" s="5" t="s">
        <v>2844</v>
      </c>
      <c r="G1397" s="5" t="s">
        <v>2845</v>
      </c>
      <c r="J1397" s="5" t="s">
        <v>3856</v>
      </c>
      <c r="K1397" s="5" t="s">
        <v>3857</v>
      </c>
    </row>
    <row r="1398" spans="2:11">
      <c r="B1398" s="5"/>
      <c r="F1398" s="5" t="s">
        <v>2846</v>
      </c>
      <c r="G1398" s="5" t="s">
        <v>2847</v>
      </c>
      <c r="J1398" s="5" t="s">
        <v>3858</v>
      </c>
      <c r="K1398" s="5" t="s">
        <v>3859</v>
      </c>
    </row>
    <row r="1399" spans="2:11">
      <c r="B1399" s="5"/>
      <c r="F1399" s="5" t="s">
        <v>2848</v>
      </c>
      <c r="G1399" s="5" t="s">
        <v>2849</v>
      </c>
      <c r="J1399" s="5" t="s">
        <v>3860</v>
      </c>
      <c r="K1399" s="5" t="s">
        <v>3861</v>
      </c>
    </row>
    <row r="1400" spans="2:11">
      <c r="B1400" s="5"/>
      <c r="F1400" s="5" t="s">
        <v>2850</v>
      </c>
      <c r="G1400" s="5" t="s">
        <v>2851</v>
      </c>
      <c r="J1400" s="5" t="s">
        <v>3862</v>
      </c>
      <c r="K1400" s="5" t="s">
        <v>3863</v>
      </c>
    </row>
    <row r="1401" spans="2:11">
      <c r="B1401" s="5"/>
      <c r="F1401" s="5" t="s">
        <v>2852</v>
      </c>
      <c r="G1401" s="5" t="s">
        <v>2853</v>
      </c>
      <c r="J1401" s="5" t="s">
        <v>3864</v>
      </c>
      <c r="K1401" s="5" t="s">
        <v>3865</v>
      </c>
    </row>
    <row r="1402" spans="2:11">
      <c r="B1402" s="5"/>
      <c r="F1402" s="5" t="s">
        <v>2854</v>
      </c>
      <c r="G1402" s="5" t="s">
        <v>2855</v>
      </c>
      <c r="J1402" s="5" t="s">
        <v>3866</v>
      </c>
      <c r="K1402" s="5" t="s">
        <v>3867</v>
      </c>
    </row>
    <row r="1403" spans="2:11">
      <c r="B1403" s="5"/>
      <c r="F1403" s="5" t="s">
        <v>2856</v>
      </c>
      <c r="G1403" s="5" t="s">
        <v>2857</v>
      </c>
      <c r="J1403" s="5" t="s">
        <v>3868</v>
      </c>
      <c r="K1403" s="5" t="s">
        <v>3869</v>
      </c>
    </row>
    <row r="1404" spans="2:11">
      <c r="B1404" s="5"/>
      <c r="F1404" s="5" t="s">
        <v>2858</v>
      </c>
      <c r="G1404" s="5" t="s">
        <v>2859</v>
      </c>
      <c r="J1404" s="5" t="s">
        <v>3870</v>
      </c>
      <c r="K1404" s="5" t="s">
        <v>3871</v>
      </c>
    </row>
    <row r="1405" spans="2:11">
      <c r="B1405" s="5"/>
      <c r="F1405" s="5" t="s">
        <v>2860</v>
      </c>
      <c r="G1405" s="5" t="s">
        <v>2861</v>
      </c>
      <c r="J1405" s="5" t="s">
        <v>3872</v>
      </c>
      <c r="K1405" s="5" t="s">
        <v>3873</v>
      </c>
    </row>
    <row r="1406" spans="2:11">
      <c r="B1406" s="5"/>
      <c r="F1406" s="5" t="s">
        <v>2862</v>
      </c>
      <c r="G1406" s="5" t="s">
        <v>2863</v>
      </c>
      <c r="J1406" s="5" t="s">
        <v>3874</v>
      </c>
      <c r="K1406" s="5" t="s">
        <v>3875</v>
      </c>
    </row>
    <row r="1407" spans="2:11">
      <c r="B1407" s="5"/>
      <c r="F1407" s="5" t="s">
        <v>2864</v>
      </c>
      <c r="G1407" s="5" t="s">
        <v>2865</v>
      </c>
      <c r="J1407" s="5" t="s">
        <v>3876</v>
      </c>
      <c r="K1407" s="5" t="s">
        <v>3877</v>
      </c>
    </row>
    <row r="1408" spans="2:11">
      <c r="B1408" s="5"/>
      <c r="F1408" s="5" t="s">
        <v>2866</v>
      </c>
      <c r="G1408" s="5" t="s">
        <v>2867</v>
      </c>
      <c r="J1408" s="5" t="s">
        <v>3878</v>
      </c>
      <c r="K1408" s="5" t="s">
        <v>3879</v>
      </c>
    </row>
    <row r="1409" spans="2:11">
      <c r="B1409" s="5"/>
      <c r="F1409" s="5" t="s">
        <v>2868</v>
      </c>
      <c r="G1409" s="5" t="s">
        <v>2869</v>
      </c>
      <c r="J1409" s="5" t="s">
        <v>3880</v>
      </c>
      <c r="K1409" s="5" t="s">
        <v>3881</v>
      </c>
    </row>
    <row r="1410" spans="2:11">
      <c r="B1410" s="5"/>
      <c r="F1410" s="5" t="s">
        <v>2870</v>
      </c>
      <c r="G1410" s="5" t="s">
        <v>2871</v>
      </c>
      <c r="J1410" s="5" t="s">
        <v>3882</v>
      </c>
      <c r="K1410" s="5" t="s">
        <v>3883</v>
      </c>
    </row>
    <row r="1411" spans="2:11">
      <c r="B1411" s="5"/>
      <c r="F1411" s="5" t="s">
        <v>2872</v>
      </c>
      <c r="G1411" s="5" t="s">
        <v>2873</v>
      </c>
      <c r="J1411" s="5" t="s">
        <v>3884</v>
      </c>
      <c r="K1411" s="5" t="s">
        <v>3885</v>
      </c>
    </row>
    <row r="1412" spans="2:11">
      <c r="B1412" s="5"/>
      <c r="F1412" s="5" t="s">
        <v>2874</v>
      </c>
      <c r="G1412" s="5" t="s">
        <v>2875</v>
      </c>
      <c r="J1412" s="5" t="s">
        <v>3886</v>
      </c>
      <c r="K1412" s="5" t="s">
        <v>3887</v>
      </c>
    </row>
    <row r="1413" spans="2:11">
      <c r="B1413" s="5"/>
      <c r="F1413" s="5" t="s">
        <v>2876</v>
      </c>
      <c r="G1413" s="5" t="s">
        <v>2877</v>
      </c>
      <c r="J1413" s="5" t="s">
        <v>3888</v>
      </c>
      <c r="K1413" s="5" t="s">
        <v>3889</v>
      </c>
    </row>
    <row r="1414" spans="2:11">
      <c r="B1414" s="5"/>
      <c r="F1414" s="5" t="s">
        <v>2878</v>
      </c>
      <c r="G1414" s="5" t="s">
        <v>2879</v>
      </c>
      <c r="J1414" s="5" t="s">
        <v>3890</v>
      </c>
      <c r="K1414" s="5" t="s">
        <v>3891</v>
      </c>
    </row>
    <row r="1415" spans="2:11">
      <c r="B1415" s="5"/>
      <c r="F1415" s="5" t="s">
        <v>2880</v>
      </c>
      <c r="G1415" s="5" t="s">
        <v>2881</v>
      </c>
      <c r="J1415" s="5" t="s">
        <v>3892</v>
      </c>
      <c r="K1415" s="5" t="s">
        <v>3893</v>
      </c>
    </row>
    <row r="1416" spans="2:11">
      <c r="B1416" s="5"/>
      <c r="F1416" s="5" t="s">
        <v>2882</v>
      </c>
      <c r="G1416" s="5" t="s">
        <v>2883</v>
      </c>
      <c r="J1416" s="5" t="s">
        <v>3894</v>
      </c>
      <c r="K1416" s="5" t="s">
        <v>3895</v>
      </c>
    </row>
    <row r="1417" spans="2:11">
      <c r="B1417" s="5"/>
      <c r="F1417" s="5" t="s">
        <v>2884</v>
      </c>
      <c r="G1417" s="5" t="s">
        <v>2885</v>
      </c>
      <c r="J1417" s="5" t="s">
        <v>3896</v>
      </c>
      <c r="K1417" s="5" t="s">
        <v>3897</v>
      </c>
    </row>
    <row r="1418" spans="2:11">
      <c r="B1418" s="5"/>
      <c r="F1418" s="5" t="s">
        <v>2886</v>
      </c>
      <c r="G1418" s="5" t="s">
        <v>2887</v>
      </c>
      <c r="J1418" s="5" t="s">
        <v>3898</v>
      </c>
      <c r="K1418" s="5" t="s">
        <v>3899</v>
      </c>
    </row>
    <row r="1419" spans="2:11">
      <c r="B1419" s="5"/>
      <c r="F1419" s="5" t="s">
        <v>2888</v>
      </c>
      <c r="G1419" s="5" t="s">
        <v>2889</v>
      </c>
      <c r="J1419" s="5" t="s">
        <v>3900</v>
      </c>
      <c r="K1419" s="5" t="s">
        <v>3901</v>
      </c>
    </row>
    <row r="1420" spans="2:11">
      <c r="B1420" s="5"/>
      <c r="F1420" s="5" t="s">
        <v>2890</v>
      </c>
      <c r="G1420" s="5" t="s">
        <v>2891</v>
      </c>
      <c r="J1420" s="5" t="s">
        <v>3902</v>
      </c>
      <c r="K1420" s="5" t="s">
        <v>3903</v>
      </c>
    </row>
    <row r="1421" spans="2:11">
      <c r="B1421" s="5"/>
      <c r="F1421" s="5" t="s">
        <v>2892</v>
      </c>
      <c r="G1421" s="5" t="s">
        <v>2893</v>
      </c>
      <c r="J1421" s="5" t="s">
        <v>3904</v>
      </c>
      <c r="K1421" s="5" t="s">
        <v>3905</v>
      </c>
    </row>
    <row r="1422" spans="2:11">
      <c r="B1422" s="5"/>
      <c r="F1422" s="5" t="s">
        <v>2894</v>
      </c>
      <c r="G1422" s="5" t="s">
        <v>2895</v>
      </c>
      <c r="J1422" s="5" t="s">
        <v>3906</v>
      </c>
      <c r="K1422" s="5" t="s">
        <v>3907</v>
      </c>
    </row>
    <row r="1423" spans="2:11">
      <c r="B1423" s="5"/>
      <c r="F1423" s="5" t="s">
        <v>2896</v>
      </c>
      <c r="G1423" s="5" t="s">
        <v>2897</v>
      </c>
      <c r="J1423" s="5" t="s">
        <v>3908</v>
      </c>
      <c r="K1423" s="5" t="s">
        <v>3909</v>
      </c>
    </row>
    <row r="1424" spans="2:11">
      <c r="B1424" s="5"/>
      <c r="F1424" s="5" t="s">
        <v>2898</v>
      </c>
      <c r="G1424" s="5" t="s">
        <v>2899</v>
      </c>
      <c r="J1424" s="5" t="s">
        <v>3910</v>
      </c>
      <c r="K1424" s="5" t="s">
        <v>3911</v>
      </c>
    </row>
    <row r="1425" spans="2:11">
      <c r="B1425" s="5"/>
      <c r="F1425" s="5" t="s">
        <v>2900</v>
      </c>
      <c r="G1425" s="5" t="s">
        <v>2901</v>
      </c>
      <c r="J1425" s="5" t="s">
        <v>3912</v>
      </c>
      <c r="K1425" s="5" t="s">
        <v>3913</v>
      </c>
    </row>
    <row r="1426" spans="2:11">
      <c r="B1426" s="5"/>
      <c r="F1426" s="5" t="s">
        <v>2902</v>
      </c>
      <c r="G1426" s="5" t="s">
        <v>2903</v>
      </c>
      <c r="J1426" s="5" t="s">
        <v>3914</v>
      </c>
      <c r="K1426" s="5" t="s">
        <v>3915</v>
      </c>
    </row>
    <row r="1427" spans="2:11">
      <c r="B1427" s="5"/>
      <c r="F1427" s="5" t="s">
        <v>2904</v>
      </c>
      <c r="G1427" s="5" t="s">
        <v>2905</v>
      </c>
      <c r="J1427" s="5" t="s">
        <v>3916</v>
      </c>
      <c r="K1427" s="5" t="s">
        <v>3917</v>
      </c>
    </row>
    <row r="1428" spans="2:11">
      <c r="B1428" s="5"/>
      <c r="F1428" s="5" t="s">
        <v>2906</v>
      </c>
      <c r="G1428" s="5" t="s">
        <v>2907</v>
      </c>
      <c r="J1428" s="5" t="s">
        <v>3918</v>
      </c>
      <c r="K1428" s="5" t="s">
        <v>3919</v>
      </c>
    </row>
    <row r="1429" spans="2:11">
      <c r="B1429" s="5"/>
      <c r="F1429" s="5" t="s">
        <v>2908</v>
      </c>
      <c r="G1429" s="5" t="s">
        <v>2909</v>
      </c>
      <c r="J1429" s="5" t="s">
        <v>3920</v>
      </c>
      <c r="K1429" s="5" t="s">
        <v>3921</v>
      </c>
    </row>
    <row r="1430" spans="2:11">
      <c r="B1430" s="5"/>
      <c r="F1430" s="5" t="s">
        <v>2910</v>
      </c>
      <c r="G1430" s="5" t="s">
        <v>2911</v>
      </c>
      <c r="J1430" s="5" t="s">
        <v>3922</v>
      </c>
      <c r="K1430" s="5" t="s">
        <v>3923</v>
      </c>
    </row>
    <row r="1431" spans="2:11">
      <c r="B1431" s="5"/>
      <c r="F1431" s="5" t="s">
        <v>2912</v>
      </c>
      <c r="G1431" s="5" t="s">
        <v>2913</v>
      </c>
      <c r="J1431" s="5" t="s">
        <v>3924</v>
      </c>
      <c r="K1431" s="5" t="s">
        <v>3925</v>
      </c>
    </row>
    <row r="1432" spans="2:11">
      <c r="B1432" s="5"/>
      <c r="F1432" s="5" t="s">
        <v>2914</v>
      </c>
      <c r="G1432" s="5" t="s">
        <v>2915</v>
      </c>
      <c r="J1432" s="5" t="s">
        <v>3926</v>
      </c>
      <c r="K1432" s="5" t="s">
        <v>3927</v>
      </c>
    </row>
    <row r="1433" spans="2:11">
      <c r="B1433" s="5"/>
      <c r="F1433" s="5" t="s">
        <v>2916</v>
      </c>
      <c r="G1433" s="5" t="s">
        <v>2917</v>
      </c>
      <c r="J1433" s="5" t="s">
        <v>3928</v>
      </c>
      <c r="K1433" s="5" t="s">
        <v>3929</v>
      </c>
    </row>
    <row r="1434" spans="2:11">
      <c r="B1434" s="5"/>
      <c r="F1434" s="5" t="s">
        <v>2918</v>
      </c>
      <c r="G1434" s="5" t="s">
        <v>2919</v>
      </c>
      <c r="J1434" s="5" t="s">
        <v>3930</v>
      </c>
      <c r="K1434" s="5" t="s">
        <v>3931</v>
      </c>
    </row>
    <row r="1435" spans="2:11">
      <c r="B1435" s="5"/>
      <c r="F1435" s="5" t="s">
        <v>2920</v>
      </c>
      <c r="G1435" s="5" t="s">
        <v>2921</v>
      </c>
      <c r="J1435" s="5" t="s">
        <v>3932</v>
      </c>
      <c r="K1435" s="5" t="s">
        <v>3933</v>
      </c>
    </row>
    <row r="1436" spans="2:11">
      <c r="B1436" s="5"/>
      <c r="F1436" s="5" t="s">
        <v>2922</v>
      </c>
      <c r="G1436" s="5" t="s">
        <v>2923</v>
      </c>
      <c r="J1436" s="5" t="s">
        <v>3934</v>
      </c>
      <c r="K1436" s="5" t="s">
        <v>3935</v>
      </c>
    </row>
    <row r="1437" spans="2:11">
      <c r="B1437" s="5"/>
      <c r="F1437" s="5" t="s">
        <v>2924</v>
      </c>
      <c r="G1437" s="5" t="s">
        <v>2925</v>
      </c>
      <c r="J1437" s="5" t="s">
        <v>3936</v>
      </c>
      <c r="K1437" s="5" t="s">
        <v>3937</v>
      </c>
    </row>
    <row r="1438" spans="2:11">
      <c r="B1438" s="5"/>
      <c r="F1438" s="5" t="s">
        <v>2926</v>
      </c>
      <c r="G1438" s="5" t="s">
        <v>2927</v>
      </c>
      <c r="J1438" s="5" t="s">
        <v>3938</v>
      </c>
      <c r="K1438" s="5" t="s">
        <v>3939</v>
      </c>
    </row>
    <row r="1439" spans="2:11">
      <c r="B1439" s="5"/>
      <c r="F1439" s="5" t="s">
        <v>2928</v>
      </c>
      <c r="G1439" s="5" t="s">
        <v>2929</v>
      </c>
      <c r="J1439" s="5" t="s">
        <v>3940</v>
      </c>
      <c r="K1439" s="5" t="s">
        <v>3941</v>
      </c>
    </row>
    <row r="1440" spans="2:11">
      <c r="B1440" s="5"/>
      <c r="F1440" s="5" t="s">
        <v>2930</v>
      </c>
      <c r="G1440" s="5" t="s">
        <v>2931</v>
      </c>
      <c r="J1440" s="5" t="s">
        <v>3942</v>
      </c>
      <c r="K1440" s="5" t="s">
        <v>3943</v>
      </c>
    </row>
    <row r="1441" spans="2:11">
      <c r="B1441" s="5"/>
      <c r="F1441" s="5" t="s">
        <v>2932</v>
      </c>
      <c r="G1441" s="5" t="s">
        <v>2933</v>
      </c>
      <c r="J1441" s="5" t="s">
        <v>3944</v>
      </c>
      <c r="K1441" s="5" t="s">
        <v>3945</v>
      </c>
    </row>
    <row r="1442" spans="2:11">
      <c r="B1442" s="5"/>
      <c r="F1442" s="5" t="s">
        <v>2934</v>
      </c>
      <c r="G1442" s="5" t="s">
        <v>2935</v>
      </c>
      <c r="J1442" s="5" t="s">
        <v>3946</v>
      </c>
      <c r="K1442" s="5" t="s">
        <v>3947</v>
      </c>
    </row>
    <row r="1443" spans="2:11">
      <c r="B1443" s="5"/>
      <c r="F1443" s="5" t="s">
        <v>2936</v>
      </c>
      <c r="G1443" s="5" t="s">
        <v>2937</v>
      </c>
      <c r="J1443" s="5" t="s">
        <v>3948</v>
      </c>
      <c r="K1443" s="5" t="s">
        <v>3949</v>
      </c>
    </row>
    <row r="1444" spans="2:11">
      <c r="B1444" s="5"/>
      <c r="F1444" s="5" t="s">
        <v>2938</v>
      </c>
      <c r="G1444" s="5" t="s">
        <v>2939</v>
      </c>
      <c r="J1444" s="5" t="s">
        <v>3950</v>
      </c>
      <c r="K1444" s="5" t="s">
        <v>3951</v>
      </c>
    </row>
    <row r="1445" spans="2:11">
      <c r="B1445" s="5"/>
      <c r="F1445" s="5" t="s">
        <v>2940</v>
      </c>
      <c r="G1445" s="5" t="s">
        <v>2941</v>
      </c>
      <c r="J1445" s="5" t="s">
        <v>3952</v>
      </c>
      <c r="K1445" s="5" t="s">
        <v>3953</v>
      </c>
    </row>
    <row r="1446" spans="2:11">
      <c r="B1446" s="5"/>
      <c r="F1446" s="5" t="s">
        <v>2942</v>
      </c>
      <c r="G1446" s="5" t="s">
        <v>2943</v>
      </c>
      <c r="J1446" s="5" t="s">
        <v>3954</v>
      </c>
      <c r="K1446" s="5" t="s">
        <v>3955</v>
      </c>
    </row>
    <row r="1447" spans="2:11">
      <c r="B1447" s="5"/>
      <c r="F1447" s="5" t="s">
        <v>2944</v>
      </c>
      <c r="G1447" s="5" t="s">
        <v>2945</v>
      </c>
      <c r="J1447" s="5" t="s">
        <v>3956</v>
      </c>
      <c r="K1447" s="5" t="s">
        <v>3957</v>
      </c>
    </row>
    <row r="1448" spans="2:11">
      <c r="B1448" s="5"/>
      <c r="F1448" s="5" t="s">
        <v>2946</v>
      </c>
      <c r="G1448" s="5" t="s">
        <v>2947</v>
      </c>
      <c r="J1448" s="5" t="s">
        <v>3958</v>
      </c>
      <c r="K1448" s="5" t="s">
        <v>3959</v>
      </c>
    </row>
    <row r="1449" spans="2:11">
      <c r="B1449" s="5"/>
      <c r="F1449" s="5" t="s">
        <v>2948</v>
      </c>
      <c r="G1449" s="5" t="s">
        <v>2949</v>
      </c>
      <c r="J1449" s="5" t="s">
        <v>3960</v>
      </c>
      <c r="K1449" s="5" t="s">
        <v>3961</v>
      </c>
    </row>
    <row r="1450" spans="2:11">
      <c r="B1450" s="5"/>
      <c r="F1450" s="5" t="s">
        <v>2950</v>
      </c>
      <c r="G1450" s="5" t="s">
        <v>2951</v>
      </c>
      <c r="J1450" s="5" t="s">
        <v>3962</v>
      </c>
      <c r="K1450" s="5" t="s">
        <v>3963</v>
      </c>
    </row>
    <row r="1451" spans="2:11">
      <c r="B1451" s="5"/>
      <c r="F1451" s="5" t="s">
        <v>2952</v>
      </c>
      <c r="G1451" s="5" t="s">
        <v>2953</v>
      </c>
      <c r="J1451" s="5" t="s">
        <v>3964</v>
      </c>
      <c r="K1451" s="5" t="s">
        <v>3965</v>
      </c>
    </row>
    <row r="1452" spans="2:11">
      <c r="B1452" s="5"/>
      <c r="F1452" s="5" t="s">
        <v>2954</v>
      </c>
      <c r="G1452" s="5" t="s">
        <v>2955</v>
      </c>
      <c r="J1452" s="5" t="s">
        <v>3966</v>
      </c>
      <c r="K1452" s="5" t="s">
        <v>3967</v>
      </c>
    </row>
    <row r="1453" spans="2:11">
      <c r="B1453" s="5"/>
      <c r="F1453" s="5" t="s">
        <v>2956</v>
      </c>
      <c r="G1453" s="5" t="s">
        <v>2957</v>
      </c>
      <c r="J1453" s="5" t="s">
        <v>3968</v>
      </c>
      <c r="K1453" s="5" t="s">
        <v>3969</v>
      </c>
    </row>
    <row r="1454" spans="2:11">
      <c r="B1454" s="5"/>
      <c r="F1454" s="5" t="s">
        <v>2958</v>
      </c>
      <c r="G1454" s="5" t="s">
        <v>2959</v>
      </c>
      <c r="J1454" s="5" t="s">
        <v>3970</v>
      </c>
      <c r="K1454" s="5" t="s">
        <v>3971</v>
      </c>
    </row>
    <row r="1455" spans="2:11">
      <c r="B1455" s="5"/>
      <c r="F1455" s="5" t="s">
        <v>2960</v>
      </c>
      <c r="G1455" s="5" t="s">
        <v>2961</v>
      </c>
      <c r="J1455" s="5" t="s">
        <v>3972</v>
      </c>
      <c r="K1455" s="5" t="s">
        <v>3973</v>
      </c>
    </row>
    <row r="1456" spans="2:11">
      <c r="B1456" s="5"/>
      <c r="F1456" s="5" t="s">
        <v>2962</v>
      </c>
      <c r="G1456" s="5" t="s">
        <v>2963</v>
      </c>
      <c r="J1456" s="5" t="s">
        <v>3974</v>
      </c>
      <c r="K1456" s="5" t="s">
        <v>3975</v>
      </c>
    </row>
    <row r="1457" spans="2:11">
      <c r="B1457" s="5"/>
      <c r="F1457" s="5" t="s">
        <v>2964</v>
      </c>
      <c r="G1457" s="5" t="s">
        <v>2965</v>
      </c>
      <c r="J1457" s="5" t="s">
        <v>3976</v>
      </c>
      <c r="K1457" s="5" t="s">
        <v>3977</v>
      </c>
    </row>
    <row r="1458" spans="2:11">
      <c r="B1458" s="5"/>
      <c r="F1458" s="5" t="s">
        <v>2966</v>
      </c>
      <c r="G1458" s="5" t="s">
        <v>2967</v>
      </c>
      <c r="J1458" s="5" t="s">
        <v>3978</v>
      </c>
      <c r="K1458" s="5" t="s">
        <v>3979</v>
      </c>
    </row>
    <row r="1459" spans="2:11">
      <c r="B1459" s="5"/>
      <c r="F1459" s="5" t="s">
        <v>2968</v>
      </c>
      <c r="G1459" s="5" t="s">
        <v>2969</v>
      </c>
      <c r="J1459" s="5" t="s">
        <v>3980</v>
      </c>
      <c r="K1459" s="5" t="s">
        <v>3981</v>
      </c>
    </row>
    <row r="1460" spans="2:11">
      <c r="B1460" s="5"/>
      <c r="F1460" s="5" t="s">
        <v>2970</v>
      </c>
      <c r="G1460" s="5" t="s">
        <v>2971</v>
      </c>
      <c r="J1460" s="5" t="s">
        <v>3982</v>
      </c>
      <c r="K1460" s="5" t="s">
        <v>3983</v>
      </c>
    </row>
    <row r="1461" spans="2:11">
      <c r="B1461" s="5"/>
      <c r="F1461" s="5" t="s">
        <v>2972</v>
      </c>
      <c r="G1461" s="5" t="s">
        <v>2973</v>
      </c>
      <c r="J1461" s="5" t="s">
        <v>3984</v>
      </c>
      <c r="K1461" s="5" t="s">
        <v>3985</v>
      </c>
    </row>
    <row r="1462" spans="2:11">
      <c r="B1462" s="5"/>
      <c r="F1462" s="5" t="s">
        <v>2974</v>
      </c>
      <c r="G1462" s="5" t="s">
        <v>2975</v>
      </c>
      <c r="J1462" s="5" t="s">
        <v>3986</v>
      </c>
      <c r="K1462" s="5" t="s">
        <v>3987</v>
      </c>
    </row>
    <row r="1463" spans="2:11">
      <c r="B1463" s="5"/>
      <c r="F1463" s="5" t="s">
        <v>2976</v>
      </c>
      <c r="G1463" s="5" t="s">
        <v>2977</v>
      </c>
      <c r="J1463" s="5" t="s">
        <v>3988</v>
      </c>
      <c r="K1463" s="5" t="s">
        <v>3989</v>
      </c>
    </row>
    <row r="1464" spans="2:11">
      <c r="B1464" s="5"/>
      <c r="F1464" s="5" t="s">
        <v>2978</v>
      </c>
      <c r="G1464" s="5" t="s">
        <v>2979</v>
      </c>
      <c r="J1464" s="5" t="s">
        <v>3990</v>
      </c>
      <c r="K1464" s="5" t="s">
        <v>3991</v>
      </c>
    </row>
    <row r="1465" spans="2:11">
      <c r="B1465" s="5"/>
      <c r="F1465" s="5" t="s">
        <v>2980</v>
      </c>
      <c r="G1465" s="5" t="s">
        <v>2981</v>
      </c>
      <c r="J1465" s="5" t="s">
        <v>3992</v>
      </c>
      <c r="K1465" s="5" t="s">
        <v>3993</v>
      </c>
    </row>
    <row r="1466" spans="2:11">
      <c r="B1466" s="5"/>
      <c r="F1466" s="5" t="s">
        <v>2982</v>
      </c>
      <c r="G1466" s="5" t="s">
        <v>2983</v>
      </c>
      <c r="J1466" s="5" t="s">
        <v>3994</v>
      </c>
      <c r="K1466" s="5" t="s">
        <v>3995</v>
      </c>
    </row>
    <row r="1467" spans="2:11">
      <c r="B1467" s="5"/>
      <c r="F1467" s="5" t="s">
        <v>2984</v>
      </c>
      <c r="G1467" s="5" t="s">
        <v>2985</v>
      </c>
      <c r="J1467" s="5" t="s">
        <v>3996</v>
      </c>
      <c r="K1467" s="5" t="s">
        <v>3997</v>
      </c>
    </row>
    <row r="1468" spans="2:11">
      <c r="B1468" s="5"/>
      <c r="F1468" s="5" t="s">
        <v>2986</v>
      </c>
      <c r="G1468" s="5" t="s">
        <v>2987</v>
      </c>
      <c r="J1468" s="5" t="s">
        <v>3998</v>
      </c>
      <c r="K1468" s="5" t="s">
        <v>3999</v>
      </c>
    </row>
    <row r="1469" spans="2:11">
      <c r="B1469" s="5"/>
      <c r="F1469" s="5" t="s">
        <v>2988</v>
      </c>
      <c r="G1469" s="5" t="s">
        <v>2989</v>
      </c>
      <c r="J1469" s="5" t="s">
        <v>4000</v>
      </c>
      <c r="K1469" s="5" t="s">
        <v>4001</v>
      </c>
    </row>
    <row r="1470" spans="2:11">
      <c r="B1470" s="5"/>
      <c r="F1470" s="5" t="s">
        <v>2990</v>
      </c>
      <c r="G1470" s="5" t="s">
        <v>2991</v>
      </c>
      <c r="J1470" s="5" t="s">
        <v>4002</v>
      </c>
      <c r="K1470" s="5" t="s">
        <v>4003</v>
      </c>
    </row>
    <row r="1471" spans="2:11">
      <c r="B1471" s="5"/>
      <c r="F1471" s="5" t="s">
        <v>2992</v>
      </c>
      <c r="G1471" s="5" t="s">
        <v>2993</v>
      </c>
      <c r="J1471" s="5" t="s">
        <v>4004</v>
      </c>
      <c r="K1471" s="5" t="s">
        <v>4005</v>
      </c>
    </row>
    <row r="1472" spans="2:11">
      <c r="B1472" s="5"/>
      <c r="F1472" s="5" t="s">
        <v>2994</v>
      </c>
      <c r="G1472" s="5" t="s">
        <v>2995</v>
      </c>
      <c r="J1472" s="5" t="s">
        <v>4006</v>
      </c>
      <c r="K1472" s="5" t="s">
        <v>4007</v>
      </c>
    </row>
    <row r="1473" spans="2:11">
      <c r="B1473" s="5"/>
      <c r="F1473" s="5" t="s">
        <v>2996</v>
      </c>
      <c r="G1473" s="5" t="s">
        <v>2997</v>
      </c>
      <c r="J1473" s="5" t="s">
        <v>4008</v>
      </c>
      <c r="K1473" s="5" t="s">
        <v>4009</v>
      </c>
    </row>
    <row r="1474" spans="2:11">
      <c r="B1474" s="5"/>
      <c r="F1474" s="5" t="s">
        <v>2998</v>
      </c>
      <c r="G1474" s="5" t="s">
        <v>2999</v>
      </c>
      <c r="J1474" s="5" t="s">
        <v>4010</v>
      </c>
      <c r="K1474" s="5" t="s">
        <v>4011</v>
      </c>
    </row>
    <row r="1475" spans="2:11">
      <c r="B1475" s="5"/>
      <c r="F1475" s="5" t="s">
        <v>3000</v>
      </c>
      <c r="G1475" s="5" t="s">
        <v>3001</v>
      </c>
      <c r="J1475" s="5" t="s">
        <v>4012</v>
      </c>
      <c r="K1475" s="5" t="s">
        <v>4013</v>
      </c>
    </row>
    <row r="1476" spans="2:11">
      <c r="B1476" s="5"/>
      <c r="F1476" s="5" t="s">
        <v>3002</v>
      </c>
      <c r="G1476" s="5" t="s">
        <v>3003</v>
      </c>
      <c r="J1476" s="5" t="s">
        <v>4014</v>
      </c>
      <c r="K1476" s="5" t="s">
        <v>4015</v>
      </c>
    </row>
    <row r="1477" spans="2:11">
      <c r="B1477" s="5"/>
      <c r="F1477" s="5" t="s">
        <v>3004</v>
      </c>
      <c r="G1477" s="5" t="s">
        <v>3005</v>
      </c>
      <c r="J1477" s="5" t="s">
        <v>4016</v>
      </c>
      <c r="K1477" s="5" t="s">
        <v>4017</v>
      </c>
    </row>
    <row r="1478" spans="2:11">
      <c r="B1478" s="5"/>
      <c r="F1478" s="5" t="s">
        <v>3006</v>
      </c>
      <c r="G1478" s="5" t="s">
        <v>3007</v>
      </c>
      <c r="J1478" s="5" t="s">
        <v>4018</v>
      </c>
      <c r="K1478" s="5" t="s">
        <v>4019</v>
      </c>
    </row>
    <row r="1479" spans="2:11">
      <c r="B1479" s="5"/>
      <c r="F1479" s="5" t="s">
        <v>3008</v>
      </c>
      <c r="G1479" s="5" t="s">
        <v>3009</v>
      </c>
      <c r="J1479" s="5" t="s">
        <v>4020</v>
      </c>
      <c r="K1479" s="5" t="s">
        <v>4021</v>
      </c>
    </row>
    <row r="1480" spans="2:11">
      <c r="B1480" s="5"/>
      <c r="F1480" s="5" t="s">
        <v>3010</v>
      </c>
      <c r="G1480" s="5" t="s">
        <v>3011</v>
      </c>
      <c r="J1480" s="5" t="s">
        <v>4022</v>
      </c>
      <c r="K1480" s="5" t="s">
        <v>4023</v>
      </c>
    </row>
    <row r="1481" spans="2:11">
      <c r="B1481" s="5"/>
      <c r="F1481" s="5" t="s">
        <v>3012</v>
      </c>
      <c r="G1481" s="5" t="s">
        <v>3013</v>
      </c>
      <c r="J1481" s="5" t="s">
        <v>4024</v>
      </c>
      <c r="K1481" s="5" t="s">
        <v>4025</v>
      </c>
    </row>
    <row r="1482" spans="2:11">
      <c r="B1482" s="5"/>
      <c r="F1482" s="5" t="s">
        <v>3014</v>
      </c>
      <c r="G1482" s="5" t="s">
        <v>3015</v>
      </c>
      <c r="J1482" s="5" t="s">
        <v>4026</v>
      </c>
      <c r="K1482" s="5" t="s">
        <v>4027</v>
      </c>
    </row>
    <row r="1483" spans="2:11">
      <c r="B1483" s="5"/>
      <c r="F1483" s="5" t="s">
        <v>3016</v>
      </c>
      <c r="G1483" s="5" t="s">
        <v>3017</v>
      </c>
      <c r="J1483" s="5" t="s">
        <v>4028</v>
      </c>
      <c r="K1483" s="5" t="s">
        <v>4029</v>
      </c>
    </row>
    <row r="1484" spans="2:11">
      <c r="B1484" s="5"/>
      <c r="F1484" s="5" t="s">
        <v>3018</v>
      </c>
      <c r="G1484" s="5" t="s">
        <v>3019</v>
      </c>
      <c r="J1484" s="5" t="s">
        <v>4030</v>
      </c>
      <c r="K1484" s="5" t="s">
        <v>4031</v>
      </c>
    </row>
    <row r="1485" spans="2:11">
      <c r="B1485" s="5"/>
      <c r="F1485" s="5" t="s">
        <v>3020</v>
      </c>
      <c r="G1485" s="5" t="s">
        <v>3021</v>
      </c>
      <c r="J1485" s="5" t="s">
        <v>4032</v>
      </c>
      <c r="K1485" s="5" t="s">
        <v>4033</v>
      </c>
    </row>
    <row r="1486" spans="2:11">
      <c r="B1486" s="5"/>
      <c r="F1486" s="5" t="s">
        <v>3022</v>
      </c>
      <c r="G1486" s="5" t="s">
        <v>3023</v>
      </c>
      <c r="J1486" s="5" t="s">
        <v>4034</v>
      </c>
      <c r="K1486" s="5" t="s">
        <v>4035</v>
      </c>
    </row>
    <row r="1487" spans="2:11">
      <c r="B1487" s="5"/>
      <c r="F1487" s="5" t="s">
        <v>3024</v>
      </c>
      <c r="G1487" s="5" t="s">
        <v>3025</v>
      </c>
      <c r="J1487" s="5" t="s">
        <v>4036</v>
      </c>
      <c r="K1487" s="5" t="s">
        <v>4037</v>
      </c>
    </row>
    <row r="1488" spans="2:11">
      <c r="B1488" s="5"/>
      <c r="F1488" s="5" t="s">
        <v>3026</v>
      </c>
      <c r="G1488" s="5" t="s">
        <v>3027</v>
      </c>
      <c r="J1488" s="5" t="s">
        <v>4038</v>
      </c>
      <c r="K1488" s="5" t="s">
        <v>4039</v>
      </c>
    </row>
    <row r="1489" spans="2:11">
      <c r="B1489" s="5"/>
      <c r="F1489" s="5" t="s">
        <v>3028</v>
      </c>
      <c r="G1489" s="5" t="s">
        <v>3029</v>
      </c>
      <c r="J1489" s="5" t="s">
        <v>4040</v>
      </c>
      <c r="K1489" s="5" t="s">
        <v>4041</v>
      </c>
    </row>
    <row r="1490" spans="2:11">
      <c r="B1490" s="5"/>
      <c r="F1490" s="5" t="s">
        <v>3030</v>
      </c>
      <c r="G1490" s="5" t="s">
        <v>3031</v>
      </c>
      <c r="J1490" s="5" t="s">
        <v>4042</v>
      </c>
      <c r="K1490" s="5" t="s">
        <v>4043</v>
      </c>
    </row>
    <row r="1491" spans="2:11">
      <c r="B1491" s="5"/>
      <c r="F1491" s="5" t="s">
        <v>3032</v>
      </c>
      <c r="G1491" s="5" t="s">
        <v>3033</v>
      </c>
      <c r="J1491" s="5" t="s">
        <v>4044</v>
      </c>
      <c r="K1491" s="5" t="s">
        <v>4045</v>
      </c>
    </row>
    <row r="1492" spans="2:11">
      <c r="B1492" s="5"/>
      <c r="F1492" s="5" t="s">
        <v>3034</v>
      </c>
      <c r="G1492" s="5" t="s">
        <v>3035</v>
      </c>
      <c r="J1492" s="5" t="s">
        <v>4046</v>
      </c>
      <c r="K1492" s="5" t="s">
        <v>4047</v>
      </c>
    </row>
    <row r="1493" spans="2:11">
      <c r="B1493" s="5"/>
      <c r="F1493" s="5" t="s">
        <v>3036</v>
      </c>
      <c r="G1493" s="5" t="s">
        <v>3037</v>
      </c>
      <c r="J1493" s="5" t="s">
        <v>4048</v>
      </c>
      <c r="K1493" s="5" t="s">
        <v>4049</v>
      </c>
    </row>
    <row r="1494" spans="2:11">
      <c r="B1494" s="5"/>
      <c r="F1494" s="5" t="s">
        <v>3038</v>
      </c>
      <c r="G1494" s="5" t="s">
        <v>3039</v>
      </c>
      <c r="J1494" s="5" t="s">
        <v>4050</v>
      </c>
      <c r="K1494" s="5" t="s">
        <v>4051</v>
      </c>
    </row>
    <row r="1495" spans="2:11">
      <c r="B1495" s="5"/>
      <c r="F1495" s="5" t="s">
        <v>3040</v>
      </c>
      <c r="G1495" s="5" t="s">
        <v>3041</v>
      </c>
      <c r="J1495" s="5" t="s">
        <v>4052</v>
      </c>
      <c r="K1495" s="5" t="s">
        <v>4053</v>
      </c>
    </row>
    <row r="1496" spans="2:11">
      <c r="B1496" s="5"/>
      <c r="F1496" s="5" t="s">
        <v>3042</v>
      </c>
      <c r="G1496" s="5" t="s">
        <v>3043</v>
      </c>
      <c r="J1496" s="5" t="s">
        <v>4054</v>
      </c>
      <c r="K1496" s="5" t="s">
        <v>4055</v>
      </c>
    </row>
    <row r="1497" spans="2:11">
      <c r="B1497" s="5"/>
      <c r="F1497" s="5" t="s">
        <v>3044</v>
      </c>
      <c r="G1497" s="5" t="s">
        <v>3045</v>
      </c>
      <c r="J1497" s="5" t="s">
        <v>4056</v>
      </c>
      <c r="K1497" s="5" t="s">
        <v>4057</v>
      </c>
    </row>
    <row r="1498" spans="2:11">
      <c r="B1498" s="5"/>
      <c r="F1498" s="5" t="s">
        <v>3046</v>
      </c>
      <c r="G1498" s="5" t="s">
        <v>3047</v>
      </c>
      <c r="J1498" s="5" t="s">
        <v>4058</v>
      </c>
      <c r="K1498" s="5" t="s">
        <v>4059</v>
      </c>
    </row>
    <row r="1499" spans="2:11">
      <c r="B1499" s="5"/>
      <c r="F1499" s="5" t="s">
        <v>3048</v>
      </c>
      <c r="G1499" s="5" t="s">
        <v>3049</v>
      </c>
      <c r="J1499" s="5" t="s">
        <v>4060</v>
      </c>
      <c r="K1499" s="5" t="s">
        <v>4061</v>
      </c>
    </row>
    <row r="1500" spans="2:11">
      <c r="B1500" s="5"/>
      <c r="F1500" s="5" t="s">
        <v>3050</v>
      </c>
      <c r="G1500" s="5" t="s">
        <v>3051</v>
      </c>
      <c r="J1500" s="5" t="s">
        <v>4062</v>
      </c>
      <c r="K1500" s="5" t="s">
        <v>4063</v>
      </c>
    </row>
    <row r="1501" spans="2:11">
      <c r="B1501" s="5"/>
      <c r="F1501" s="5" t="s">
        <v>3052</v>
      </c>
      <c r="G1501" s="5" t="s">
        <v>3053</v>
      </c>
      <c r="J1501" s="5" t="s">
        <v>4064</v>
      </c>
      <c r="K1501" s="5" t="s">
        <v>4065</v>
      </c>
    </row>
    <row r="1502" spans="2:11">
      <c r="B1502" s="5"/>
      <c r="F1502" s="5" t="s">
        <v>3054</v>
      </c>
      <c r="G1502" s="5" t="s">
        <v>3055</v>
      </c>
      <c r="J1502" s="5" t="s">
        <v>4066</v>
      </c>
      <c r="K1502" s="5" t="s">
        <v>4067</v>
      </c>
    </row>
    <row r="1503" spans="2:11">
      <c r="B1503" s="5"/>
      <c r="F1503" s="5" t="s">
        <v>3056</v>
      </c>
      <c r="G1503" s="5" t="s">
        <v>3057</v>
      </c>
      <c r="J1503" s="5" t="s">
        <v>4068</v>
      </c>
      <c r="K1503" s="5" t="s">
        <v>4069</v>
      </c>
    </row>
    <row r="1504" spans="2:11">
      <c r="B1504" s="5"/>
      <c r="F1504" s="5" t="s">
        <v>3058</v>
      </c>
      <c r="G1504" s="5" t="s">
        <v>3059</v>
      </c>
      <c r="J1504" s="5" t="s">
        <v>4070</v>
      </c>
      <c r="K1504" s="5" t="s">
        <v>4071</v>
      </c>
    </row>
    <row r="1505" spans="2:11">
      <c r="B1505" s="5"/>
      <c r="F1505" s="5" t="s">
        <v>3060</v>
      </c>
      <c r="G1505" s="5" t="s">
        <v>3061</v>
      </c>
      <c r="J1505" s="5" t="s">
        <v>4072</v>
      </c>
      <c r="K1505" s="5" t="s">
        <v>4073</v>
      </c>
    </row>
    <row r="1506" spans="2:11">
      <c r="B1506" s="5"/>
      <c r="F1506" s="5" t="s">
        <v>3062</v>
      </c>
      <c r="G1506" s="5" t="s">
        <v>3063</v>
      </c>
      <c r="J1506" s="5" t="s">
        <v>4074</v>
      </c>
      <c r="K1506" s="5" t="s">
        <v>4075</v>
      </c>
    </row>
    <row r="1507" spans="2:11">
      <c r="B1507" s="5"/>
      <c r="F1507" s="5" t="s">
        <v>3064</v>
      </c>
      <c r="G1507" s="5" t="s">
        <v>3065</v>
      </c>
      <c r="J1507" s="5" t="s">
        <v>4076</v>
      </c>
      <c r="K1507" s="5" t="s">
        <v>4077</v>
      </c>
    </row>
    <row r="1508" spans="2:11">
      <c r="B1508" s="5"/>
      <c r="F1508" s="5" t="s">
        <v>3066</v>
      </c>
      <c r="G1508" s="5" t="s">
        <v>3067</v>
      </c>
      <c r="J1508" s="5" t="s">
        <v>4078</v>
      </c>
      <c r="K1508" s="5" t="s">
        <v>4079</v>
      </c>
    </row>
    <row r="1509" spans="2:11">
      <c r="B1509" s="5"/>
      <c r="F1509" s="5" t="s">
        <v>3068</v>
      </c>
      <c r="G1509" s="5" t="s">
        <v>3069</v>
      </c>
      <c r="J1509" s="5" t="s">
        <v>4080</v>
      </c>
      <c r="K1509" s="5" t="s">
        <v>4081</v>
      </c>
    </row>
    <row r="1510" spans="2:11">
      <c r="B1510" s="5"/>
      <c r="F1510" s="5" t="s">
        <v>3070</v>
      </c>
      <c r="G1510" s="5" t="s">
        <v>3071</v>
      </c>
      <c r="J1510" s="5" t="s">
        <v>4082</v>
      </c>
      <c r="K1510" s="5" t="s">
        <v>4083</v>
      </c>
    </row>
    <row r="1511" spans="2:11">
      <c r="B1511" s="5"/>
      <c r="F1511" s="5" t="s">
        <v>3072</v>
      </c>
      <c r="G1511" s="5" t="s">
        <v>3073</v>
      </c>
      <c r="J1511" s="5" t="s">
        <v>4084</v>
      </c>
      <c r="K1511" s="5" t="s">
        <v>4085</v>
      </c>
    </row>
    <row r="1512" spans="2:11">
      <c r="B1512" s="5"/>
      <c r="F1512" s="5" t="s">
        <v>3074</v>
      </c>
      <c r="G1512" s="5" t="s">
        <v>3075</v>
      </c>
      <c r="J1512" s="5" t="s">
        <v>4086</v>
      </c>
      <c r="K1512" s="5" t="s">
        <v>4087</v>
      </c>
    </row>
    <row r="1513" spans="2:11">
      <c r="B1513" s="5"/>
      <c r="F1513" s="5" t="s">
        <v>3076</v>
      </c>
      <c r="G1513" s="5" t="s">
        <v>3077</v>
      </c>
      <c r="J1513" s="5" t="s">
        <v>4088</v>
      </c>
      <c r="K1513" s="5" t="s">
        <v>4089</v>
      </c>
    </row>
    <row r="1514" spans="2:11">
      <c r="B1514" s="5"/>
      <c r="F1514" s="5" t="s">
        <v>3078</v>
      </c>
      <c r="G1514" s="5" t="s">
        <v>3079</v>
      </c>
      <c r="J1514" s="5" t="s">
        <v>4090</v>
      </c>
      <c r="K1514" s="5" t="s">
        <v>4091</v>
      </c>
    </row>
    <row r="1515" spans="2:11">
      <c r="B1515" s="5"/>
      <c r="F1515" s="5" t="s">
        <v>3080</v>
      </c>
      <c r="G1515" s="5" t="s">
        <v>3081</v>
      </c>
      <c r="J1515" s="5" t="s">
        <v>4092</v>
      </c>
      <c r="K1515" s="5" t="s">
        <v>4093</v>
      </c>
    </row>
    <row r="1516" spans="2:11">
      <c r="B1516" s="5"/>
      <c r="F1516" s="5" t="s">
        <v>3082</v>
      </c>
      <c r="G1516" s="5" t="s">
        <v>3083</v>
      </c>
      <c r="J1516" s="5" t="s">
        <v>4094</v>
      </c>
      <c r="K1516" s="5" t="s">
        <v>4095</v>
      </c>
    </row>
    <row r="1517" spans="2:11">
      <c r="B1517" s="5"/>
      <c r="F1517" s="5" t="s">
        <v>3084</v>
      </c>
      <c r="G1517" s="5" t="s">
        <v>3085</v>
      </c>
      <c r="J1517" s="5" t="s">
        <v>4096</v>
      </c>
      <c r="K1517" s="5" t="s">
        <v>4097</v>
      </c>
    </row>
    <row r="1518" spans="2:11">
      <c r="B1518" s="5"/>
      <c r="F1518" s="5" t="s">
        <v>3086</v>
      </c>
      <c r="G1518" s="5" t="s">
        <v>3087</v>
      </c>
      <c r="J1518" s="5" t="s">
        <v>4098</v>
      </c>
      <c r="K1518" s="5" t="s">
        <v>4099</v>
      </c>
    </row>
    <row r="1519" spans="2:11">
      <c r="B1519" s="5"/>
      <c r="F1519" s="5" t="s">
        <v>3088</v>
      </c>
      <c r="G1519" s="5" t="s">
        <v>3089</v>
      </c>
      <c r="J1519" s="5" t="s">
        <v>4100</v>
      </c>
      <c r="K1519" s="5" t="s">
        <v>4101</v>
      </c>
    </row>
    <row r="1520" spans="2:11">
      <c r="B1520" s="5"/>
      <c r="F1520" s="5" t="s">
        <v>3090</v>
      </c>
      <c r="G1520" s="5" t="s">
        <v>3091</v>
      </c>
      <c r="J1520" s="5" t="s">
        <v>4102</v>
      </c>
      <c r="K1520" s="5" t="s">
        <v>4103</v>
      </c>
    </row>
    <row r="1521" spans="2:11">
      <c r="B1521" s="5"/>
      <c r="F1521" s="5" t="s">
        <v>3092</v>
      </c>
      <c r="G1521" s="5" t="s">
        <v>3093</v>
      </c>
      <c r="J1521" s="5" t="s">
        <v>4104</v>
      </c>
      <c r="K1521" s="5" t="s">
        <v>4105</v>
      </c>
    </row>
    <row r="1522" spans="2:11">
      <c r="B1522" s="5"/>
      <c r="F1522" s="5" t="s">
        <v>3094</v>
      </c>
      <c r="G1522" s="5" t="s">
        <v>3095</v>
      </c>
      <c r="J1522" s="5" t="s">
        <v>4106</v>
      </c>
      <c r="K1522" s="5" t="s">
        <v>4107</v>
      </c>
    </row>
    <row r="1523" spans="2:11">
      <c r="B1523" s="5"/>
      <c r="F1523" s="5" t="s">
        <v>3096</v>
      </c>
      <c r="G1523" s="5" t="s">
        <v>3097</v>
      </c>
      <c r="J1523" s="5" t="s">
        <v>4108</v>
      </c>
      <c r="K1523" s="5" t="s">
        <v>4109</v>
      </c>
    </row>
    <row r="1524" spans="2:11">
      <c r="B1524" s="5"/>
      <c r="F1524" s="5" t="s">
        <v>3098</v>
      </c>
      <c r="G1524" s="5" t="s">
        <v>3099</v>
      </c>
      <c r="J1524" s="5" t="s">
        <v>4110</v>
      </c>
      <c r="K1524" s="5" t="s">
        <v>4111</v>
      </c>
    </row>
    <row r="1525" spans="2:11">
      <c r="B1525" s="5"/>
      <c r="F1525" s="5" t="s">
        <v>3100</v>
      </c>
      <c r="G1525" s="5" t="s">
        <v>3101</v>
      </c>
      <c r="J1525" s="5" t="s">
        <v>4112</v>
      </c>
      <c r="K1525" s="5" t="s">
        <v>4113</v>
      </c>
    </row>
    <row r="1526" spans="2:11">
      <c r="B1526" s="5"/>
      <c r="F1526" s="5" t="s">
        <v>3102</v>
      </c>
      <c r="G1526" s="5" t="s">
        <v>3103</v>
      </c>
      <c r="J1526" s="5" t="s">
        <v>4114</v>
      </c>
      <c r="K1526" s="5" t="s">
        <v>4115</v>
      </c>
    </row>
    <row r="1527" spans="2:11">
      <c r="B1527" s="5"/>
      <c r="F1527" s="5" t="s">
        <v>3104</v>
      </c>
      <c r="G1527" s="5" t="s">
        <v>3105</v>
      </c>
      <c r="J1527" s="5" t="s">
        <v>4116</v>
      </c>
      <c r="K1527" s="5" t="s">
        <v>4117</v>
      </c>
    </row>
    <row r="1528" spans="2:11">
      <c r="B1528" s="5"/>
      <c r="F1528" s="5" t="s">
        <v>3106</v>
      </c>
      <c r="G1528" s="5" t="s">
        <v>3107</v>
      </c>
      <c r="J1528" s="5" t="s">
        <v>4118</v>
      </c>
      <c r="K1528" s="5" t="s">
        <v>4119</v>
      </c>
    </row>
    <row r="1529" spans="2:11">
      <c r="B1529" s="5"/>
      <c r="F1529" s="5" t="s">
        <v>3108</v>
      </c>
      <c r="G1529" s="5" t="s">
        <v>3109</v>
      </c>
      <c r="J1529" s="5" t="s">
        <v>4120</v>
      </c>
      <c r="K1529" s="5" t="s">
        <v>4121</v>
      </c>
    </row>
    <row r="1530" spans="2:11">
      <c r="B1530" s="5"/>
      <c r="F1530" s="5" t="s">
        <v>3110</v>
      </c>
      <c r="G1530" s="5" t="s">
        <v>3111</v>
      </c>
      <c r="J1530" s="5" t="s">
        <v>4122</v>
      </c>
      <c r="K1530" s="5" t="s">
        <v>4123</v>
      </c>
    </row>
    <row r="1531" spans="2:11">
      <c r="B1531" s="5"/>
      <c r="F1531" s="5" t="s">
        <v>3112</v>
      </c>
      <c r="G1531" s="5" t="s">
        <v>3113</v>
      </c>
      <c r="J1531" s="5" t="s">
        <v>4124</v>
      </c>
      <c r="K1531" s="5" t="s">
        <v>4125</v>
      </c>
    </row>
    <row r="1532" spans="2:11">
      <c r="B1532" s="5"/>
      <c r="F1532" s="5" t="s">
        <v>3114</v>
      </c>
      <c r="G1532" s="5" t="s">
        <v>3115</v>
      </c>
      <c r="J1532" s="5" t="s">
        <v>4126</v>
      </c>
      <c r="K1532" s="5" t="s">
        <v>4127</v>
      </c>
    </row>
    <row r="1533" spans="2:11">
      <c r="B1533" s="5"/>
      <c r="F1533" s="5" t="s">
        <v>3116</v>
      </c>
      <c r="G1533" s="5" t="s">
        <v>3117</v>
      </c>
      <c r="J1533" s="5" t="s">
        <v>4128</v>
      </c>
      <c r="K1533" s="5" t="s">
        <v>4129</v>
      </c>
    </row>
    <row r="1534" spans="2:11">
      <c r="B1534" s="5"/>
      <c r="F1534" s="5" t="s">
        <v>3118</v>
      </c>
      <c r="G1534" s="5" t="s">
        <v>3119</v>
      </c>
      <c r="J1534" s="5" t="s">
        <v>4130</v>
      </c>
      <c r="K1534" s="5" t="s">
        <v>4131</v>
      </c>
    </row>
    <row r="1535" spans="2:11">
      <c r="B1535" s="5"/>
      <c r="F1535" s="5" t="s">
        <v>3120</v>
      </c>
      <c r="G1535" s="5" t="s">
        <v>3121</v>
      </c>
      <c r="J1535" s="5" t="s">
        <v>4132</v>
      </c>
      <c r="K1535" s="5" t="s">
        <v>4133</v>
      </c>
    </row>
    <row r="1536" spans="2:11">
      <c r="B1536" s="5"/>
      <c r="F1536" s="5" t="s">
        <v>3122</v>
      </c>
      <c r="G1536" s="5" t="s">
        <v>3123</v>
      </c>
      <c r="J1536" s="5" t="s">
        <v>4134</v>
      </c>
      <c r="K1536" s="5" t="s">
        <v>4135</v>
      </c>
    </row>
    <row r="1537" spans="2:11">
      <c r="B1537" s="5"/>
      <c r="F1537" s="5" t="s">
        <v>3124</v>
      </c>
      <c r="G1537" s="5" t="s">
        <v>3125</v>
      </c>
      <c r="J1537" s="5" t="s">
        <v>4136</v>
      </c>
      <c r="K1537" s="5" t="s">
        <v>4137</v>
      </c>
    </row>
    <row r="1538" spans="2:11">
      <c r="B1538" s="5"/>
      <c r="F1538" s="5" t="s">
        <v>3126</v>
      </c>
      <c r="G1538" s="5" t="s">
        <v>3127</v>
      </c>
      <c r="J1538" s="5" t="s">
        <v>4138</v>
      </c>
      <c r="K1538" s="5" t="s">
        <v>4139</v>
      </c>
    </row>
    <row r="1539" spans="2:11">
      <c r="B1539" s="5"/>
      <c r="F1539" s="5" t="s">
        <v>3128</v>
      </c>
      <c r="G1539" s="5" t="s">
        <v>3129</v>
      </c>
      <c r="J1539" s="5" t="s">
        <v>4140</v>
      </c>
      <c r="K1539" s="5" t="s">
        <v>4141</v>
      </c>
    </row>
    <row r="1540" spans="2:11">
      <c r="B1540" s="5"/>
      <c r="F1540" s="5" t="s">
        <v>3130</v>
      </c>
      <c r="G1540" s="5" t="s">
        <v>3131</v>
      </c>
      <c r="J1540" s="5" t="s">
        <v>4142</v>
      </c>
      <c r="K1540" s="5" t="s">
        <v>4143</v>
      </c>
    </row>
    <row r="1541" spans="2:11">
      <c r="B1541" s="5"/>
      <c r="F1541" s="5" t="s">
        <v>3132</v>
      </c>
      <c r="G1541" s="5" t="s">
        <v>3133</v>
      </c>
      <c r="J1541" s="5" t="s">
        <v>4144</v>
      </c>
      <c r="K1541" s="5" t="s">
        <v>4145</v>
      </c>
    </row>
    <row r="1542" spans="2:11">
      <c r="B1542" s="5"/>
      <c r="F1542" s="5" t="s">
        <v>3134</v>
      </c>
      <c r="G1542" s="5" t="s">
        <v>3135</v>
      </c>
      <c r="J1542" s="5" t="s">
        <v>4146</v>
      </c>
      <c r="K1542" s="5" t="s">
        <v>4147</v>
      </c>
    </row>
    <row r="1543" spans="2:11">
      <c r="B1543" s="5"/>
      <c r="F1543" s="5" t="s">
        <v>3136</v>
      </c>
      <c r="G1543" s="5" t="s">
        <v>3137</v>
      </c>
      <c r="J1543" s="5" t="s">
        <v>4148</v>
      </c>
      <c r="K1543" s="5" t="s">
        <v>4149</v>
      </c>
    </row>
    <row r="1544" spans="2:11">
      <c r="B1544" s="5"/>
      <c r="F1544" s="5" t="s">
        <v>3138</v>
      </c>
      <c r="G1544" s="5" t="s">
        <v>3139</v>
      </c>
      <c r="J1544" s="5" t="s">
        <v>4150</v>
      </c>
      <c r="K1544" s="5" t="s">
        <v>4151</v>
      </c>
    </row>
    <row r="1545" spans="2:11">
      <c r="B1545" s="5"/>
      <c r="F1545" s="5" t="s">
        <v>3140</v>
      </c>
      <c r="G1545" s="5" t="s">
        <v>3141</v>
      </c>
      <c r="J1545" s="5" t="s">
        <v>4152</v>
      </c>
      <c r="K1545" s="5" t="s">
        <v>4153</v>
      </c>
    </row>
    <row r="1546" spans="2:11">
      <c r="B1546" s="5"/>
      <c r="F1546" s="5" t="s">
        <v>3142</v>
      </c>
      <c r="G1546" s="5" t="s">
        <v>3143</v>
      </c>
      <c r="J1546" s="5" t="s">
        <v>4154</v>
      </c>
      <c r="K1546" s="5" t="s">
        <v>4155</v>
      </c>
    </row>
    <row r="1547" spans="2:11">
      <c r="B1547" s="5"/>
      <c r="F1547" s="5" t="s">
        <v>3144</v>
      </c>
      <c r="G1547" s="5" t="s">
        <v>3145</v>
      </c>
      <c r="J1547" s="5" t="s">
        <v>4156</v>
      </c>
      <c r="K1547" s="5" t="s">
        <v>4157</v>
      </c>
    </row>
    <row r="1548" spans="2:11">
      <c r="B1548" s="5"/>
      <c r="F1548" s="5" t="s">
        <v>3146</v>
      </c>
      <c r="G1548" s="5" t="s">
        <v>3147</v>
      </c>
      <c r="J1548" s="5" t="s">
        <v>4158</v>
      </c>
      <c r="K1548" s="5" t="s">
        <v>4159</v>
      </c>
    </row>
    <row r="1549" spans="2:11">
      <c r="B1549" s="5"/>
      <c r="F1549" s="5" t="s">
        <v>3148</v>
      </c>
      <c r="G1549" s="5" t="s">
        <v>3149</v>
      </c>
      <c r="J1549" s="5" t="s">
        <v>4160</v>
      </c>
      <c r="K1549" s="5" t="s">
        <v>4161</v>
      </c>
    </row>
    <row r="1550" spans="2:11">
      <c r="B1550" s="5"/>
      <c r="F1550" s="5" t="s">
        <v>3150</v>
      </c>
      <c r="G1550" s="5" t="s">
        <v>3151</v>
      </c>
      <c r="J1550" s="5" t="s">
        <v>4162</v>
      </c>
      <c r="K1550" s="5" t="s">
        <v>4163</v>
      </c>
    </row>
    <row r="1551" spans="2:11">
      <c r="B1551" s="5"/>
      <c r="F1551" s="5" t="s">
        <v>3152</v>
      </c>
      <c r="G1551" s="5" t="s">
        <v>3153</v>
      </c>
      <c r="J1551" s="5" t="s">
        <v>4164</v>
      </c>
      <c r="K1551" s="5" t="s">
        <v>4165</v>
      </c>
    </row>
    <row r="1552" spans="2:11">
      <c r="B1552" s="5"/>
      <c r="F1552" s="5" t="s">
        <v>3154</v>
      </c>
      <c r="G1552" s="5" t="s">
        <v>3155</v>
      </c>
      <c r="J1552" s="5" t="s">
        <v>4166</v>
      </c>
      <c r="K1552" s="5" t="s">
        <v>4167</v>
      </c>
    </row>
    <row r="1553" spans="2:11">
      <c r="B1553" s="5"/>
      <c r="F1553" s="5" t="s">
        <v>3156</v>
      </c>
      <c r="G1553" s="5" t="s">
        <v>3157</v>
      </c>
      <c r="J1553" s="5" t="s">
        <v>4168</v>
      </c>
      <c r="K1553" s="5" t="s">
        <v>4169</v>
      </c>
    </row>
    <row r="1554" spans="2:11">
      <c r="B1554" s="5"/>
      <c r="F1554" s="5" t="s">
        <v>3158</v>
      </c>
      <c r="G1554" s="5" t="s">
        <v>3159</v>
      </c>
      <c r="J1554" s="5" t="s">
        <v>4170</v>
      </c>
      <c r="K1554" s="5" t="s">
        <v>4171</v>
      </c>
    </row>
    <row r="1555" spans="2:11">
      <c r="B1555" s="5"/>
      <c r="F1555" s="5" t="s">
        <v>3160</v>
      </c>
      <c r="G1555" s="5" t="s">
        <v>3161</v>
      </c>
      <c r="J1555" s="5" t="s">
        <v>4172</v>
      </c>
      <c r="K1555" s="5" t="s">
        <v>4173</v>
      </c>
    </row>
    <row r="1556" spans="2:11">
      <c r="B1556" s="5"/>
      <c r="F1556" s="5" t="s">
        <v>3162</v>
      </c>
      <c r="G1556" s="5" t="s">
        <v>3163</v>
      </c>
      <c r="J1556" s="5" t="s">
        <v>4174</v>
      </c>
      <c r="K1556" s="5" t="s">
        <v>4175</v>
      </c>
    </row>
    <row r="1557" spans="2:11">
      <c r="B1557" s="5"/>
      <c r="F1557" s="5" t="s">
        <v>3164</v>
      </c>
      <c r="G1557" s="5" t="s">
        <v>3165</v>
      </c>
      <c r="J1557" s="5" t="s">
        <v>4176</v>
      </c>
      <c r="K1557" s="5" t="s">
        <v>4177</v>
      </c>
    </row>
    <row r="1558" spans="2:11">
      <c r="B1558" s="5"/>
      <c r="F1558" s="5" t="s">
        <v>3166</v>
      </c>
      <c r="G1558" s="5" t="s">
        <v>3167</v>
      </c>
      <c r="J1558" s="5" t="s">
        <v>4178</v>
      </c>
      <c r="K1558" s="5" t="s">
        <v>4179</v>
      </c>
    </row>
    <row r="1559" spans="2:11">
      <c r="B1559" s="5"/>
      <c r="F1559" s="5" t="s">
        <v>3168</v>
      </c>
      <c r="G1559" s="5" t="s">
        <v>3169</v>
      </c>
      <c r="J1559" s="5" t="s">
        <v>4180</v>
      </c>
      <c r="K1559" s="5" t="s">
        <v>4181</v>
      </c>
    </row>
    <row r="1560" spans="2:11">
      <c r="B1560" s="5"/>
      <c r="F1560" s="5" t="s">
        <v>3170</v>
      </c>
      <c r="G1560" s="5" t="s">
        <v>3171</v>
      </c>
      <c r="J1560" s="5" t="s">
        <v>4182</v>
      </c>
      <c r="K1560" s="5" t="s">
        <v>4183</v>
      </c>
    </row>
    <row r="1561" spans="2:11">
      <c r="B1561" s="5"/>
      <c r="F1561" s="5" t="s">
        <v>3172</v>
      </c>
      <c r="G1561" s="5" t="s">
        <v>3173</v>
      </c>
      <c r="J1561" s="5" t="s">
        <v>4184</v>
      </c>
      <c r="K1561" s="5" t="s">
        <v>4185</v>
      </c>
    </row>
    <row r="1562" spans="2:11">
      <c r="B1562" s="5"/>
      <c r="F1562" s="5" t="s">
        <v>3174</v>
      </c>
      <c r="G1562" s="5" t="s">
        <v>3175</v>
      </c>
      <c r="J1562" s="5" t="s">
        <v>4186</v>
      </c>
      <c r="K1562" s="5" t="s">
        <v>4187</v>
      </c>
    </row>
    <row r="1563" spans="2:11">
      <c r="B1563" s="5"/>
      <c r="F1563" s="5" t="s">
        <v>3176</v>
      </c>
      <c r="G1563" s="5" t="s">
        <v>3177</v>
      </c>
      <c r="J1563" s="5" t="s">
        <v>4188</v>
      </c>
      <c r="K1563" s="5" t="s">
        <v>4189</v>
      </c>
    </row>
    <row r="1564" spans="2:11">
      <c r="B1564" s="5"/>
      <c r="F1564" s="5" t="s">
        <v>3178</v>
      </c>
      <c r="G1564" s="5" t="s">
        <v>3179</v>
      </c>
      <c r="J1564" s="5" t="s">
        <v>4190</v>
      </c>
      <c r="K1564" s="5" t="s">
        <v>4191</v>
      </c>
    </row>
    <row r="1565" spans="2:11">
      <c r="B1565" s="5"/>
      <c r="F1565" s="5" t="s">
        <v>3180</v>
      </c>
      <c r="G1565" s="5" t="s">
        <v>3181</v>
      </c>
      <c r="J1565" s="5" t="s">
        <v>4192</v>
      </c>
      <c r="K1565" s="5" t="s">
        <v>4193</v>
      </c>
    </row>
    <row r="1566" spans="2:11">
      <c r="B1566" s="5"/>
      <c r="F1566" s="5" t="s">
        <v>3182</v>
      </c>
      <c r="G1566" s="5" t="s">
        <v>3183</v>
      </c>
      <c r="J1566" s="5" t="s">
        <v>4194</v>
      </c>
      <c r="K1566" s="5" t="s">
        <v>4195</v>
      </c>
    </row>
    <row r="1567" spans="2:11">
      <c r="B1567" s="5"/>
      <c r="F1567" s="5" t="s">
        <v>3184</v>
      </c>
      <c r="G1567" s="5" t="s">
        <v>3185</v>
      </c>
      <c r="J1567" s="5" t="s">
        <v>4196</v>
      </c>
      <c r="K1567" s="5" t="s">
        <v>4197</v>
      </c>
    </row>
    <row r="1568" spans="2:11">
      <c r="B1568" s="5"/>
      <c r="F1568" s="5" t="s">
        <v>3186</v>
      </c>
      <c r="G1568" s="5" t="s">
        <v>3187</v>
      </c>
      <c r="J1568" s="5" t="s">
        <v>4198</v>
      </c>
      <c r="K1568" s="5" t="s">
        <v>4199</v>
      </c>
    </row>
    <row r="1569" spans="2:11">
      <c r="B1569" s="5"/>
      <c r="F1569" s="5" t="s">
        <v>3188</v>
      </c>
      <c r="G1569" s="5" t="s">
        <v>3189</v>
      </c>
      <c r="J1569" s="5" t="s">
        <v>4200</v>
      </c>
      <c r="K1569" s="5" t="s">
        <v>4201</v>
      </c>
    </row>
    <row r="1570" spans="2:11">
      <c r="B1570" s="5"/>
      <c r="F1570" s="5" t="s">
        <v>3190</v>
      </c>
      <c r="G1570" s="5" t="s">
        <v>3191</v>
      </c>
      <c r="J1570" s="5" t="s">
        <v>4202</v>
      </c>
      <c r="K1570" s="5" t="s">
        <v>4203</v>
      </c>
    </row>
    <row r="1571" spans="2:11">
      <c r="B1571" s="5"/>
      <c r="F1571" s="5" t="s">
        <v>3192</v>
      </c>
      <c r="G1571" s="5" t="s">
        <v>3193</v>
      </c>
      <c r="J1571" s="5" t="s">
        <v>4204</v>
      </c>
      <c r="K1571" s="5" t="s">
        <v>4205</v>
      </c>
    </row>
    <row r="1572" spans="2:11">
      <c r="B1572" s="5"/>
      <c r="F1572" s="5" t="s">
        <v>3194</v>
      </c>
      <c r="G1572" s="5" t="s">
        <v>3195</v>
      </c>
      <c r="J1572" s="5" t="s">
        <v>4206</v>
      </c>
      <c r="K1572" s="5" t="s">
        <v>4207</v>
      </c>
    </row>
    <row r="1573" spans="2:11">
      <c r="B1573" s="5"/>
      <c r="F1573" s="5" t="s">
        <v>3196</v>
      </c>
      <c r="G1573" s="5" t="s">
        <v>3197</v>
      </c>
      <c r="J1573" s="5" t="s">
        <v>4208</v>
      </c>
      <c r="K1573" s="5" t="s">
        <v>4209</v>
      </c>
    </row>
    <row r="1574" spans="2:11">
      <c r="B1574" s="5"/>
      <c r="F1574" s="5" t="s">
        <v>3198</v>
      </c>
      <c r="G1574" s="5" t="s">
        <v>3199</v>
      </c>
      <c r="J1574" s="5" t="s">
        <v>4210</v>
      </c>
      <c r="K1574" s="5" t="s">
        <v>4211</v>
      </c>
    </row>
    <row r="1575" spans="2:11">
      <c r="B1575" s="5"/>
      <c r="F1575" s="5" t="s">
        <v>3200</v>
      </c>
      <c r="G1575" s="5" t="s">
        <v>3201</v>
      </c>
      <c r="J1575" s="5" t="s">
        <v>4212</v>
      </c>
      <c r="K1575" s="5" t="s">
        <v>4213</v>
      </c>
    </row>
    <row r="1576" spans="2:11">
      <c r="B1576" s="5"/>
      <c r="F1576" s="5" t="s">
        <v>3202</v>
      </c>
      <c r="G1576" s="5" t="s">
        <v>3203</v>
      </c>
      <c r="J1576" s="5" t="s">
        <v>4214</v>
      </c>
      <c r="K1576" s="5" t="s">
        <v>4215</v>
      </c>
    </row>
    <row r="1577" spans="2:11">
      <c r="B1577" s="5"/>
      <c r="F1577" s="5" t="s">
        <v>3204</v>
      </c>
      <c r="G1577" s="5" t="s">
        <v>3205</v>
      </c>
      <c r="J1577" s="5" t="s">
        <v>4216</v>
      </c>
      <c r="K1577" s="5" t="s">
        <v>4217</v>
      </c>
    </row>
    <row r="1578" spans="2:11">
      <c r="B1578" s="5"/>
      <c r="F1578" s="5" t="s">
        <v>3206</v>
      </c>
      <c r="G1578" s="5" t="s">
        <v>3207</v>
      </c>
      <c r="J1578" s="5" t="s">
        <v>4218</v>
      </c>
      <c r="K1578" s="5" t="s">
        <v>4219</v>
      </c>
    </row>
    <row r="1579" spans="2:11">
      <c r="B1579" s="5"/>
      <c r="F1579" s="5" t="s">
        <v>3208</v>
      </c>
      <c r="G1579" s="5" t="s">
        <v>3209</v>
      </c>
      <c r="J1579" s="5" t="s">
        <v>4220</v>
      </c>
      <c r="K1579" s="5" t="s">
        <v>4221</v>
      </c>
    </row>
    <row r="1580" spans="2:11">
      <c r="B1580" s="5"/>
      <c r="F1580" s="5" t="s">
        <v>3210</v>
      </c>
      <c r="G1580" s="5" t="s">
        <v>3211</v>
      </c>
      <c r="J1580" s="5" t="s">
        <v>4222</v>
      </c>
      <c r="K1580" s="5" t="s">
        <v>4223</v>
      </c>
    </row>
    <row r="1581" spans="2:11">
      <c r="B1581" s="5"/>
      <c r="F1581" s="5" t="s">
        <v>3212</v>
      </c>
      <c r="G1581" s="5" t="s">
        <v>3213</v>
      </c>
      <c r="J1581" s="5" t="s">
        <v>4224</v>
      </c>
      <c r="K1581" s="5" t="s">
        <v>4225</v>
      </c>
    </row>
    <row r="1582" spans="2:11">
      <c r="B1582" s="5"/>
      <c r="F1582" s="5" t="s">
        <v>3214</v>
      </c>
      <c r="G1582" s="5" t="s">
        <v>3215</v>
      </c>
      <c r="J1582" s="5" t="s">
        <v>4226</v>
      </c>
      <c r="K1582" s="5" t="s">
        <v>4227</v>
      </c>
    </row>
    <row r="1583" spans="2:11">
      <c r="B1583" s="5"/>
      <c r="F1583" s="5" t="s">
        <v>3216</v>
      </c>
      <c r="G1583" s="5" t="s">
        <v>3217</v>
      </c>
      <c r="J1583" s="5" t="s">
        <v>4228</v>
      </c>
      <c r="K1583" s="5" t="s">
        <v>4229</v>
      </c>
    </row>
    <row r="1584" spans="2:11">
      <c r="B1584" s="5"/>
      <c r="F1584" s="5" t="s">
        <v>3218</v>
      </c>
      <c r="G1584" s="5" t="s">
        <v>3219</v>
      </c>
      <c r="J1584" s="5" t="s">
        <v>4230</v>
      </c>
      <c r="K1584" s="5" t="s">
        <v>4231</v>
      </c>
    </row>
    <row r="1585" spans="2:11">
      <c r="B1585" s="5"/>
      <c r="F1585" s="5" t="s">
        <v>3220</v>
      </c>
      <c r="G1585" s="5" t="s">
        <v>3221</v>
      </c>
      <c r="J1585" s="5" t="s">
        <v>4232</v>
      </c>
      <c r="K1585" s="5" t="s">
        <v>4233</v>
      </c>
    </row>
    <row r="1586" spans="2:11">
      <c r="B1586" s="5"/>
      <c r="F1586" s="5" t="s">
        <v>3222</v>
      </c>
      <c r="G1586" s="5" t="s">
        <v>3223</v>
      </c>
      <c r="J1586" s="5" t="s">
        <v>4234</v>
      </c>
      <c r="K1586" s="5" t="s">
        <v>4235</v>
      </c>
    </row>
    <row r="1587" spans="2:11">
      <c r="B1587" s="5"/>
      <c r="F1587" s="5" t="s">
        <v>3224</v>
      </c>
      <c r="G1587" s="5" t="s">
        <v>3225</v>
      </c>
      <c r="J1587" s="5" t="s">
        <v>4236</v>
      </c>
      <c r="K1587" s="5" t="s">
        <v>4237</v>
      </c>
    </row>
    <row r="1588" spans="2:11">
      <c r="B1588" s="5"/>
      <c r="F1588" s="5" t="s">
        <v>3226</v>
      </c>
      <c r="G1588" s="5" t="s">
        <v>3227</v>
      </c>
      <c r="J1588" s="5" t="s">
        <v>4238</v>
      </c>
      <c r="K1588" s="5" t="s">
        <v>4239</v>
      </c>
    </row>
    <row r="1589" spans="2:11">
      <c r="B1589" s="5"/>
      <c r="F1589" s="5" t="s">
        <v>3228</v>
      </c>
      <c r="G1589" s="5" t="s">
        <v>3229</v>
      </c>
      <c r="J1589" s="5" t="s">
        <v>4240</v>
      </c>
      <c r="K1589" s="5" t="s">
        <v>4241</v>
      </c>
    </row>
    <row r="1590" spans="2:11">
      <c r="B1590" s="5"/>
      <c r="F1590" s="5" t="s">
        <v>3230</v>
      </c>
      <c r="G1590" s="5" t="s">
        <v>3231</v>
      </c>
      <c r="J1590" s="5" t="s">
        <v>4242</v>
      </c>
      <c r="K1590" s="5" t="s">
        <v>4243</v>
      </c>
    </row>
    <row r="1591" spans="2:11">
      <c r="B1591" s="5"/>
      <c r="F1591" s="5" t="s">
        <v>3232</v>
      </c>
      <c r="G1591" s="5" t="s">
        <v>3233</v>
      </c>
      <c r="J1591" s="5" t="s">
        <v>4244</v>
      </c>
      <c r="K1591" s="5" t="s">
        <v>4245</v>
      </c>
    </row>
    <row r="1592" spans="2:11">
      <c r="B1592" s="5"/>
      <c r="F1592" s="5" t="s">
        <v>3234</v>
      </c>
      <c r="G1592" s="5" t="s">
        <v>3235</v>
      </c>
      <c r="J1592" s="5" t="s">
        <v>4246</v>
      </c>
      <c r="K1592" s="5" t="s">
        <v>4247</v>
      </c>
    </row>
    <row r="1593" spans="2:11">
      <c r="B1593" s="5"/>
      <c r="F1593" s="5" t="s">
        <v>3236</v>
      </c>
      <c r="G1593" s="5" t="s">
        <v>3237</v>
      </c>
      <c r="J1593" s="5" t="s">
        <v>4248</v>
      </c>
      <c r="K1593" s="5" t="s">
        <v>4249</v>
      </c>
    </row>
    <row r="1594" spans="2:11">
      <c r="B1594" s="5"/>
      <c r="F1594" s="5" t="s">
        <v>3238</v>
      </c>
      <c r="G1594" s="5" t="s">
        <v>3239</v>
      </c>
      <c r="J1594" s="5" t="s">
        <v>4250</v>
      </c>
      <c r="K1594" s="5" t="s">
        <v>4251</v>
      </c>
    </row>
    <row r="1595" spans="2:11">
      <c r="B1595" s="5"/>
      <c r="F1595" s="5" t="s">
        <v>3240</v>
      </c>
      <c r="G1595" s="5" t="s">
        <v>3241</v>
      </c>
      <c r="J1595" s="5" t="s">
        <v>4252</v>
      </c>
      <c r="K1595" s="5" t="s">
        <v>4253</v>
      </c>
    </row>
    <row r="1596" spans="2:11">
      <c r="B1596" s="5"/>
      <c r="F1596" s="5" t="s">
        <v>3242</v>
      </c>
      <c r="G1596" s="5" t="s">
        <v>3243</v>
      </c>
      <c r="J1596" s="5" t="s">
        <v>4254</v>
      </c>
      <c r="K1596" s="5" t="s">
        <v>4255</v>
      </c>
    </row>
    <row r="1597" spans="2:11">
      <c r="B1597" s="5"/>
      <c r="F1597" s="5" t="s">
        <v>3244</v>
      </c>
      <c r="G1597" s="5" t="s">
        <v>3245</v>
      </c>
      <c r="J1597" s="5" t="s">
        <v>4256</v>
      </c>
      <c r="K1597" s="5" t="s">
        <v>4257</v>
      </c>
    </row>
    <row r="1598" spans="2:11">
      <c r="B1598" s="5"/>
      <c r="F1598" s="5" t="s">
        <v>3246</v>
      </c>
      <c r="G1598" s="5" t="s">
        <v>3247</v>
      </c>
      <c r="J1598" s="5" t="s">
        <v>4258</v>
      </c>
      <c r="K1598" s="5" t="s">
        <v>4259</v>
      </c>
    </row>
    <row r="1599" spans="2:11">
      <c r="B1599" s="5"/>
      <c r="F1599" s="5" t="s">
        <v>3248</v>
      </c>
      <c r="G1599" s="5" t="s">
        <v>3249</v>
      </c>
      <c r="J1599" s="5" t="s">
        <v>4260</v>
      </c>
      <c r="K1599" s="5" t="s">
        <v>4261</v>
      </c>
    </row>
    <row r="1600" spans="2:11">
      <c r="B1600" s="5"/>
      <c r="F1600" s="5" t="s">
        <v>3250</v>
      </c>
      <c r="G1600" s="5" t="s">
        <v>3251</v>
      </c>
      <c r="J1600" s="5" t="s">
        <v>4262</v>
      </c>
      <c r="K1600" s="5" t="s">
        <v>4263</v>
      </c>
    </row>
    <row r="1601" spans="2:11">
      <c r="B1601" s="5"/>
      <c r="F1601" s="5" t="s">
        <v>3252</v>
      </c>
      <c r="G1601" s="5" t="s">
        <v>3253</v>
      </c>
      <c r="J1601" s="5" t="s">
        <v>4264</v>
      </c>
      <c r="K1601" s="5" t="s">
        <v>4265</v>
      </c>
    </row>
    <row r="1602" spans="2:11">
      <c r="B1602" s="5"/>
      <c r="F1602" s="5" t="s">
        <v>3254</v>
      </c>
      <c r="G1602" s="5" t="s">
        <v>3255</v>
      </c>
      <c r="J1602" s="5" t="s">
        <v>4266</v>
      </c>
      <c r="K1602" s="5" t="s">
        <v>4267</v>
      </c>
    </row>
    <row r="1603" spans="2:11">
      <c r="B1603" s="5"/>
      <c r="F1603" s="5" t="s">
        <v>3256</v>
      </c>
      <c r="G1603" s="5" t="s">
        <v>3257</v>
      </c>
      <c r="J1603" s="5" t="s">
        <v>4268</v>
      </c>
      <c r="K1603" s="5" t="s">
        <v>4269</v>
      </c>
    </row>
    <row r="1604" spans="2:11">
      <c r="B1604" s="5"/>
      <c r="F1604" s="5" t="s">
        <v>3258</v>
      </c>
      <c r="G1604" s="5" t="s">
        <v>3259</v>
      </c>
      <c r="J1604" s="5" t="s">
        <v>4270</v>
      </c>
      <c r="K1604" s="5" t="s">
        <v>4271</v>
      </c>
    </row>
    <row r="1605" spans="2:11">
      <c r="B1605" s="5"/>
      <c r="F1605" s="5" t="s">
        <v>3260</v>
      </c>
      <c r="G1605" s="5" t="s">
        <v>3261</v>
      </c>
      <c r="J1605" s="5" t="s">
        <v>4272</v>
      </c>
      <c r="K1605" s="5" t="s">
        <v>4273</v>
      </c>
    </row>
    <row r="1606" spans="2:11">
      <c r="B1606" s="5"/>
      <c r="F1606" s="5" t="s">
        <v>3262</v>
      </c>
      <c r="G1606" s="5" t="s">
        <v>3263</v>
      </c>
      <c r="J1606" s="5" t="s">
        <v>4274</v>
      </c>
      <c r="K1606" s="5" t="s">
        <v>4275</v>
      </c>
    </row>
    <row r="1607" spans="2:11">
      <c r="B1607" s="5"/>
      <c r="F1607" s="5" t="s">
        <v>3264</v>
      </c>
      <c r="G1607" s="5" t="s">
        <v>3265</v>
      </c>
      <c r="J1607" s="5" t="s">
        <v>4276</v>
      </c>
      <c r="K1607" s="5" t="s">
        <v>4277</v>
      </c>
    </row>
    <row r="1608" spans="2:11">
      <c r="B1608" s="5"/>
      <c r="F1608" s="5" t="s">
        <v>3266</v>
      </c>
      <c r="G1608" s="5" t="s">
        <v>3267</v>
      </c>
      <c r="J1608" s="5" t="s">
        <v>4278</v>
      </c>
      <c r="K1608" s="5" t="s">
        <v>4279</v>
      </c>
    </row>
    <row r="1609" spans="2:11">
      <c r="B1609" s="5"/>
      <c r="F1609" s="5" t="s">
        <v>3268</v>
      </c>
      <c r="G1609" s="5" t="s">
        <v>3269</v>
      </c>
      <c r="J1609" s="5" t="s">
        <v>4280</v>
      </c>
      <c r="K1609" s="5" t="s">
        <v>4281</v>
      </c>
    </row>
    <row r="1610" spans="2:11">
      <c r="B1610" s="5"/>
      <c r="F1610" s="5" t="s">
        <v>3270</v>
      </c>
      <c r="G1610" s="5" t="s">
        <v>3271</v>
      </c>
      <c r="J1610" s="5" t="s">
        <v>4282</v>
      </c>
      <c r="K1610" s="5" t="s">
        <v>4283</v>
      </c>
    </row>
    <row r="1611" spans="2:11">
      <c r="B1611" s="5"/>
      <c r="F1611" s="5" t="s">
        <v>3272</v>
      </c>
      <c r="G1611" s="5" t="s">
        <v>3273</v>
      </c>
      <c r="J1611" s="5" t="s">
        <v>4284</v>
      </c>
      <c r="K1611" s="5" t="s">
        <v>4285</v>
      </c>
    </row>
    <row r="1612" spans="2:11">
      <c r="B1612" s="5"/>
      <c r="F1612" s="5" t="s">
        <v>3274</v>
      </c>
      <c r="G1612" s="5" t="s">
        <v>3275</v>
      </c>
      <c r="J1612" s="5" t="s">
        <v>4286</v>
      </c>
      <c r="K1612" s="5" t="s">
        <v>4287</v>
      </c>
    </row>
    <row r="1613" spans="2:11">
      <c r="B1613" s="5"/>
      <c r="F1613" s="5" t="s">
        <v>3276</v>
      </c>
      <c r="G1613" s="5" t="s">
        <v>3277</v>
      </c>
      <c r="J1613" s="5" t="s">
        <v>4288</v>
      </c>
      <c r="K1613" s="5" t="s">
        <v>4289</v>
      </c>
    </row>
    <row r="1614" spans="2:11">
      <c r="B1614" s="5"/>
      <c r="F1614" s="5" t="s">
        <v>3278</v>
      </c>
      <c r="G1614" s="5" t="s">
        <v>3279</v>
      </c>
      <c r="J1614" s="5" t="s">
        <v>4290</v>
      </c>
      <c r="K1614" s="5" t="s">
        <v>4291</v>
      </c>
    </row>
    <row r="1615" spans="2:11">
      <c r="B1615" s="5"/>
      <c r="F1615" s="5" t="s">
        <v>3280</v>
      </c>
      <c r="G1615" s="5" t="s">
        <v>3281</v>
      </c>
      <c r="J1615" s="5" t="s">
        <v>4292</v>
      </c>
      <c r="K1615" s="5" t="s">
        <v>4293</v>
      </c>
    </row>
    <row r="1616" spans="2:11">
      <c r="B1616" s="5"/>
      <c r="F1616" s="5" t="s">
        <v>3282</v>
      </c>
      <c r="G1616" s="5" t="s">
        <v>3283</v>
      </c>
      <c r="J1616" s="5" t="s">
        <v>4294</v>
      </c>
      <c r="K1616" s="5" t="s">
        <v>4295</v>
      </c>
    </row>
    <row r="1617" spans="2:11">
      <c r="B1617" s="5"/>
      <c r="F1617" s="5" t="s">
        <v>3284</v>
      </c>
      <c r="G1617" s="5" t="s">
        <v>3285</v>
      </c>
      <c r="J1617" s="5" t="s">
        <v>4296</v>
      </c>
      <c r="K1617" s="5" t="s">
        <v>4297</v>
      </c>
    </row>
    <row r="1618" spans="2:11">
      <c r="B1618" s="5"/>
      <c r="F1618" s="5" t="s">
        <v>3286</v>
      </c>
      <c r="G1618" s="5" t="s">
        <v>3287</v>
      </c>
      <c r="J1618" s="5" t="s">
        <v>4298</v>
      </c>
      <c r="K1618" s="5" t="s">
        <v>4299</v>
      </c>
    </row>
    <row r="1619" spans="2:11">
      <c r="B1619" s="5"/>
      <c r="F1619" s="5" t="s">
        <v>3288</v>
      </c>
      <c r="G1619" s="5" t="s">
        <v>3289</v>
      </c>
      <c r="J1619" s="5" t="s">
        <v>4300</v>
      </c>
      <c r="K1619" s="5" t="s">
        <v>4301</v>
      </c>
    </row>
    <row r="1620" spans="2:11">
      <c r="B1620" s="5"/>
      <c r="F1620" s="5" t="s">
        <v>3290</v>
      </c>
      <c r="G1620" s="5" t="s">
        <v>3291</v>
      </c>
      <c r="J1620" s="5" t="s">
        <v>4302</v>
      </c>
      <c r="K1620" s="5" t="s">
        <v>4303</v>
      </c>
    </row>
    <row r="1621" spans="2:11">
      <c r="B1621" s="5"/>
      <c r="F1621" s="5" t="s">
        <v>3292</v>
      </c>
      <c r="G1621" s="5" t="s">
        <v>3293</v>
      </c>
      <c r="J1621" s="5" t="s">
        <v>4304</v>
      </c>
      <c r="K1621" s="5" t="s">
        <v>4305</v>
      </c>
    </row>
    <row r="1622" spans="2:11">
      <c r="B1622" s="5"/>
      <c r="F1622" s="5" t="s">
        <v>3294</v>
      </c>
      <c r="G1622" s="5" t="s">
        <v>3295</v>
      </c>
      <c r="J1622" s="5" t="s">
        <v>4306</v>
      </c>
      <c r="K1622" s="5" t="s">
        <v>4307</v>
      </c>
    </row>
    <row r="1623" spans="2:11">
      <c r="B1623" s="5"/>
      <c r="F1623" s="5" t="s">
        <v>3296</v>
      </c>
      <c r="G1623" s="5" t="s">
        <v>3297</v>
      </c>
      <c r="J1623" s="5" t="s">
        <v>4308</v>
      </c>
      <c r="K1623" s="5" t="s">
        <v>4309</v>
      </c>
    </row>
    <row r="1624" spans="2:11">
      <c r="B1624" s="5"/>
      <c r="F1624" s="5" t="s">
        <v>3298</v>
      </c>
      <c r="G1624" s="5" t="s">
        <v>3299</v>
      </c>
      <c r="J1624" s="5" t="s">
        <v>4310</v>
      </c>
      <c r="K1624" s="5" t="s">
        <v>4311</v>
      </c>
    </row>
    <row r="1625" spans="2:11">
      <c r="B1625" s="5"/>
      <c r="F1625" s="5" t="s">
        <v>3300</v>
      </c>
      <c r="G1625" s="5" t="s">
        <v>3301</v>
      </c>
      <c r="J1625" s="5" t="s">
        <v>4312</v>
      </c>
      <c r="K1625" s="5" t="s">
        <v>4313</v>
      </c>
    </row>
    <row r="1626" spans="2:11">
      <c r="B1626" s="5"/>
      <c r="F1626" s="5" t="s">
        <v>3302</v>
      </c>
      <c r="G1626" s="5" t="s">
        <v>3303</v>
      </c>
      <c r="J1626" s="5" t="s">
        <v>4314</v>
      </c>
      <c r="K1626" s="5" t="s">
        <v>4315</v>
      </c>
    </row>
    <row r="1627" spans="2:11">
      <c r="B1627" s="5"/>
      <c r="F1627" s="5" t="s">
        <v>3304</v>
      </c>
      <c r="G1627" s="5" t="s">
        <v>3305</v>
      </c>
      <c r="J1627" s="5" t="s">
        <v>4316</v>
      </c>
      <c r="K1627" s="5" t="s">
        <v>4317</v>
      </c>
    </row>
    <row r="1628" spans="2:11">
      <c r="B1628" s="5"/>
      <c r="F1628" s="5" t="s">
        <v>3306</v>
      </c>
      <c r="G1628" s="5" t="s">
        <v>3307</v>
      </c>
      <c r="J1628" s="5" t="s">
        <v>4318</v>
      </c>
      <c r="K1628" s="5" t="s">
        <v>4319</v>
      </c>
    </row>
    <row r="1629" spans="2:11">
      <c r="B1629" s="5"/>
      <c r="F1629" s="5" t="s">
        <v>3308</v>
      </c>
      <c r="G1629" s="5" t="s">
        <v>3309</v>
      </c>
      <c r="J1629" s="5" t="s">
        <v>4320</v>
      </c>
      <c r="K1629" s="5" t="s">
        <v>4321</v>
      </c>
    </row>
    <row r="1630" spans="2:11">
      <c r="B1630" s="5"/>
      <c r="F1630" s="5" t="s">
        <v>3310</v>
      </c>
      <c r="G1630" s="5" t="s">
        <v>3311</v>
      </c>
      <c r="J1630" s="5" t="s">
        <v>4322</v>
      </c>
      <c r="K1630" s="5" t="s">
        <v>4323</v>
      </c>
    </row>
    <row r="1631" spans="2:11">
      <c r="B1631" s="5"/>
      <c r="F1631" s="5" t="s">
        <v>3312</v>
      </c>
      <c r="G1631" s="5" t="s">
        <v>3313</v>
      </c>
      <c r="J1631" s="5" t="s">
        <v>4324</v>
      </c>
      <c r="K1631" s="5" t="s">
        <v>4325</v>
      </c>
    </row>
    <row r="1632" spans="2:11">
      <c r="B1632" s="5"/>
      <c r="F1632" s="5" t="s">
        <v>3314</v>
      </c>
      <c r="G1632" s="5" t="s">
        <v>3315</v>
      </c>
      <c r="J1632" s="5" t="s">
        <v>4326</v>
      </c>
      <c r="K1632" s="5" t="s">
        <v>4327</v>
      </c>
    </row>
    <row r="1633" spans="2:11">
      <c r="B1633" s="5"/>
      <c r="F1633" s="5" t="s">
        <v>3316</v>
      </c>
      <c r="G1633" s="5" t="s">
        <v>3317</v>
      </c>
      <c r="J1633" s="5" t="s">
        <v>4328</v>
      </c>
      <c r="K1633" s="5" t="s">
        <v>4329</v>
      </c>
    </row>
    <row r="1634" spans="2:11">
      <c r="B1634" s="5"/>
      <c r="F1634" s="5" t="s">
        <v>3318</v>
      </c>
      <c r="G1634" s="5" t="s">
        <v>3319</v>
      </c>
      <c r="J1634" s="5" t="s">
        <v>4330</v>
      </c>
      <c r="K1634" s="5" t="s">
        <v>4331</v>
      </c>
    </row>
    <row r="1635" spans="2:11">
      <c r="B1635" s="5"/>
      <c r="F1635" s="5" t="s">
        <v>3320</v>
      </c>
      <c r="G1635" s="5" t="s">
        <v>3321</v>
      </c>
      <c r="J1635" s="5" t="s">
        <v>4332</v>
      </c>
      <c r="K1635" s="5" t="s">
        <v>4333</v>
      </c>
    </row>
    <row r="1636" spans="2:11">
      <c r="B1636" s="5"/>
      <c r="F1636" s="5" t="s">
        <v>3322</v>
      </c>
      <c r="G1636" s="5" t="s">
        <v>3323</v>
      </c>
      <c r="J1636" s="5" t="s">
        <v>4334</v>
      </c>
      <c r="K1636" s="5" t="s">
        <v>4335</v>
      </c>
    </row>
    <row r="1637" spans="2:11">
      <c r="B1637" s="5"/>
      <c r="F1637" s="5" t="s">
        <v>3324</v>
      </c>
      <c r="G1637" s="5" t="s">
        <v>3325</v>
      </c>
      <c r="J1637" s="5" t="s">
        <v>4336</v>
      </c>
      <c r="K1637" s="5" t="s">
        <v>4337</v>
      </c>
    </row>
    <row r="1638" spans="2:11">
      <c r="B1638" s="5"/>
      <c r="F1638" s="5" t="s">
        <v>3326</v>
      </c>
      <c r="G1638" s="5" t="s">
        <v>3327</v>
      </c>
      <c r="J1638" s="5" t="s">
        <v>4338</v>
      </c>
      <c r="K1638" s="5" t="s">
        <v>4339</v>
      </c>
    </row>
    <row r="1639" spans="2:11">
      <c r="B1639" s="5"/>
      <c r="F1639" s="5" t="s">
        <v>3328</v>
      </c>
      <c r="G1639" s="5" t="s">
        <v>3329</v>
      </c>
      <c r="J1639" s="5" t="s">
        <v>4340</v>
      </c>
      <c r="K1639" s="5" t="s">
        <v>4341</v>
      </c>
    </row>
    <row r="1640" spans="2:11">
      <c r="B1640" s="5"/>
      <c r="F1640" s="5" t="s">
        <v>3330</v>
      </c>
      <c r="G1640" s="5" t="s">
        <v>3331</v>
      </c>
      <c r="J1640" s="5" t="s">
        <v>4342</v>
      </c>
      <c r="K1640" s="5" t="s">
        <v>4343</v>
      </c>
    </row>
    <row r="1641" spans="2:11">
      <c r="B1641" s="5"/>
      <c r="F1641" s="5" t="s">
        <v>3332</v>
      </c>
      <c r="G1641" s="5" t="s">
        <v>3333</v>
      </c>
      <c r="J1641" s="5" t="s">
        <v>4344</v>
      </c>
      <c r="K1641" s="5" t="s">
        <v>4345</v>
      </c>
    </row>
    <row r="1642" spans="2:11">
      <c r="B1642" s="5"/>
      <c r="F1642" s="5" t="s">
        <v>3334</v>
      </c>
      <c r="G1642" s="5" t="s">
        <v>3335</v>
      </c>
      <c r="J1642" s="5" t="s">
        <v>4346</v>
      </c>
      <c r="K1642" s="5" t="s">
        <v>4347</v>
      </c>
    </row>
    <row r="1643" spans="2:11">
      <c r="B1643" s="5"/>
      <c r="F1643" s="5" t="s">
        <v>3336</v>
      </c>
      <c r="G1643" s="5" t="s">
        <v>3337</v>
      </c>
      <c r="J1643" s="5" t="s">
        <v>4348</v>
      </c>
      <c r="K1643" s="5" t="s">
        <v>4349</v>
      </c>
    </row>
    <row r="1644" spans="2:11">
      <c r="B1644" s="5"/>
      <c r="F1644" s="5" t="s">
        <v>3338</v>
      </c>
      <c r="G1644" s="5" t="s">
        <v>3339</v>
      </c>
      <c r="J1644" s="5" t="s">
        <v>4350</v>
      </c>
      <c r="K1644" s="5" t="s">
        <v>4351</v>
      </c>
    </row>
    <row r="1645" spans="2:11">
      <c r="B1645" s="5"/>
      <c r="F1645" s="5" t="s">
        <v>3340</v>
      </c>
      <c r="G1645" s="5" t="s">
        <v>3341</v>
      </c>
      <c r="J1645" s="5" t="s">
        <v>4352</v>
      </c>
      <c r="K1645" s="5" t="s">
        <v>4353</v>
      </c>
    </row>
    <row r="1646" spans="2:11">
      <c r="B1646" s="5"/>
      <c r="F1646" s="5" t="s">
        <v>3342</v>
      </c>
      <c r="G1646" s="5" t="s">
        <v>3343</v>
      </c>
      <c r="J1646" s="5" t="s">
        <v>4354</v>
      </c>
      <c r="K1646" s="5" t="s">
        <v>4355</v>
      </c>
    </row>
    <row r="1647" spans="2:11">
      <c r="B1647" s="5"/>
      <c r="F1647" s="5" t="s">
        <v>3344</v>
      </c>
      <c r="G1647" s="5" t="s">
        <v>3345</v>
      </c>
      <c r="J1647" s="5" t="s">
        <v>4356</v>
      </c>
      <c r="K1647" s="5" t="s">
        <v>4357</v>
      </c>
    </row>
    <row r="1648" spans="2:11">
      <c r="B1648" s="5"/>
      <c r="F1648" s="5" t="s">
        <v>3346</v>
      </c>
      <c r="G1648" s="5" t="s">
        <v>3347</v>
      </c>
      <c r="J1648" s="5" t="s">
        <v>4358</v>
      </c>
      <c r="K1648" s="5" t="s">
        <v>4359</v>
      </c>
    </row>
    <row r="1649" spans="2:11">
      <c r="B1649" s="5"/>
      <c r="F1649" s="5" t="s">
        <v>3348</v>
      </c>
      <c r="G1649" s="5" t="s">
        <v>3349</v>
      </c>
      <c r="J1649" s="5" t="s">
        <v>4360</v>
      </c>
      <c r="K1649" s="5" t="s">
        <v>4361</v>
      </c>
    </row>
    <row r="1650" spans="2:11">
      <c r="B1650" s="5"/>
      <c r="F1650" s="5" t="s">
        <v>3350</v>
      </c>
      <c r="G1650" s="5" t="s">
        <v>3351</v>
      </c>
      <c r="J1650" s="5" t="s">
        <v>4362</v>
      </c>
      <c r="K1650" s="5" t="s">
        <v>4363</v>
      </c>
    </row>
    <row r="1651" spans="2:11">
      <c r="B1651" s="5"/>
      <c r="F1651" s="5" t="s">
        <v>3352</v>
      </c>
      <c r="G1651" s="5" t="s">
        <v>3353</v>
      </c>
      <c r="J1651" s="5" t="s">
        <v>4364</v>
      </c>
      <c r="K1651" s="5" t="s">
        <v>4365</v>
      </c>
    </row>
    <row r="1652" spans="2:11">
      <c r="B1652" s="5"/>
      <c r="F1652" s="5" t="s">
        <v>3354</v>
      </c>
      <c r="G1652" s="5" t="s">
        <v>3355</v>
      </c>
      <c r="J1652" s="5" t="s">
        <v>4366</v>
      </c>
      <c r="K1652" s="5" t="s">
        <v>4367</v>
      </c>
    </row>
    <row r="1653" spans="2:11">
      <c r="B1653" s="5"/>
      <c r="F1653" s="5" t="s">
        <v>3356</v>
      </c>
      <c r="G1653" s="5" t="s">
        <v>3357</v>
      </c>
      <c r="J1653" s="5" t="s">
        <v>4368</v>
      </c>
      <c r="K1653" s="5" t="s">
        <v>4369</v>
      </c>
    </row>
    <row r="1654" spans="2:11">
      <c r="B1654" s="5"/>
      <c r="F1654" s="5" t="s">
        <v>3358</v>
      </c>
      <c r="G1654" s="5" t="s">
        <v>3359</v>
      </c>
      <c r="J1654" s="5" t="s">
        <v>4370</v>
      </c>
      <c r="K1654" s="5" t="s">
        <v>4371</v>
      </c>
    </row>
    <row r="1655" spans="2:11">
      <c r="B1655" s="5"/>
      <c r="F1655" s="5" t="s">
        <v>3360</v>
      </c>
      <c r="G1655" s="5" t="s">
        <v>3361</v>
      </c>
      <c r="J1655" s="5" t="s">
        <v>4372</v>
      </c>
      <c r="K1655" s="5" t="s">
        <v>4373</v>
      </c>
    </row>
    <row r="1656" spans="2:11">
      <c r="B1656" s="5"/>
      <c r="F1656" s="5" t="s">
        <v>3362</v>
      </c>
      <c r="G1656" s="5" t="s">
        <v>3363</v>
      </c>
      <c r="J1656" s="5" t="s">
        <v>4374</v>
      </c>
      <c r="K1656" s="5" t="s">
        <v>4375</v>
      </c>
    </row>
    <row r="1657" spans="2:11">
      <c r="B1657" s="5"/>
      <c r="F1657" s="5" t="s">
        <v>3364</v>
      </c>
      <c r="G1657" s="5" t="s">
        <v>3365</v>
      </c>
      <c r="J1657" s="5" t="s">
        <v>4376</v>
      </c>
      <c r="K1657" s="5" t="s">
        <v>4377</v>
      </c>
    </row>
    <row r="1658" spans="2:11">
      <c r="B1658" s="5"/>
      <c r="F1658" s="5" t="s">
        <v>3366</v>
      </c>
      <c r="G1658" s="5" t="s">
        <v>3367</v>
      </c>
      <c r="J1658" s="5" t="s">
        <v>4378</v>
      </c>
      <c r="K1658" s="5" t="s">
        <v>4379</v>
      </c>
    </row>
    <row r="1659" spans="2:11">
      <c r="B1659" s="5"/>
      <c r="F1659" s="5" t="s">
        <v>3368</v>
      </c>
      <c r="G1659" s="5" t="s">
        <v>3369</v>
      </c>
      <c r="J1659" s="5" t="s">
        <v>4380</v>
      </c>
      <c r="K1659" s="5" t="s">
        <v>4381</v>
      </c>
    </row>
    <row r="1660" spans="2:11">
      <c r="B1660" s="5"/>
      <c r="F1660" s="5" t="s">
        <v>3370</v>
      </c>
      <c r="G1660" s="5" t="s">
        <v>3371</v>
      </c>
      <c r="J1660" s="5" t="s">
        <v>4382</v>
      </c>
      <c r="K1660" s="5" t="s">
        <v>4383</v>
      </c>
    </row>
    <row r="1661" spans="2:11">
      <c r="B1661" s="5"/>
      <c r="F1661" s="5" t="s">
        <v>3372</v>
      </c>
      <c r="G1661" s="5" t="s">
        <v>3373</v>
      </c>
      <c r="J1661" s="5" t="s">
        <v>4384</v>
      </c>
      <c r="K1661" s="5" t="s">
        <v>4385</v>
      </c>
    </row>
    <row r="1662" spans="2:11">
      <c r="B1662" s="5"/>
      <c r="F1662" s="5" t="s">
        <v>3374</v>
      </c>
      <c r="G1662" s="5" t="s">
        <v>3375</v>
      </c>
      <c r="J1662" s="5" t="s">
        <v>4386</v>
      </c>
      <c r="K1662" s="5" t="s">
        <v>4387</v>
      </c>
    </row>
    <row r="1663" spans="2:11">
      <c r="B1663" s="5"/>
      <c r="F1663" s="5" t="s">
        <v>3376</v>
      </c>
      <c r="G1663" s="5" t="s">
        <v>3377</v>
      </c>
      <c r="J1663" s="5" t="s">
        <v>4388</v>
      </c>
      <c r="K1663" s="5" t="s">
        <v>4389</v>
      </c>
    </row>
    <row r="1664" spans="2:11">
      <c r="B1664" s="5"/>
      <c r="F1664" s="5" t="s">
        <v>3378</v>
      </c>
      <c r="G1664" s="5" t="s">
        <v>3379</v>
      </c>
      <c r="J1664" s="5" t="s">
        <v>4390</v>
      </c>
      <c r="K1664" s="5" t="s">
        <v>4391</v>
      </c>
    </row>
    <row r="1665" spans="2:11">
      <c r="B1665" s="5"/>
      <c r="F1665" s="5" t="s">
        <v>3380</v>
      </c>
      <c r="G1665" s="5" t="s">
        <v>3381</v>
      </c>
      <c r="J1665" s="5" t="s">
        <v>4392</v>
      </c>
      <c r="K1665" s="5" t="s">
        <v>4393</v>
      </c>
    </row>
    <row r="1666" spans="2:11">
      <c r="B1666" s="5"/>
      <c r="F1666" s="5" t="s">
        <v>3382</v>
      </c>
      <c r="G1666" s="5" t="s">
        <v>3383</v>
      </c>
      <c r="J1666" s="5" t="s">
        <v>4394</v>
      </c>
      <c r="K1666" s="5" t="s">
        <v>4395</v>
      </c>
    </row>
    <row r="1667" spans="2:11">
      <c r="B1667" s="5"/>
      <c r="F1667" s="5" t="s">
        <v>3384</v>
      </c>
      <c r="G1667" s="5" t="s">
        <v>3385</v>
      </c>
      <c r="J1667" s="5" t="s">
        <v>4396</v>
      </c>
      <c r="K1667" s="5" t="s">
        <v>4397</v>
      </c>
    </row>
    <row r="1668" spans="2:11">
      <c r="B1668" s="5"/>
      <c r="F1668" s="5" t="s">
        <v>3386</v>
      </c>
      <c r="G1668" s="5" t="s">
        <v>3387</v>
      </c>
      <c r="J1668" s="5" t="s">
        <v>4398</v>
      </c>
      <c r="K1668" s="5" t="s">
        <v>4399</v>
      </c>
    </row>
    <row r="1669" spans="2:11">
      <c r="B1669" s="5"/>
      <c r="F1669" s="5" t="s">
        <v>3388</v>
      </c>
      <c r="G1669" s="5" t="s">
        <v>3389</v>
      </c>
      <c r="J1669" s="5" t="s">
        <v>4400</v>
      </c>
      <c r="K1669" s="5" t="s">
        <v>4401</v>
      </c>
    </row>
    <row r="1670" spans="2:11">
      <c r="B1670" s="5"/>
      <c r="F1670" s="5" t="s">
        <v>3390</v>
      </c>
      <c r="G1670" s="5" t="s">
        <v>3391</v>
      </c>
      <c r="J1670" s="5" t="s">
        <v>4402</v>
      </c>
      <c r="K1670" s="5" t="s">
        <v>4403</v>
      </c>
    </row>
    <row r="1671" spans="2:11">
      <c r="B1671" s="5"/>
      <c r="F1671" s="5" t="s">
        <v>3392</v>
      </c>
      <c r="G1671" s="5" t="s">
        <v>3393</v>
      </c>
      <c r="J1671" s="5" t="s">
        <v>4404</v>
      </c>
      <c r="K1671" s="5" t="s">
        <v>4405</v>
      </c>
    </row>
    <row r="1672" spans="2:11">
      <c r="B1672" s="5"/>
      <c r="F1672" s="5" t="s">
        <v>3394</v>
      </c>
      <c r="G1672" s="5" t="s">
        <v>3395</v>
      </c>
      <c r="J1672" s="5" t="s">
        <v>4406</v>
      </c>
      <c r="K1672" s="5" t="s">
        <v>4407</v>
      </c>
    </row>
    <row r="1673" spans="2:11">
      <c r="B1673" s="5"/>
      <c r="F1673" s="5" t="s">
        <v>3396</v>
      </c>
      <c r="G1673" s="5" t="s">
        <v>3397</v>
      </c>
      <c r="J1673" s="5" t="s">
        <v>4408</v>
      </c>
      <c r="K1673" s="5" t="s">
        <v>4409</v>
      </c>
    </row>
    <row r="1674" spans="2:11">
      <c r="B1674" s="5"/>
      <c r="F1674" s="5" t="s">
        <v>3398</v>
      </c>
      <c r="G1674" s="5" t="s">
        <v>3399</v>
      </c>
      <c r="J1674" s="5" t="s">
        <v>4410</v>
      </c>
      <c r="K1674" s="5" t="s">
        <v>4411</v>
      </c>
    </row>
    <row r="1675" spans="2:11">
      <c r="B1675" s="5"/>
      <c r="F1675" s="5" t="s">
        <v>3400</v>
      </c>
      <c r="G1675" s="5" t="s">
        <v>3401</v>
      </c>
      <c r="J1675" s="5" t="s">
        <v>4412</v>
      </c>
      <c r="K1675" s="5" t="s">
        <v>4413</v>
      </c>
    </row>
    <row r="1676" spans="2:11">
      <c r="B1676" s="5"/>
      <c r="F1676" s="5" t="s">
        <v>3402</v>
      </c>
      <c r="G1676" s="5" t="s">
        <v>3403</v>
      </c>
      <c r="J1676" s="5" t="s">
        <v>4414</v>
      </c>
      <c r="K1676" s="5" t="s">
        <v>4415</v>
      </c>
    </row>
    <row r="1677" spans="2:11">
      <c r="B1677" s="5"/>
      <c r="F1677" s="5" t="s">
        <v>3404</v>
      </c>
      <c r="G1677" s="5" t="s">
        <v>3405</v>
      </c>
      <c r="J1677" s="5" t="s">
        <v>4416</v>
      </c>
      <c r="K1677" s="5" t="s">
        <v>4417</v>
      </c>
    </row>
    <row r="1678" spans="2:11">
      <c r="B1678" s="5"/>
      <c r="F1678" s="5" t="s">
        <v>3406</v>
      </c>
      <c r="G1678" s="5" t="s">
        <v>3407</v>
      </c>
      <c r="J1678" s="5" t="s">
        <v>4418</v>
      </c>
      <c r="K1678" s="5" t="s">
        <v>4419</v>
      </c>
    </row>
    <row r="1679" spans="2:11">
      <c r="B1679" s="5"/>
      <c r="F1679" s="5" t="s">
        <v>3408</v>
      </c>
      <c r="G1679" s="5" t="s">
        <v>3409</v>
      </c>
      <c r="J1679" s="5" t="s">
        <v>4420</v>
      </c>
      <c r="K1679" s="5" t="s">
        <v>4421</v>
      </c>
    </row>
    <row r="1680" spans="2:11">
      <c r="B1680" s="5"/>
      <c r="F1680" s="5" t="s">
        <v>3410</v>
      </c>
      <c r="G1680" s="5" t="s">
        <v>3411</v>
      </c>
      <c r="J1680" s="5" t="s">
        <v>4422</v>
      </c>
      <c r="K1680" s="5" t="s">
        <v>4423</v>
      </c>
    </row>
    <row r="1681" spans="2:11">
      <c r="B1681" s="5"/>
      <c r="F1681" s="5" t="s">
        <v>3412</v>
      </c>
      <c r="G1681" s="5" t="s">
        <v>3413</v>
      </c>
      <c r="J1681" s="5" t="s">
        <v>4424</v>
      </c>
      <c r="K1681" s="5" t="s">
        <v>4425</v>
      </c>
    </row>
    <row r="1682" spans="2:11">
      <c r="B1682" s="5"/>
      <c r="F1682" s="5" t="s">
        <v>3414</v>
      </c>
      <c r="G1682" s="5" t="s">
        <v>3415</v>
      </c>
      <c r="J1682" s="5" t="s">
        <v>4426</v>
      </c>
      <c r="K1682" s="5" t="s">
        <v>4427</v>
      </c>
    </row>
    <row r="1683" spans="2:11">
      <c r="B1683" s="5"/>
      <c r="F1683" s="5" t="s">
        <v>3416</v>
      </c>
      <c r="G1683" s="5" t="s">
        <v>3417</v>
      </c>
      <c r="J1683" s="5" t="s">
        <v>4428</v>
      </c>
      <c r="K1683" s="5" t="s">
        <v>4429</v>
      </c>
    </row>
    <row r="1684" spans="2:11">
      <c r="B1684" s="5"/>
      <c r="F1684" s="5" t="s">
        <v>3418</v>
      </c>
      <c r="G1684" s="5" t="s">
        <v>3419</v>
      </c>
      <c r="J1684" s="5" t="s">
        <v>4430</v>
      </c>
      <c r="K1684" s="5" t="s">
        <v>4431</v>
      </c>
    </row>
    <row r="1685" spans="2:11">
      <c r="B1685" s="5"/>
      <c r="F1685" s="5" t="s">
        <v>3420</v>
      </c>
      <c r="G1685" s="5" t="s">
        <v>3421</v>
      </c>
      <c r="J1685" s="5" t="s">
        <v>4432</v>
      </c>
      <c r="K1685" s="5" t="s">
        <v>4433</v>
      </c>
    </row>
    <row r="1686" spans="2:11">
      <c r="B1686" s="5"/>
      <c r="F1686" s="5" t="s">
        <v>3422</v>
      </c>
      <c r="G1686" s="5" t="s">
        <v>3423</v>
      </c>
      <c r="J1686" s="5" t="s">
        <v>4434</v>
      </c>
      <c r="K1686" s="5" t="s">
        <v>4435</v>
      </c>
    </row>
    <row r="1687" spans="2:11">
      <c r="B1687" s="5"/>
      <c r="F1687" s="5" t="s">
        <v>3424</v>
      </c>
      <c r="G1687" s="5" t="s">
        <v>3425</v>
      </c>
      <c r="J1687" s="5" t="s">
        <v>4436</v>
      </c>
      <c r="K1687" s="5" t="s">
        <v>4437</v>
      </c>
    </row>
    <row r="1688" spans="2:11">
      <c r="B1688" s="5"/>
      <c r="F1688" s="5" t="s">
        <v>3426</v>
      </c>
      <c r="G1688" s="5" t="s">
        <v>3427</v>
      </c>
      <c r="J1688" s="5" t="s">
        <v>4438</v>
      </c>
      <c r="K1688" s="5" t="s">
        <v>4439</v>
      </c>
    </row>
    <row r="1689" spans="2:11">
      <c r="B1689" s="5"/>
      <c r="F1689" s="5" t="s">
        <v>3428</v>
      </c>
      <c r="G1689" s="5" t="s">
        <v>3429</v>
      </c>
      <c r="J1689" s="5" t="s">
        <v>4440</v>
      </c>
      <c r="K1689" s="5" t="s">
        <v>4441</v>
      </c>
    </row>
    <row r="1690" spans="2:11">
      <c r="B1690" s="5"/>
      <c r="F1690" s="5" t="s">
        <v>3430</v>
      </c>
      <c r="G1690" s="5" t="s">
        <v>3431</v>
      </c>
      <c r="J1690" s="5" t="s">
        <v>4442</v>
      </c>
      <c r="K1690" s="5" t="s">
        <v>4443</v>
      </c>
    </row>
    <row r="1691" spans="2:11">
      <c r="B1691" s="5"/>
      <c r="F1691" s="5" t="s">
        <v>3432</v>
      </c>
      <c r="G1691" s="5" t="s">
        <v>3433</v>
      </c>
      <c r="J1691" s="5" t="s">
        <v>4444</v>
      </c>
      <c r="K1691" s="5" t="s">
        <v>4445</v>
      </c>
    </row>
    <row r="1692" spans="2:11">
      <c r="B1692" s="5"/>
      <c r="F1692" s="5" t="s">
        <v>3434</v>
      </c>
      <c r="G1692" s="5" t="s">
        <v>3435</v>
      </c>
      <c r="J1692" s="5" t="s">
        <v>4446</v>
      </c>
      <c r="K1692" s="5" t="s">
        <v>4447</v>
      </c>
    </row>
    <row r="1693" spans="2:11">
      <c r="B1693" s="5"/>
      <c r="F1693" s="5" t="s">
        <v>3436</v>
      </c>
      <c r="G1693" s="5" t="s">
        <v>3437</v>
      </c>
      <c r="J1693" s="5" t="s">
        <v>4448</v>
      </c>
      <c r="K1693" s="5" t="s">
        <v>4449</v>
      </c>
    </row>
    <row r="1694" spans="2:11">
      <c r="B1694" s="5"/>
      <c r="F1694" s="5" t="s">
        <v>3438</v>
      </c>
      <c r="G1694" s="5" t="s">
        <v>3439</v>
      </c>
      <c r="J1694" s="5" t="s">
        <v>4450</v>
      </c>
      <c r="K1694" s="5" t="s">
        <v>4451</v>
      </c>
    </row>
    <row r="1695" spans="2:11">
      <c r="B1695" s="5"/>
      <c r="F1695" s="5" t="s">
        <v>3440</v>
      </c>
      <c r="G1695" s="5" t="s">
        <v>3441</v>
      </c>
      <c r="J1695" s="5" t="s">
        <v>4452</v>
      </c>
      <c r="K1695" s="5" t="s">
        <v>4453</v>
      </c>
    </row>
    <row r="1696" spans="2:11">
      <c r="B1696" s="5"/>
      <c r="F1696" s="5" t="s">
        <v>3442</v>
      </c>
      <c r="G1696" s="5" t="s">
        <v>3443</v>
      </c>
      <c r="J1696" s="5" t="s">
        <v>4454</v>
      </c>
      <c r="K1696" s="5" t="s">
        <v>4455</v>
      </c>
    </row>
    <row r="1697" spans="2:11">
      <c r="B1697" s="5"/>
      <c r="F1697" s="5" t="s">
        <v>3444</v>
      </c>
      <c r="G1697" s="5" t="s">
        <v>3445</v>
      </c>
      <c r="J1697" s="5" t="s">
        <v>4456</v>
      </c>
      <c r="K1697" s="5" t="s">
        <v>4457</v>
      </c>
    </row>
    <row r="1698" spans="2:11">
      <c r="B1698" s="5"/>
      <c r="F1698" s="5" t="s">
        <v>3446</v>
      </c>
      <c r="G1698" s="5" t="s">
        <v>3447</v>
      </c>
      <c r="J1698" s="5" t="s">
        <v>4458</v>
      </c>
      <c r="K1698" s="5" t="s">
        <v>4459</v>
      </c>
    </row>
    <row r="1699" spans="2:11">
      <c r="B1699" s="5"/>
      <c r="F1699" s="5" t="s">
        <v>3448</v>
      </c>
      <c r="G1699" s="5" t="s">
        <v>3449</v>
      </c>
      <c r="J1699" s="5" t="s">
        <v>4460</v>
      </c>
      <c r="K1699" s="5" t="s">
        <v>4461</v>
      </c>
    </row>
    <row r="1700" spans="2:11">
      <c r="B1700" s="5"/>
      <c r="F1700" s="5" t="s">
        <v>3450</v>
      </c>
      <c r="G1700" s="5" t="s">
        <v>3451</v>
      </c>
      <c r="J1700" s="5" t="s">
        <v>4462</v>
      </c>
      <c r="K1700" s="5" t="s">
        <v>4463</v>
      </c>
    </row>
    <row r="1701" spans="2:11">
      <c r="B1701" s="5"/>
      <c r="F1701" s="5" t="s">
        <v>3452</v>
      </c>
      <c r="G1701" s="5" t="s">
        <v>3453</v>
      </c>
      <c r="J1701" s="5" t="s">
        <v>4464</v>
      </c>
      <c r="K1701" s="5" t="s">
        <v>4465</v>
      </c>
    </row>
    <row r="1702" spans="2:11">
      <c r="B1702" s="5"/>
      <c r="F1702" s="5" t="s">
        <v>3454</v>
      </c>
      <c r="G1702" s="5" t="s">
        <v>3455</v>
      </c>
      <c r="J1702" s="5" t="s">
        <v>4466</v>
      </c>
      <c r="K1702" s="5" t="s">
        <v>4467</v>
      </c>
    </row>
    <row r="1703" spans="2:11">
      <c r="B1703" s="5"/>
      <c r="F1703" s="5" t="s">
        <v>3456</v>
      </c>
      <c r="G1703" s="5" t="s">
        <v>3457</v>
      </c>
      <c r="J1703" s="5" t="s">
        <v>4468</v>
      </c>
      <c r="K1703" s="5" t="s">
        <v>4469</v>
      </c>
    </row>
    <row r="1704" spans="2:11">
      <c r="B1704" s="5"/>
      <c r="F1704" s="5" t="s">
        <v>3458</v>
      </c>
      <c r="G1704" s="5" t="s">
        <v>3459</v>
      </c>
      <c r="J1704" s="5" t="s">
        <v>4470</v>
      </c>
      <c r="K1704" s="5" t="s">
        <v>4471</v>
      </c>
    </row>
    <row r="1705" spans="2:11">
      <c r="B1705" s="5"/>
      <c r="F1705" s="5" t="s">
        <v>3460</v>
      </c>
      <c r="G1705" s="5" t="s">
        <v>3461</v>
      </c>
      <c r="J1705" s="5" t="s">
        <v>4472</v>
      </c>
      <c r="K1705" s="5" t="s">
        <v>4473</v>
      </c>
    </row>
    <row r="1706" spans="2:11">
      <c r="B1706" s="5"/>
      <c r="F1706" s="5" t="s">
        <v>3462</v>
      </c>
      <c r="G1706" s="5" t="s">
        <v>3463</v>
      </c>
      <c r="J1706" s="5" t="s">
        <v>4474</v>
      </c>
      <c r="K1706" s="5" t="s">
        <v>4475</v>
      </c>
    </row>
    <row r="1707" spans="2:11">
      <c r="B1707" s="5"/>
      <c r="F1707" s="5" t="s">
        <v>3464</v>
      </c>
      <c r="G1707" s="5" t="s">
        <v>3465</v>
      </c>
      <c r="J1707" s="5" t="s">
        <v>4476</v>
      </c>
      <c r="K1707" s="5" t="s">
        <v>4477</v>
      </c>
    </row>
    <row r="1708" spans="2:11">
      <c r="B1708" s="5"/>
      <c r="F1708" s="5" t="s">
        <v>3466</v>
      </c>
      <c r="G1708" s="5" t="s">
        <v>3467</v>
      </c>
      <c r="J1708" s="5" t="s">
        <v>4478</v>
      </c>
      <c r="K1708" s="5" t="s">
        <v>4479</v>
      </c>
    </row>
    <row r="1709" spans="2:11">
      <c r="B1709" s="5"/>
      <c r="F1709" s="5" t="s">
        <v>3468</v>
      </c>
      <c r="G1709" s="5" t="s">
        <v>3469</v>
      </c>
      <c r="J1709" s="5" t="s">
        <v>4480</v>
      </c>
      <c r="K1709" s="5" t="s">
        <v>4481</v>
      </c>
    </row>
    <row r="1710" spans="2:11">
      <c r="B1710" s="5"/>
      <c r="F1710" s="5" t="s">
        <v>3470</v>
      </c>
      <c r="G1710" s="5" t="s">
        <v>3471</v>
      </c>
      <c r="J1710" s="5" t="s">
        <v>4482</v>
      </c>
      <c r="K1710" s="5" t="s">
        <v>4483</v>
      </c>
    </row>
    <row r="1711" spans="2:11">
      <c r="B1711" s="5"/>
      <c r="F1711" s="5" t="s">
        <v>3472</v>
      </c>
      <c r="G1711" s="5" t="s">
        <v>3473</v>
      </c>
      <c r="J1711" s="5" t="s">
        <v>4484</v>
      </c>
      <c r="K1711" s="5" t="s">
        <v>4485</v>
      </c>
    </row>
    <row r="1712" spans="2:11">
      <c r="B1712" s="5"/>
      <c r="F1712" s="5" t="s">
        <v>3474</v>
      </c>
      <c r="G1712" s="5" t="s">
        <v>3475</v>
      </c>
      <c r="J1712" s="5" t="s">
        <v>4486</v>
      </c>
      <c r="K1712" s="5" t="s">
        <v>4487</v>
      </c>
    </row>
    <row r="1713" spans="2:11">
      <c r="B1713" s="5"/>
      <c r="F1713" s="5" t="s">
        <v>3476</v>
      </c>
      <c r="G1713" s="5" t="s">
        <v>3477</v>
      </c>
      <c r="J1713" s="5" t="s">
        <v>4488</v>
      </c>
      <c r="K1713" s="5" t="s">
        <v>4489</v>
      </c>
    </row>
    <row r="1714" spans="2:11">
      <c r="B1714" s="5"/>
      <c r="F1714" s="5" t="s">
        <v>3478</v>
      </c>
      <c r="G1714" s="5" t="s">
        <v>3479</v>
      </c>
      <c r="J1714" s="5" t="s">
        <v>4490</v>
      </c>
      <c r="K1714" s="5" t="s">
        <v>4491</v>
      </c>
    </row>
    <row r="1715" spans="2:11">
      <c r="B1715" s="5"/>
      <c r="F1715" s="5" t="s">
        <v>3480</v>
      </c>
      <c r="G1715" s="5" t="s">
        <v>3481</v>
      </c>
      <c r="J1715" s="5" t="s">
        <v>4492</v>
      </c>
      <c r="K1715" s="5" t="s">
        <v>4493</v>
      </c>
    </row>
    <row r="1716" spans="2:11">
      <c r="B1716" s="5"/>
      <c r="F1716" s="5" t="s">
        <v>3482</v>
      </c>
      <c r="G1716" s="5" t="s">
        <v>3483</v>
      </c>
      <c r="J1716" s="5" t="s">
        <v>4494</v>
      </c>
      <c r="K1716" s="5" t="s">
        <v>4495</v>
      </c>
    </row>
    <row r="1717" spans="2:11">
      <c r="B1717" s="5"/>
      <c r="F1717" s="5" t="s">
        <v>3484</v>
      </c>
      <c r="G1717" s="5" t="s">
        <v>3485</v>
      </c>
      <c r="J1717" s="5" t="s">
        <v>4496</v>
      </c>
      <c r="K1717" s="5" t="s">
        <v>4497</v>
      </c>
    </row>
    <row r="1718" spans="2:11">
      <c r="B1718" s="5"/>
      <c r="F1718" s="5" t="s">
        <v>3486</v>
      </c>
      <c r="G1718" s="5" t="s">
        <v>3487</v>
      </c>
      <c r="J1718" s="5" t="s">
        <v>4498</v>
      </c>
      <c r="K1718" s="5" t="s">
        <v>4499</v>
      </c>
    </row>
    <row r="1719" spans="2:11">
      <c r="B1719" s="5"/>
      <c r="F1719" s="5" t="s">
        <v>3488</v>
      </c>
      <c r="G1719" s="5" t="s">
        <v>3489</v>
      </c>
      <c r="J1719" s="5" t="s">
        <v>4500</v>
      </c>
      <c r="K1719" s="5" t="s">
        <v>4501</v>
      </c>
    </row>
    <row r="1720" spans="2:11">
      <c r="B1720" s="5"/>
      <c r="F1720" s="5" t="s">
        <v>3490</v>
      </c>
      <c r="G1720" s="5" t="s">
        <v>3491</v>
      </c>
      <c r="J1720" s="5" t="s">
        <v>4502</v>
      </c>
      <c r="K1720" s="5" t="s">
        <v>4503</v>
      </c>
    </row>
    <row r="1721" spans="2:11">
      <c r="B1721" s="5"/>
      <c r="F1721" s="5" t="s">
        <v>3492</v>
      </c>
      <c r="G1721" s="5" t="s">
        <v>3493</v>
      </c>
      <c r="J1721" s="5" t="s">
        <v>4504</v>
      </c>
      <c r="K1721" s="5" t="s">
        <v>4505</v>
      </c>
    </row>
    <row r="1722" spans="2:11">
      <c r="B1722" s="5"/>
      <c r="F1722" s="5" t="s">
        <v>3494</v>
      </c>
      <c r="G1722" s="5" t="s">
        <v>3495</v>
      </c>
      <c r="J1722" s="5" t="s">
        <v>4506</v>
      </c>
      <c r="K1722" s="5" t="s">
        <v>4507</v>
      </c>
    </row>
    <row r="1723" spans="2:11">
      <c r="B1723" s="5"/>
      <c r="F1723" s="5" t="s">
        <v>3496</v>
      </c>
      <c r="G1723" s="5" t="s">
        <v>3497</v>
      </c>
      <c r="J1723" s="5" t="s">
        <v>4508</v>
      </c>
      <c r="K1723" s="5" t="s">
        <v>4509</v>
      </c>
    </row>
    <row r="1724" spans="2:11">
      <c r="B1724" s="5"/>
      <c r="F1724" s="5" t="s">
        <v>3498</v>
      </c>
      <c r="G1724" s="5" t="s">
        <v>3499</v>
      </c>
      <c r="J1724" s="5" t="s">
        <v>4510</v>
      </c>
      <c r="K1724" s="5" t="s">
        <v>4511</v>
      </c>
    </row>
    <row r="1725" spans="2:11">
      <c r="B1725" s="5"/>
      <c r="F1725" s="5" t="s">
        <v>3500</v>
      </c>
      <c r="G1725" s="5" t="s">
        <v>3501</v>
      </c>
      <c r="J1725" s="5" t="s">
        <v>4512</v>
      </c>
      <c r="K1725" s="5" t="s">
        <v>4513</v>
      </c>
    </row>
    <row r="1726" spans="2:11">
      <c r="B1726" s="5"/>
      <c r="F1726" s="5" t="s">
        <v>3502</v>
      </c>
      <c r="G1726" s="5" t="s">
        <v>3503</v>
      </c>
      <c r="J1726" s="5" t="s">
        <v>4514</v>
      </c>
      <c r="K1726" s="5" t="s">
        <v>4515</v>
      </c>
    </row>
    <row r="1727" spans="2:11">
      <c r="B1727" s="5"/>
      <c r="F1727" s="5" t="s">
        <v>3504</v>
      </c>
      <c r="G1727" s="5" t="s">
        <v>3505</v>
      </c>
      <c r="J1727" s="5" t="s">
        <v>4516</v>
      </c>
      <c r="K1727" s="5" t="s">
        <v>4517</v>
      </c>
    </row>
    <row r="1728" spans="2:11">
      <c r="B1728" s="5"/>
      <c r="F1728" s="5" t="s">
        <v>3506</v>
      </c>
      <c r="G1728" s="5" t="s">
        <v>3507</v>
      </c>
      <c r="J1728" s="5" t="s">
        <v>4518</v>
      </c>
      <c r="K1728" s="5" t="s">
        <v>4519</v>
      </c>
    </row>
    <row r="1729" spans="2:11">
      <c r="B1729" s="5"/>
      <c r="F1729" s="5" t="s">
        <v>3508</v>
      </c>
      <c r="G1729" s="5" t="s">
        <v>3509</v>
      </c>
      <c r="J1729" s="5" t="s">
        <v>4520</v>
      </c>
      <c r="K1729" s="5" t="s">
        <v>4521</v>
      </c>
    </row>
    <row r="1730" spans="2:11">
      <c r="B1730" s="5"/>
      <c r="F1730" s="5" t="s">
        <v>3510</v>
      </c>
      <c r="G1730" s="5" t="s">
        <v>3511</v>
      </c>
      <c r="J1730" s="5" t="s">
        <v>4522</v>
      </c>
      <c r="K1730" s="5" t="s">
        <v>4523</v>
      </c>
    </row>
    <row r="1731" spans="2:11">
      <c r="B1731" s="5"/>
      <c r="F1731" s="5" t="s">
        <v>3512</v>
      </c>
      <c r="G1731" s="5" t="s">
        <v>3513</v>
      </c>
      <c r="J1731" s="5" t="s">
        <v>4524</v>
      </c>
      <c r="K1731" s="5" t="s">
        <v>4525</v>
      </c>
    </row>
    <row r="1732" spans="2:11">
      <c r="B1732" s="5"/>
      <c r="F1732" s="5" t="s">
        <v>3514</v>
      </c>
      <c r="G1732" s="5" t="s">
        <v>3515</v>
      </c>
      <c r="J1732" s="5" t="s">
        <v>4526</v>
      </c>
      <c r="K1732" s="5" t="s">
        <v>4527</v>
      </c>
    </row>
    <row r="1733" spans="2:11">
      <c r="B1733" s="5"/>
      <c r="F1733" s="5" t="s">
        <v>3516</v>
      </c>
      <c r="G1733" s="5" t="s">
        <v>3517</v>
      </c>
      <c r="J1733" s="5" t="s">
        <v>4528</v>
      </c>
      <c r="K1733" s="5" t="s">
        <v>4529</v>
      </c>
    </row>
    <row r="1734" spans="2:11">
      <c r="B1734" s="5"/>
      <c r="F1734" s="5" t="s">
        <v>3518</v>
      </c>
      <c r="G1734" s="5" t="s">
        <v>3519</v>
      </c>
      <c r="J1734" s="5" t="s">
        <v>4530</v>
      </c>
      <c r="K1734" s="5" t="s">
        <v>4531</v>
      </c>
    </row>
    <row r="1735" spans="2:11">
      <c r="B1735" s="5"/>
      <c r="F1735" s="5" t="s">
        <v>3520</v>
      </c>
      <c r="G1735" s="5" t="s">
        <v>3521</v>
      </c>
      <c r="J1735" s="5" t="s">
        <v>4532</v>
      </c>
      <c r="K1735" s="5" t="s">
        <v>4533</v>
      </c>
    </row>
    <row r="1736" spans="2:11">
      <c r="B1736" s="5"/>
      <c r="F1736" s="5" t="s">
        <v>3522</v>
      </c>
      <c r="G1736" s="5" t="s">
        <v>3523</v>
      </c>
      <c r="J1736" s="5" t="s">
        <v>4534</v>
      </c>
      <c r="K1736" s="5" t="s">
        <v>4535</v>
      </c>
    </row>
    <row r="1737" spans="2:11">
      <c r="B1737" s="5"/>
      <c r="F1737" s="5" t="s">
        <v>3524</v>
      </c>
      <c r="G1737" s="5" t="s">
        <v>3525</v>
      </c>
      <c r="J1737" s="5" t="s">
        <v>4536</v>
      </c>
      <c r="K1737" s="5" t="s">
        <v>4537</v>
      </c>
    </row>
    <row r="1738" spans="2:11">
      <c r="B1738" s="5"/>
      <c r="F1738" s="5" t="s">
        <v>3526</v>
      </c>
      <c r="G1738" s="5" t="s">
        <v>3527</v>
      </c>
      <c r="J1738" s="5" t="s">
        <v>4538</v>
      </c>
      <c r="K1738" s="5" t="s">
        <v>4539</v>
      </c>
    </row>
    <row r="1739" spans="2:11">
      <c r="B1739" s="5"/>
      <c r="F1739" s="5" t="s">
        <v>3528</v>
      </c>
      <c r="G1739" s="5" t="s">
        <v>3529</v>
      </c>
      <c r="J1739" s="5" t="s">
        <v>4540</v>
      </c>
      <c r="K1739" s="5" t="s">
        <v>4541</v>
      </c>
    </row>
    <row r="1740" spans="2:11">
      <c r="B1740" s="5"/>
      <c r="F1740" s="5" t="s">
        <v>3530</v>
      </c>
      <c r="G1740" s="5" t="s">
        <v>3531</v>
      </c>
      <c r="J1740" s="5" t="s">
        <v>4542</v>
      </c>
      <c r="K1740" s="5" t="s">
        <v>4543</v>
      </c>
    </row>
    <row r="1741" spans="2:11">
      <c r="B1741" s="5"/>
      <c r="F1741" s="5" t="s">
        <v>3532</v>
      </c>
      <c r="G1741" s="5" t="s">
        <v>3533</v>
      </c>
      <c r="J1741" s="5" t="s">
        <v>4544</v>
      </c>
      <c r="K1741" s="5" t="s">
        <v>4545</v>
      </c>
    </row>
    <row r="1742" spans="2:11">
      <c r="B1742" s="5"/>
      <c r="F1742" s="5" t="s">
        <v>3534</v>
      </c>
      <c r="G1742" s="5" t="s">
        <v>3535</v>
      </c>
      <c r="J1742" s="5" t="s">
        <v>4546</v>
      </c>
      <c r="K1742" s="5" t="s">
        <v>4547</v>
      </c>
    </row>
    <row r="1743" spans="2:11">
      <c r="B1743" s="5"/>
      <c r="F1743" s="5" t="s">
        <v>3536</v>
      </c>
      <c r="G1743" s="5" t="s">
        <v>3537</v>
      </c>
      <c r="J1743" s="5" t="s">
        <v>4548</v>
      </c>
      <c r="K1743" s="5" t="s">
        <v>4549</v>
      </c>
    </row>
    <row r="1744" spans="2:11">
      <c r="B1744" s="5"/>
      <c r="F1744" s="5" t="s">
        <v>3538</v>
      </c>
      <c r="G1744" s="5" t="s">
        <v>3539</v>
      </c>
      <c r="J1744" s="5" t="s">
        <v>4550</v>
      </c>
      <c r="K1744" s="5" t="s">
        <v>4551</v>
      </c>
    </row>
    <row r="1745" spans="2:11">
      <c r="B1745" s="5"/>
      <c r="F1745" s="5" t="s">
        <v>3540</v>
      </c>
      <c r="G1745" s="5" t="s">
        <v>3541</v>
      </c>
      <c r="J1745" s="5" t="s">
        <v>4552</v>
      </c>
      <c r="K1745" s="5" t="s">
        <v>4553</v>
      </c>
    </row>
    <row r="1746" spans="2:11">
      <c r="B1746" s="5"/>
      <c r="F1746" s="5" t="s">
        <v>3542</v>
      </c>
      <c r="G1746" s="5" t="s">
        <v>3543</v>
      </c>
      <c r="J1746" s="5" t="s">
        <v>4554</v>
      </c>
      <c r="K1746" s="5" t="s">
        <v>4555</v>
      </c>
    </row>
    <row r="1747" spans="2:11">
      <c r="B1747" s="5"/>
      <c r="F1747" s="5" t="s">
        <v>3544</v>
      </c>
      <c r="G1747" s="5" t="s">
        <v>3545</v>
      </c>
      <c r="J1747" s="5" t="s">
        <v>4556</v>
      </c>
      <c r="K1747" s="5" t="s">
        <v>4557</v>
      </c>
    </row>
    <row r="1748" spans="2:11">
      <c r="B1748" s="5"/>
      <c r="F1748" s="5" t="s">
        <v>3546</v>
      </c>
      <c r="G1748" s="5" t="s">
        <v>3547</v>
      </c>
      <c r="J1748" s="5" t="s">
        <v>4558</v>
      </c>
      <c r="K1748" s="5" t="s">
        <v>4559</v>
      </c>
    </row>
    <row r="1749" spans="2:11">
      <c r="B1749" s="5"/>
      <c r="F1749" s="5" t="s">
        <v>3548</v>
      </c>
      <c r="G1749" s="5" t="s">
        <v>3549</v>
      </c>
      <c r="J1749" s="5" t="s">
        <v>4560</v>
      </c>
      <c r="K1749" s="5" t="s">
        <v>4561</v>
      </c>
    </row>
    <row r="1750" spans="2:11">
      <c r="B1750" s="5"/>
      <c r="F1750" s="5" t="s">
        <v>3550</v>
      </c>
      <c r="G1750" s="5" t="s">
        <v>3551</v>
      </c>
      <c r="J1750" s="5" t="s">
        <v>4562</v>
      </c>
      <c r="K1750" s="5" t="s">
        <v>4563</v>
      </c>
    </row>
    <row r="1751" spans="2:11">
      <c r="B1751" s="5"/>
      <c r="F1751" s="5" t="s">
        <v>3552</v>
      </c>
      <c r="G1751" s="5" t="s">
        <v>3553</v>
      </c>
      <c r="J1751" s="5" t="s">
        <v>4564</v>
      </c>
      <c r="K1751" s="5" t="s">
        <v>4565</v>
      </c>
    </row>
    <row r="1752" spans="2:11">
      <c r="B1752" s="5"/>
      <c r="F1752" s="5" t="s">
        <v>3554</v>
      </c>
      <c r="G1752" s="5" t="s">
        <v>3555</v>
      </c>
      <c r="J1752" s="5" t="s">
        <v>4566</v>
      </c>
      <c r="K1752" s="5" t="s">
        <v>4567</v>
      </c>
    </row>
    <row r="1753" spans="2:11">
      <c r="B1753" s="5"/>
      <c r="F1753" s="5" t="s">
        <v>3556</v>
      </c>
      <c r="G1753" s="5" t="s">
        <v>3557</v>
      </c>
      <c r="J1753" s="5" t="s">
        <v>4568</v>
      </c>
      <c r="K1753" s="5" t="s">
        <v>4569</v>
      </c>
    </row>
    <row r="1754" spans="2:11">
      <c r="B1754" s="5"/>
      <c r="F1754" s="5" t="s">
        <v>3558</v>
      </c>
      <c r="G1754" s="5" t="s">
        <v>3559</v>
      </c>
      <c r="J1754" s="5" t="s">
        <v>4570</v>
      </c>
      <c r="K1754" s="5" t="s">
        <v>4571</v>
      </c>
    </row>
    <row r="1755" spans="2:11">
      <c r="B1755" s="5"/>
      <c r="F1755" s="5" t="s">
        <v>3560</v>
      </c>
      <c r="G1755" s="5" t="s">
        <v>3561</v>
      </c>
      <c r="J1755" s="5" t="s">
        <v>4572</v>
      </c>
      <c r="K1755" s="5" t="s">
        <v>4573</v>
      </c>
    </row>
    <row r="1756" spans="2:11">
      <c r="B1756" s="5"/>
      <c r="F1756" s="5" t="s">
        <v>3562</v>
      </c>
      <c r="G1756" s="5" t="s">
        <v>3563</v>
      </c>
      <c r="J1756" s="5" t="s">
        <v>4574</v>
      </c>
      <c r="K1756" s="5" t="s">
        <v>4575</v>
      </c>
    </row>
    <row r="1757" spans="2:11">
      <c r="B1757" s="5"/>
      <c r="F1757" s="5" t="s">
        <v>3564</v>
      </c>
      <c r="G1757" s="5" t="s">
        <v>3565</v>
      </c>
      <c r="J1757" s="5" t="s">
        <v>4576</v>
      </c>
      <c r="K1757" s="5" t="s">
        <v>4577</v>
      </c>
    </row>
    <row r="1758" spans="2:11">
      <c r="B1758" s="5"/>
      <c r="F1758" s="5" t="s">
        <v>3566</v>
      </c>
      <c r="G1758" s="5" t="s">
        <v>3567</v>
      </c>
      <c r="J1758" s="5" t="s">
        <v>4578</v>
      </c>
      <c r="K1758" s="5" t="s">
        <v>4579</v>
      </c>
    </row>
    <row r="1759" spans="2:11">
      <c r="B1759" s="5"/>
      <c r="F1759" s="5" t="s">
        <v>3568</v>
      </c>
      <c r="G1759" s="5" t="s">
        <v>3569</v>
      </c>
      <c r="J1759" s="5" t="s">
        <v>4580</v>
      </c>
      <c r="K1759" s="5" t="s">
        <v>4581</v>
      </c>
    </row>
    <row r="1760" spans="2:11">
      <c r="B1760" s="5"/>
      <c r="F1760" s="5" t="s">
        <v>3570</v>
      </c>
      <c r="G1760" s="5" t="s">
        <v>3571</v>
      </c>
      <c r="J1760" s="5" t="s">
        <v>4582</v>
      </c>
      <c r="K1760" s="5" t="s">
        <v>4583</v>
      </c>
    </row>
    <row r="1761" spans="2:11">
      <c r="B1761" s="5"/>
      <c r="F1761" s="5" t="s">
        <v>3572</v>
      </c>
      <c r="G1761" s="5" t="s">
        <v>3573</v>
      </c>
      <c r="J1761" s="5" t="s">
        <v>4584</v>
      </c>
      <c r="K1761" s="5" t="s">
        <v>4585</v>
      </c>
    </row>
    <row r="1762" spans="2:11">
      <c r="B1762" s="5"/>
      <c r="F1762" s="5" t="s">
        <v>3574</v>
      </c>
      <c r="G1762" s="5" t="s">
        <v>3575</v>
      </c>
      <c r="J1762" s="5" t="s">
        <v>4586</v>
      </c>
      <c r="K1762" s="5" t="s">
        <v>4587</v>
      </c>
    </row>
    <row r="1763" spans="2:11">
      <c r="B1763" s="5"/>
      <c r="F1763" s="5" t="s">
        <v>3576</v>
      </c>
      <c r="G1763" s="5" t="s">
        <v>3577</v>
      </c>
      <c r="J1763" s="5" t="s">
        <v>4588</v>
      </c>
      <c r="K1763" s="5" t="s">
        <v>4589</v>
      </c>
    </row>
    <row r="1764" spans="2:11">
      <c r="B1764" s="5"/>
      <c r="F1764" s="5" t="s">
        <v>3578</v>
      </c>
      <c r="G1764" s="5" t="s">
        <v>3579</v>
      </c>
      <c r="J1764" s="5" t="s">
        <v>4590</v>
      </c>
      <c r="K1764" s="5" t="s">
        <v>4591</v>
      </c>
    </row>
    <row r="1765" spans="2:11">
      <c r="B1765" s="5"/>
      <c r="F1765" s="5" t="s">
        <v>3580</v>
      </c>
      <c r="G1765" s="5" t="s">
        <v>3581</v>
      </c>
      <c r="J1765" s="5" t="s">
        <v>4592</v>
      </c>
      <c r="K1765" s="5" t="s">
        <v>4593</v>
      </c>
    </row>
    <row r="1766" spans="2:11">
      <c r="B1766" s="5"/>
      <c r="F1766" s="5" t="s">
        <v>3582</v>
      </c>
      <c r="G1766" s="5" t="s">
        <v>3583</v>
      </c>
      <c r="J1766" s="5" t="s">
        <v>4594</v>
      </c>
      <c r="K1766" s="5" t="s">
        <v>4595</v>
      </c>
    </row>
    <row r="1767" spans="2:11">
      <c r="B1767" s="5"/>
      <c r="F1767" s="5" t="s">
        <v>3584</v>
      </c>
      <c r="G1767" s="5" t="s">
        <v>3585</v>
      </c>
      <c r="J1767" s="5" t="s">
        <v>4596</v>
      </c>
      <c r="K1767" s="5" t="s">
        <v>4597</v>
      </c>
    </row>
    <row r="1768" spans="2:11">
      <c r="B1768" s="5"/>
      <c r="F1768" s="5" t="s">
        <v>3586</v>
      </c>
      <c r="G1768" s="5" t="s">
        <v>3587</v>
      </c>
      <c r="J1768" s="5" t="s">
        <v>4598</v>
      </c>
      <c r="K1768" s="5" t="s">
        <v>4599</v>
      </c>
    </row>
    <row r="1769" spans="2:11">
      <c r="B1769" s="5"/>
      <c r="F1769" s="5" t="s">
        <v>3588</v>
      </c>
      <c r="G1769" s="5" t="s">
        <v>3589</v>
      </c>
      <c r="J1769" s="5" t="s">
        <v>4600</v>
      </c>
      <c r="K1769" s="5" t="s">
        <v>4601</v>
      </c>
    </row>
    <row r="1770" spans="2:11">
      <c r="B1770" s="5"/>
      <c r="F1770" s="5" t="s">
        <v>3590</v>
      </c>
      <c r="G1770" s="5" t="s">
        <v>3591</v>
      </c>
      <c r="J1770" s="5" t="s">
        <v>4602</v>
      </c>
      <c r="K1770" s="5" t="s">
        <v>4603</v>
      </c>
    </row>
    <row r="1771" spans="2:11">
      <c r="B1771" s="5"/>
      <c r="F1771" s="5" t="s">
        <v>3592</v>
      </c>
      <c r="G1771" s="5" t="s">
        <v>3593</v>
      </c>
      <c r="J1771" s="5" t="s">
        <v>4604</v>
      </c>
      <c r="K1771" s="5" t="s">
        <v>4605</v>
      </c>
    </row>
    <row r="1772" spans="2:11">
      <c r="B1772" s="5"/>
      <c r="F1772" s="5" t="s">
        <v>3594</v>
      </c>
      <c r="G1772" s="5" t="s">
        <v>3595</v>
      </c>
      <c r="J1772" s="5" t="s">
        <v>4606</v>
      </c>
      <c r="K1772" s="5" t="s">
        <v>4607</v>
      </c>
    </row>
    <row r="1773" spans="2:11">
      <c r="B1773" s="5"/>
      <c r="F1773" s="5" t="s">
        <v>3596</v>
      </c>
      <c r="G1773" s="5" t="s">
        <v>3597</v>
      </c>
      <c r="J1773" s="5" t="s">
        <v>4608</v>
      </c>
      <c r="K1773" s="5" t="s">
        <v>4609</v>
      </c>
    </row>
    <row r="1774" spans="2:11">
      <c r="B1774" s="5"/>
      <c r="F1774" s="5" t="s">
        <v>3598</v>
      </c>
      <c r="G1774" s="5" t="s">
        <v>3599</v>
      </c>
      <c r="J1774" s="5" t="s">
        <v>4610</v>
      </c>
      <c r="K1774" s="5" t="s">
        <v>4611</v>
      </c>
    </row>
    <row r="1775" spans="2:11">
      <c r="B1775" s="5"/>
      <c r="F1775" s="5" t="s">
        <v>3600</v>
      </c>
      <c r="G1775" s="5" t="s">
        <v>3601</v>
      </c>
      <c r="J1775" s="5" t="s">
        <v>4612</v>
      </c>
      <c r="K1775" s="5" t="s">
        <v>4613</v>
      </c>
    </row>
    <row r="1776" spans="2:11">
      <c r="B1776" s="5"/>
      <c r="F1776" s="5" t="s">
        <v>3602</v>
      </c>
      <c r="G1776" s="5" t="s">
        <v>3603</v>
      </c>
      <c r="J1776" s="5" t="s">
        <v>4614</v>
      </c>
      <c r="K1776" s="5" t="s">
        <v>4615</v>
      </c>
    </row>
    <row r="1777" spans="2:11">
      <c r="B1777" s="5"/>
      <c r="F1777" s="5" t="s">
        <v>3604</v>
      </c>
      <c r="G1777" s="5" t="s">
        <v>3605</v>
      </c>
      <c r="J1777" s="5" t="s">
        <v>4616</v>
      </c>
      <c r="K1777" s="5" t="s">
        <v>4617</v>
      </c>
    </row>
    <row r="1778" spans="2:11">
      <c r="B1778" s="5"/>
      <c r="F1778" s="5" t="s">
        <v>3606</v>
      </c>
      <c r="G1778" s="5" t="s">
        <v>3607</v>
      </c>
      <c r="J1778" s="5" t="s">
        <v>4618</v>
      </c>
      <c r="K1778" s="5" t="s">
        <v>4619</v>
      </c>
    </row>
    <row r="1779" spans="2:11">
      <c r="B1779" s="5"/>
      <c r="F1779" s="5" t="s">
        <v>3608</v>
      </c>
      <c r="G1779" s="5" t="s">
        <v>3609</v>
      </c>
      <c r="J1779" s="5" t="s">
        <v>4620</v>
      </c>
      <c r="K1779" s="5" t="s">
        <v>4621</v>
      </c>
    </row>
    <row r="1780" spans="2:11">
      <c r="B1780" s="5"/>
      <c r="F1780" s="5" t="s">
        <v>3610</v>
      </c>
      <c r="G1780" s="5" t="s">
        <v>3611</v>
      </c>
      <c r="J1780" s="5" t="s">
        <v>4622</v>
      </c>
      <c r="K1780" s="5" t="s">
        <v>4623</v>
      </c>
    </row>
    <row r="1781" spans="2:11">
      <c r="B1781" s="5"/>
      <c r="F1781" s="5" t="s">
        <v>3612</v>
      </c>
      <c r="G1781" s="5" t="s">
        <v>3613</v>
      </c>
      <c r="J1781" s="5" t="s">
        <v>4624</v>
      </c>
      <c r="K1781" s="5" t="s">
        <v>4625</v>
      </c>
    </row>
    <row r="1782" spans="2:11">
      <c r="B1782" s="5"/>
      <c r="F1782" s="5" t="s">
        <v>3614</v>
      </c>
      <c r="G1782" s="5" t="s">
        <v>3615</v>
      </c>
      <c r="J1782" s="5" t="s">
        <v>4626</v>
      </c>
      <c r="K1782" s="5" t="s">
        <v>4627</v>
      </c>
    </row>
    <row r="1783" spans="2:11">
      <c r="B1783" s="5"/>
      <c r="F1783" s="5" t="s">
        <v>3616</v>
      </c>
      <c r="G1783" s="5" t="s">
        <v>3617</v>
      </c>
      <c r="J1783" s="5" t="s">
        <v>4628</v>
      </c>
      <c r="K1783" s="5" t="s">
        <v>4629</v>
      </c>
    </row>
    <row r="1784" spans="2:11">
      <c r="B1784" s="5"/>
      <c r="F1784" s="5" t="s">
        <v>3618</v>
      </c>
      <c r="G1784" s="5" t="s">
        <v>3619</v>
      </c>
      <c r="J1784" s="5" t="s">
        <v>4630</v>
      </c>
      <c r="K1784" s="5" t="s">
        <v>4631</v>
      </c>
    </row>
    <row r="1785" spans="2:11">
      <c r="B1785" s="5"/>
      <c r="F1785" s="5" t="s">
        <v>3620</v>
      </c>
      <c r="G1785" s="5" t="s">
        <v>3621</v>
      </c>
      <c r="J1785" s="5" t="s">
        <v>4632</v>
      </c>
      <c r="K1785" s="5" t="s">
        <v>4633</v>
      </c>
    </row>
    <row r="1786" spans="2:11">
      <c r="B1786" s="5"/>
      <c r="F1786" s="5" t="s">
        <v>3622</v>
      </c>
      <c r="G1786" s="5" t="s">
        <v>3623</v>
      </c>
      <c r="J1786" s="5" t="s">
        <v>4634</v>
      </c>
      <c r="K1786" s="5" t="s">
        <v>4635</v>
      </c>
    </row>
    <row r="1787" spans="2:11">
      <c r="B1787" s="5"/>
      <c r="F1787" s="5" t="s">
        <v>3624</v>
      </c>
      <c r="G1787" s="5" t="s">
        <v>3625</v>
      </c>
      <c r="J1787" s="5" t="s">
        <v>4636</v>
      </c>
      <c r="K1787" s="5" t="s">
        <v>4637</v>
      </c>
    </row>
    <row r="1788" spans="2:11">
      <c r="B1788" s="5"/>
      <c r="F1788" s="5" t="s">
        <v>3626</v>
      </c>
      <c r="G1788" s="5" t="s">
        <v>3627</v>
      </c>
      <c r="J1788" s="5" t="s">
        <v>4638</v>
      </c>
      <c r="K1788" s="5" t="s">
        <v>4639</v>
      </c>
    </row>
    <row r="1789" spans="2:11">
      <c r="B1789" s="5"/>
      <c r="F1789" s="5" t="s">
        <v>3628</v>
      </c>
      <c r="G1789" s="5" t="s">
        <v>3629</v>
      </c>
      <c r="J1789" s="5" t="s">
        <v>4640</v>
      </c>
      <c r="K1789" s="5" t="s">
        <v>4641</v>
      </c>
    </row>
    <row r="1790" spans="2:11">
      <c r="B1790" s="5"/>
      <c r="F1790" s="5" t="s">
        <v>3630</v>
      </c>
      <c r="G1790" s="5" t="s">
        <v>3631</v>
      </c>
      <c r="J1790" s="5" t="s">
        <v>4642</v>
      </c>
      <c r="K1790" s="5" t="s">
        <v>4643</v>
      </c>
    </row>
    <row r="1791" spans="2:11">
      <c r="B1791" s="5"/>
      <c r="F1791" s="5" t="s">
        <v>3632</v>
      </c>
      <c r="G1791" s="5" t="s">
        <v>3633</v>
      </c>
      <c r="J1791" s="5" t="s">
        <v>4644</v>
      </c>
      <c r="K1791" s="5" t="s">
        <v>4645</v>
      </c>
    </row>
    <row r="1792" spans="2:11">
      <c r="B1792" s="5"/>
      <c r="F1792" s="5" t="s">
        <v>3634</v>
      </c>
      <c r="G1792" s="5" t="s">
        <v>3635</v>
      </c>
      <c r="J1792" s="5" t="s">
        <v>4646</v>
      </c>
      <c r="K1792" s="5" t="s">
        <v>4647</v>
      </c>
    </row>
    <row r="1793" spans="2:11">
      <c r="B1793" s="5"/>
      <c r="F1793" s="5" t="s">
        <v>3636</v>
      </c>
      <c r="G1793" s="5" t="s">
        <v>3637</v>
      </c>
      <c r="J1793" s="5" t="s">
        <v>4648</v>
      </c>
      <c r="K1793" s="5" t="s">
        <v>4649</v>
      </c>
    </row>
    <row r="1794" spans="2:11">
      <c r="B1794" s="5"/>
      <c r="F1794" s="5" t="s">
        <v>3638</v>
      </c>
      <c r="G1794" s="5" t="s">
        <v>3639</v>
      </c>
      <c r="J1794" s="5" t="s">
        <v>4650</v>
      </c>
      <c r="K1794" s="5" t="s">
        <v>4651</v>
      </c>
    </row>
    <row r="1795" spans="2:11">
      <c r="B1795" s="5"/>
      <c r="F1795" s="5" t="s">
        <v>3640</v>
      </c>
      <c r="G1795" s="5" t="s">
        <v>3641</v>
      </c>
      <c r="J1795" s="5" t="s">
        <v>4652</v>
      </c>
      <c r="K1795" s="5" t="s">
        <v>4653</v>
      </c>
    </row>
    <row r="1796" spans="2:11">
      <c r="B1796" s="5"/>
      <c r="F1796" s="5" t="s">
        <v>3642</v>
      </c>
      <c r="G1796" s="5" t="s">
        <v>3643</v>
      </c>
      <c r="J1796" s="5" t="s">
        <v>4654</v>
      </c>
      <c r="K1796" s="5" t="s">
        <v>4655</v>
      </c>
    </row>
    <row r="1797" spans="2:11">
      <c r="B1797" s="5"/>
      <c r="F1797" s="5" t="s">
        <v>3644</v>
      </c>
      <c r="G1797" s="5" t="s">
        <v>3645</v>
      </c>
      <c r="J1797" s="5" t="s">
        <v>4656</v>
      </c>
      <c r="K1797" s="5" t="s">
        <v>4657</v>
      </c>
    </row>
    <row r="1798" spans="2:11">
      <c r="B1798" s="5"/>
      <c r="F1798" s="5" t="s">
        <v>3646</v>
      </c>
      <c r="G1798" s="5" t="s">
        <v>3647</v>
      </c>
      <c r="J1798" s="5" t="s">
        <v>4658</v>
      </c>
      <c r="K1798" s="5" t="s">
        <v>4659</v>
      </c>
    </row>
    <row r="1799" spans="2:11">
      <c r="B1799" s="5"/>
      <c r="F1799" s="5" t="s">
        <v>3648</v>
      </c>
      <c r="G1799" s="5" t="s">
        <v>3649</v>
      </c>
      <c r="J1799" s="5" t="s">
        <v>4660</v>
      </c>
      <c r="K1799" s="5" t="s">
        <v>4661</v>
      </c>
    </row>
    <row r="1800" spans="2:11">
      <c r="B1800" s="5"/>
      <c r="F1800" s="5" t="s">
        <v>3650</v>
      </c>
      <c r="G1800" s="5" t="s">
        <v>3651</v>
      </c>
      <c r="J1800" s="5" t="s">
        <v>4662</v>
      </c>
      <c r="K1800" s="5" t="s">
        <v>4663</v>
      </c>
    </row>
    <row r="1801" spans="2:11">
      <c r="B1801" s="5"/>
      <c r="F1801" s="5" t="s">
        <v>3652</v>
      </c>
      <c r="G1801" s="5" t="s">
        <v>3653</v>
      </c>
      <c r="J1801" s="5" t="s">
        <v>4664</v>
      </c>
      <c r="K1801" s="5" t="s">
        <v>4665</v>
      </c>
    </row>
    <row r="1802" spans="2:11">
      <c r="B1802" s="5"/>
      <c r="F1802" s="5" t="s">
        <v>3654</v>
      </c>
      <c r="G1802" s="5" t="s">
        <v>3655</v>
      </c>
      <c r="J1802" s="5" t="s">
        <v>4666</v>
      </c>
      <c r="K1802" s="5" t="s">
        <v>4667</v>
      </c>
    </row>
    <row r="1803" spans="2:11">
      <c r="B1803" s="5"/>
      <c r="F1803" s="5" t="s">
        <v>3656</v>
      </c>
      <c r="G1803" s="5" t="s">
        <v>3657</v>
      </c>
      <c r="J1803" s="5" t="s">
        <v>4668</v>
      </c>
      <c r="K1803" s="5" t="s">
        <v>4669</v>
      </c>
    </row>
    <row r="1804" spans="2:11">
      <c r="B1804" s="5"/>
      <c r="F1804" s="5" t="s">
        <v>3658</v>
      </c>
      <c r="G1804" s="5" t="s">
        <v>3659</v>
      </c>
      <c r="J1804" s="5" t="s">
        <v>4670</v>
      </c>
      <c r="K1804" s="5" t="s">
        <v>4671</v>
      </c>
    </row>
    <row r="1805" spans="2:11">
      <c r="B1805" s="5"/>
      <c r="F1805" s="5" t="s">
        <v>3660</v>
      </c>
      <c r="G1805" s="5" t="s">
        <v>3661</v>
      </c>
      <c r="J1805" s="5" t="s">
        <v>4672</v>
      </c>
      <c r="K1805" s="5" t="s">
        <v>4673</v>
      </c>
    </row>
    <row r="1806" spans="2:11">
      <c r="B1806" s="5"/>
      <c r="F1806" s="5" t="s">
        <v>3662</v>
      </c>
      <c r="G1806" s="5" t="s">
        <v>3663</v>
      </c>
      <c r="J1806" s="5" t="s">
        <v>4674</v>
      </c>
      <c r="K1806" s="5" t="s">
        <v>4675</v>
      </c>
    </row>
    <row r="1807" spans="2:11">
      <c r="B1807" s="5"/>
      <c r="F1807" s="5" t="s">
        <v>3664</v>
      </c>
      <c r="G1807" s="5" t="s">
        <v>3665</v>
      </c>
      <c r="J1807" s="5" t="s">
        <v>4676</v>
      </c>
      <c r="K1807" s="5" t="s">
        <v>4677</v>
      </c>
    </row>
    <row r="1808" spans="2:11">
      <c r="B1808" s="5"/>
      <c r="F1808" s="5" t="s">
        <v>3666</v>
      </c>
      <c r="G1808" s="5" t="s">
        <v>3667</v>
      </c>
      <c r="J1808" s="5" t="s">
        <v>4678</v>
      </c>
      <c r="K1808" s="5" t="s">
        <v>4679</v>
      </c>
    </row>
    <row r="1809" spans="2:11">
      <c r="B1809" s="5"/>
      <c r="F1809" s="5" t="s">
        <v>3668</v>
      </c>
      <c r="G1809" s="5" t="s">
        <v>3669</v>
      </c>
      <c r="J1809" s="5" t="s">
        <v>4680</v>
      </c>
      <c r="K1809" s="5" t="s">
        <v>4681</v>
      </c>
    </row>
    <row r="1810" spans="2:11">
      <c r="B1810" s="5"/>
      <c r="F1810" s="5" t="s">
        <v>3670</v>
      </c>
      <c r="G1810" s="5" t="s">
        <v>3671</v>
      </c>
      <c r="J1810" s="5" t="s">
        <v>4682</v>
      </c>
      <c r="K1810" s="5" t="s">
        <v>4683</v>
      </c>
    </row>
    <row r="1811" spans="2:11">
      <c r="B1811" s="5"/>
      <c r="F1811" s="5" t="s">
        <v>3672</v>
      </c>
      <c r="G1811" s="5" t="s">
        <v>3673</v>
      </c>
      <c r="J1811" s="5" t="s">
        <v>4684</v>
      </c>
      <c r="K1811" s="5" t="s">
        <v>4685</v>
      </c>
    </row>
    <row r="1812" spans="2:11">
      <c r="B1812" s="5"/>
      <c r="F1812" s="5" t="s">
        <v>3674</v>
      </c>
      <c r="G1812" s="5" t="s">
        <v>3675</v>
      </c>
      <c r="J1812" s="5" t="s">
        <v>4686</v>
      </c>
      <c r="K1812" s="5" t="s">
        <v>4687</v>
      </c>
    </row>
    <row r="1813" spans="2:11">
      <c r="B1813" s="5"/>
      <c r="F1813" s="5" t="s">
        <v>3676</v>
      </c>
      <c r="G1813" s="5" t="s">
        <v>3677</v>
      </c>
      <c r="J1813" s="5" t="s">
        <v>4688</v>
      </c>
      <c r="K1813" s="5" t="s">
        <v>4689</v>
      </c>
    </row>
    <row r="1814" spans="2:11">
      <c r="B1814" s="5"/>
      <c r="F1814" s="5" t="s">
        <v>3678</v>
      </c>
      <c r="G1814" s="5" t="s">
        <v>3679</v>
      </c>
      <c r="J1814" s="5" t="s">
        <v>4690</v>
      </c>
      <c r="K1814" s="5" t="s">
        <v>4691</v>
      </c>
    </row>
    <row r="1815" spans="2:11">
      <c r="B1815" s="5"/>
      <c r="F1815" s="5" t="s">
        <v>3680</v>
      </c>
      <c r="G1815" s="5" t="s">
        <v>3681</v>
      </c>
      <c r="J1815" s="5" t="s">
        <v>4692</v>
      </c>
      <c r="K1815" s="5" t="s">
        <v>4693</v>
      </c>
    </row>
    <row r="1816" spans="2:11">
      <c r="B1816" s="5"/>
      <c r="F1816" s="5" t="s">
        <v>3682</v>
      </c>
      <c r="G1816" s="5" t="s">
        <v>3683</v>
      </c>
      <c r="J1816" s="5" t="s">
        <v>4694</v>
      </c>
      <c r="K1816" s="5" t="s">
        <v>4695</v>
      </c>
    </row>
    <row r="1817" spans="2:11">
      <c r="B1817" s="5"/>
      <c r="F1817" s="5" t="s">
        <v>3684</v>
      </c>
      <c r="G1817" s="5" t="s">
        <v>3685</v>
      </c>
      <c r="J1817" s="5" t="s">
        <v>4696</v>
      </c>
      <c r="K1817" s="5" t="s">
        <v>4697</v>
      </c>
    </row>
    <row r="1818" spans="2:11">
      <c r="B1818" s="5"/>
      <c r="F1818" s="5" t="s">
        <v>3686</v>
      </c>
      <c r="G1818" s="5" t="s">
        <v>3687</v>
      </c>
      <c r="J1818" s="5" t="s">
        <v>4698</v>
      </c>
      <c r="K1818" s="5" t="s">
        <v>4699</v>
      </c>
    </row>
    <row r="1819" spans="2:11">
      <c r="B1819" s="5"/>
      <c r="F1819" s="5" t="s">
        <v>3688</v>
      </c>
      <c r="G1819" s="5" t="s">
        <v>3689</v>
      </c>
      <c r="J1819" s="5" t="s">
        <v>4700</v>
      </c>
      <c r="K1819" s="5" t="s">
        <v>4701</v>
      </c>
    </row>
    <row r="1820" spans="2:11">
      <c r="B1820" s="5"/>
      <c r="F1820" s="5" t="s">
        <v>3690</v>
      </c>
      <c r="G1820" s="5" t="s">
        <v>3691</v>
      </c>
      <c r="J1820" s="5" t="s">
        <v>4702</v>
      </c>
      <c r="K1820" s="5" t="s">
        <v>4703</v>
      </c>
    </row>
    <row r="1821" spans="2:11">
      <c r="B1821" s="5"/>
      <c r="F1821" s="5" t="s">
        <v>3692</v>
      </c>
      <c r="G1821" s="5" t="s">
        <v>3693</v>
      </c>
      <c r="J1821" s="5" t="s">
        <v>4704</v>
      </c>
      <c r="K1821" s="5" t="s">
        <v>4705</v>
      </c>
    </row>
    <row r="1822" spans="2:11">
      <c r="B1822" s="5"/>
      <c r="F1822" s="5" t="s">
        <v>3694</v>
      </c>
      <c r="G1822" s="5" t="s">
        <v>3695</v>
      </c>
      <c r="J1822" s="5" t="s">
        <v>4706</v>
      </c>
      <c r="K1822" s="5" t="s">
        <v>4707</v>
      </c>
    </row>
    <row r="1823" spans="2:11">
      <c r="B1823" s="5"/>
      <c r="F1823" s="5" t="s">
        <v>3696</v>
      </c>
      <c r="G1823" s="5" t="s">
        <v>3697</v>
      </c>
      <c r="J1823" s="5" t="s">
        <v>4708</v>
      </c>
      <c r="K1823" s="5" t="s">
        <v>4709</v>
      </c>
    </row>
    <row r="1824" spans="2:11">
      <c r="B1824" s="5"/>
      <c r="F1824" s="5" t="s">
        <v>3698</v>
      </c>
      <c r="G1824" s="5" t="s">
        <v>3699</v>
      </c>
      <c r="J1824" s="5" t="s">
        <v>4710</v>
      </c>
      <c r="K1824" s="5" t="s">
        <v>4711</v>
      </c>
    </row>
    <row r="1825" spans="2:11">
      <c r="B1825" s="5"/>
      <c r="F1825" s="5" t="s">
        <v>3700</v>
      </c>
      <c r="G1825" s="5" t="s">
        <v>3701</v>
      </c>
      <c r="J1825" s="5" t="s">
        <v>4712</v>
      </c>
      <c r="K1825" s="5" t="s">
        <v>4713</v>
      </c>
    </row>
    <row r="1826" spans="2:11">
      <c r="B1826" s="5"/>
      <c r="F1826" s="5" t="s">
        <v>3702</v>
      </c>
      <c r="G1826" s="5" t="s">
        <v>3703</v>
      </c>
      <c r="J1826" s="5" t="s">
        <v>4714</v>
      </c>
      <c r="K1826" s="5" t="s">
        <v>4715</v>
      </c>
    </row>
    <row r="1827" spans="2:11">
      <c r="B1827" s="5"/>
      <c r="F1827" s="5" t="s">
        <v>3704</v>
      </c>
      <c r="G1827" s="5" t="s">
        <v>3705</v>
      </c>
      <c r="J1827" s="5" t="s">
        <v>4716</v>
      </c>
      <c r="K1827" s="5" t="s">
        <v>4717</v>
      </c>
    </row>
    <row r="1828" spans="2:11">
      <c r="B1828" s="5"/>
      <c r="F1828" s="5" t="s">
        <v>3706</v>
      </c>
      <c r="G1828" s="5" t="s">
        <v>3707</v>
      </c>
      <c r="J1828" s="5" t="s">
        <v>4718</v>
      </c>
      <c r="K1828" s="5" t="s">
        <v>4719</v>
      </c>
    </row>
    <row r="1829" spans="2:11">
      <c r="B1829" s="5"/>
      <c r="F1829" s="5" t="s">
        <v>3708</v>
      </c>
      <c r="G1829" s="5" t="s">
        <v>3709</v>
      </c>
      <c r="J1829" s="5" t="s">
        <v>4720</v>
      </c>
      <c r="K1829" s="5" t="s">
        <v>4721</v>
      </c>
    </row>
    <row r="1830" spans="2:11">
      <c r="B1830" s="5"/>
      <c r="F1830" s="5" t="s">
        <v>3710</v>
      </c>
      <c r="G1830" s="5" t="s">
        <v>3711</v>
      </c>
      <c r="J1830" s="5" t="s">
        <v>4722</v>
      </c>
      <c r="K1830" s="5" t="s">
        <v>4723</v>
      </c>
    </row>
    <row r="1831" spans="2:11">
      <c r="B1831" s="5"/>
      <c r="F1831" s="5" t="s">
        <v>3712</v>
      </c>
      <c r="G1831" s="5" t="s">
        <v>3713</v>
      </c>
      <c r="J1831" s="5" t="s">
        <v>4724</v>
      </c>
      <c r="K1831" s="5" t="s">
        <v>4725</v>
      </c>
    </row>
    <row r="1832" spans="2:11">
      <c r="B1832" s="5"/>
      <c r="F1832" s="5" t="s">
        <v>3714</v>
      </c>
      <c r="G1832" s="5" t="s">
        <v>3715</v>
      </c>
      <c r="J1832" s="5" t="s">
        <v>4726</v>
      </c>
      <c r="K1832" s="5" t="s">
        <v>4727</v>
      </c>
    </row>
    <row r="1833" spans="2:11">
      <c r="B1833" s="5"/>
      <c r="F1833" s="5" t="s">
        <v>3716</v>
      </c>
      <c r="G1833" s="5" t="s">
        <v>3717</v>
      </c>
      <c r="J1833" s="5" t="s">
        <v>4728</v>
      </c>
      <c r="K1833" s="5" t="s">
        <v>4729</v>
      </c>
    </row>
    <row r="1834" spans="2:11">
      <c r="B1834" s="5"/>
      <c r="F1834" s="5" t="s">
        <v>3718</v>
      </c>
      <c r="G1834" s="5" t="s">
        <v>3719</v>
      </c>
      <c r="J1834" s="5" t="s">
        <v>4730</v>
      </c>
      <c r="K1834" s="5" t="s">
        <v>4731</v>
      </c>
    </row>
    <row r="1835" spans="2:11">
      <c r="B1835" s="5"/>
      <c r="F1835" s="5" t="s">
        <v>3720</v>
      </c>
      <c r="G1835" s="5" t="s">
        <v>3721</v>
      </c>
      <c r="J1835" s="5" t="s">
        <v>4732</v>
      </c>
      <c r="K1835" s="5" t="s">
        <v>4733</v>
      </c>
    </row>
    <row r="1836" spans="2:11">
      <c r="B1836" s="5"/>
      <c r="F1836" s="5" t="s">
        <v>3722</v>
      </c>
      <c r="G1836" s="5" t="s">
        <v>3723</v>
      </c>
      <c r="J1836" s="5" t="s">
        <v>4734</v>
      </c>
      <c r="K1836" s="5" t="s">
        <v>4735</v>
      </c>
    </row>
    <row r="1837" spans="2:11">
      <c r="B1837" s="5"/>
      <c r="F1837" s="5" t="s">
        <v>3724</v>
      </c>
      <c r="G1837" s="5" t="s">
        <v>3725</v>
      </c>
      <c r="J1837" s="5" t="s">
        <v>4736</v>
      </c>
      <c r="K1837" s="5" t="s">
        <v>4737</v>
      </c>
    </row>
    <row r="1838" spans="2:11">
      <c r="B1838" s="5"/>
      <c r="F1838" s="5" t="s">
        <v>3726</v>
      </c>
      <c r="G1838" s="5" t="s">
        <v>3727</v>
      </c>
      <c r="J1838" s="5" t="s">
        <v>4738</v>
      </c>
      <c r="K1838" s="5" t="s">
        <v>4739</v>
      </c>
    </row>
    <row r="1839" spans="2:11">
      <c r="B1839" s="5"/>
      <c r="F1839" s="5" t="s">
        <v>3728</v>
      </c>
      <c r="G1839" s="5" t="s">
        <v>3729</v>
      </c>
      <c r="J1839" s="5" t="s">
        <v>4740</v>
      </c>
      <c r="K1839" s="5" t="s">
        <v>4741</v>
      </c>
    </row>
    <row r="1840" spans="2:11">
      <c r="B1840" s="5"/>
      <c r="F1840" s="5" t="s">
        <v>3730</v>
      </c>
      <c r="G1840" s="5" t="s">
        <v>3731</v>
      </c>
      <c r="J1840" s="5" t="s">
        <v>4742</v>
      </c>
      <c r="K1840" s="5" t="s">
        <v>4743</v>
      </c>
    </row>
    <row r="1841" spans="2:11">
      <c r="B1841" s="5"/>
      <c r="F1841" s="5" t="s">
        <v>3732</v>
      </c>
      <c r="G1841" s="5" t="s">
        <v>3733</v>
      </c>
      <c r="J1841" s="5" t="s">
        <v>4744</v>
      </c>
      <c r="K1841" s="5" t="s">
        <v>4745</v>
      </c>
    </row>
    <row r="1842" spans="2:11">
      <c r="B1842" s="5"/>
      <c r="F1842" s="5" t="s">
        <v>3734</v>
      </c>
      <c r="G1842" s="5" t="s">
        <v>3735</v>
      </c>
      <c r="J1842" s="5" t="s">
        <v>4746</v>
      </c>
      <c r="K1842" s="5" t="s">
        <v>4747</v>
      </c>
    </row>
    <row r="1843" spans="2:11">
      <c r="B1843" s="5"/>
      <c r="F1843" s="5" t="s">
        <v>3736</v>
      </c>
      <c r="G1843" s="5" t="s">
        <v>3737</v>
      </c>
      <c r="J1843" s="5" t="s">
        <v>4748</v>
      </c>
      <c r="K1843" s="5" t="s">
        <v>4749</v>
      </c>
    </row>
    <row r="1844" spans="2:11">
      <c r="B1844" s="5"/>
      <c r="F1844" s="5" t="s">
        <v>3738</v>
      </c>
      <c r="G1844" s="5" t="s">
        <v>3739</v>
      </c>
      <c r="J1844" s="5" t="s">
        <v>4750</v>
      </c>
      <c r="K1844" s="5" t="s">
        <v>4751</v>
      </c>
    </row>
    <row r="1845" spans="2:11">
      <c r="B1845" s="5"/>
      <c r="F1845" s="5" t="s">
        <v>3740</v>
      </c>
      <c r="G1845" s="5" t="s">
        <v>3741</v>
      </c>
      <c r="J1845" s="5" t="s">
        <v>4752</v>
      </c>
      <c r="K1845" s="5" t="s">
        <v>4753</v>
      </c>
    </row>
    <row r="1846" spans="2:11">
      <c r="B1846" s="5"/>
      <c r="F1846" s="5" t="s">
        <v>3742</v>
      </c>
      <c r="G1846" s="5" t="s">
        <v>3743</v>
      </c>
      <c r="J1846" s="5" t="s">
        <v>4754</v>
      </c>
      <c r="K1846" s="5" t="s">
        <v>4755</v>
      </c>
    </row>
    <row r="1847" spans="2:11">
      <c r="B1847" s="5"/>
      <c r="F1847" s="5" t="s">
        <v>3744</v>
      </c>
      <c r="G1847" s="5" t="s">
        <v>3745</v>
      </c>
      <c r="J1847" s="5" t="s">
        <v>4756</v>
      </c>
      <c r="K1847" s="5" t="s">
        <v>4757</v>
      </c>
    </row>
    <row r="1848" spans="2:11">
      <c r="B1848" s="5"/>
      <c r="F1848" s="5" t="s">
        <v>3746</v>
      </c>
      <c r="G1848" s="5" t="s">
        <v>3747</v>
      </c>
      <c r="J1848" s="5" t="s">
        <v>4758</v>
      </c>
      <c r="K1848" s="5" t="s">
        <v>4759</v>
      </c>
    </row>
    <row r="1849" spans="2:11">
      <c r="B1849" s="5"/>
      <c r="F1849" s="5" t="s">
        <v>3748</v>
      </c>
      <c r="G1849" s="5" t="s">
        <v>3749</v>
      </c>
      <c r="J1849" s="5" t="s">
        <v>4760</v>
      </c>
      <c r="K1849" s="5" t="s">
        <v>4761</v>
      </c>
    </row>
    <row r="1850" spans="2:11">
      <c r="B1850" s="5"/>
      <c r="F1850" s="5" t="s">
        <v>3750</v>
      </c>
      <c r="G1850" s="5" t="s">
        <v>3751</v>
      </c>
      <c r="J1850" s="5" t="s">
        <v>4762</v>
      </c>
      <c r="K1850" s="5" t="s">
        <v>4763</v>
      </c>
    </row>
    <row r="1851" spans="2:11">
      <c r="B1851" s="5"/>
      <c r="F1851" s="5" t="s">
        <v>3752</v>
      </c>
      <c r="G1851" s="5" t="s">
        <v>3753</v>
      </c>
      <c r="J1851" s="5" t="s">
        <v>4764</v>
      </c>
      <c r="K1851" s="5" t="s">
        <v>4765</v>
      </c>
    </row>
    <row r="1852" spans="2:11">
      <c r="B1852" s="5"/>
      <c r="F1852" s="5" t="s">
        <v>3754</v>
      </c>
      <c r="G1852" s="5" t="s">
        <v>3755</v>
      </c>
      <c r="J1852" s="5" t="s">
        <v>4766</v>
      </c>
      <c r="K1852" s="5" t="s">
        <v>4767</v>
      </c>
    </row>
    <row r="1853" spans="2:11">
      <c r="B1853" s="5"/>
      <c r="F1853" s="5" t="s">
        <v>3756</v>
      </c>
      <c r="G1853" s="5" t="s">
        <v>3757</v>
      </c>
      <c r="J1853" s="5" t="s">
        <v>4768</v>
      </c>
      <c r="K1853" s="5" t="s">
        <v>4769</v>
      </c>
    </row>
    <row r="1854" spans="2:11">
      <c r="B1854" s="5"/>
      <c r="F1854" s="5" t="s">
        <v>3758</v>
      </c>
      <c r="G1854" s="5" t="s">
        <v>3759</v>
      </c>
      <c r="J1854" s="5" t="s">
        <v>4770</v>
      </c>
      <c r="K1854" s="5" t="s">
        <v>4771</v>
      </c>
    </row>
    <row r="1855" spans="2:11">
      <c r="B1855" s="5"/>
      <c r="F1855" s="5" t="s">
        <v>3760</v>
      </c>
      <c r="G1855" s="5" t="s">
        <v>3761</v>
      </c>
      <c r="J1855" s="5" t="s">
        <v>4772</v>
      </c>
      <c r="K1855" s="5" t="s">
        <v>4773</v>
      </c>
    </row>
    <row r="1856" spans="2:11">
      <c r="B1856" s="5"/>
      <c r="F1856" s="5" t="s">
        <v>3762</v>
      </c>
      <c r="G1856" s="5" t="s">
        <v>3763</v>
      </c>
      <c r="J1856" s="5" t="s">
        <v>4774</v>
      </c>
      <c r="K1856" s="5" t="s">
        <v>4775</v>
      </c>
    </row>
    <row r="1857" spans="2:11">
      <c r="B1857" s="5"/>
      <c r="F1857" s="5" t="s">
        <v>3764</v>
      </c>
      <c r="G1857" s="5" t="s">
        <v>3765</v>
      </c>
      <c r="J1857" s="5" t="s">
        <v>4776</v>
      </c>
      <c r="K1857" s="5" t="s">
        <v>4777</v>
      </c>
    </row>
    <row r="1858" spans="2:11">
      <c r="B1858" s="5"/>
      <c r="F1858" s="5" t="s">
        <v>3766</v>
      </c>
      <c r="G1858" s="5" t="s">
        <v>3767</v>
      </c>
      <c r="J1858" s="5" t="s">
        <v>4778</v>
      </c>
      <c r="K1858" s="5" t="s">
        <v>4779</v>
      </c>
    </row>
    <row r="1859" spans="2:11">
      <c r="B1859" s="5"/>
      <c r="F1859" s="5" t="s">
        <v>3768</v>
      </c>
      <c r="G1859" s="5" t="s">
        <v>3769</v>
      </c>
      <c r="J1859" s="5" t="s">
        <v>4780</v>
      </c>
      <c r="K1859" s="5" t="s">
        <v>4781</v>
      </c>
    </row>
    <row r="1860" spans="2:11">
      <c r="B1860" s="5"/>
      <c r="F1860" s="5" t="s">
        <v>3770</v>
      </c>
      <c r="G1860" s="5" t="s">
        <v>3771</v>
      </c>
      <c r="J1860" s="5" t="s">
        <v>4782</v>
      </c>
      <c r="K1860" s="5" t="s">
        <v>4783</v>
      </c>
    </row>
    <row r="1861" spans="2:11">
      <c r="B1861" s="5"/>
      <c r="F1861" s="5" t="s">
        <v>3772</v>
      </c>
      <c r="G1861" s="5" t="s">
        <v>3773</v>
      </c>
      <c r="J1861" s="5" t="s">
        <v>4784</v>
      </c>
      <c r="K1861" s="5" t="s">
        <v>4785</v>
      </c>
    </row>
    <row r="1862" spans="2:11">
      <c r="B1862" s="5"/>
      <c r="F1862" s="5" t="s">
        <v>3774</v>
      </c>
      <c r="G1862" s="5" t="s">
        <v>3775</v>
      </c>
      <c r="J1862" s="5" t="s">
        <v>4786</v>
      </c>
      <c r="K1862" s="5" t="s">
        <v>4787</v>
      </c>
    </row>
    <row r="1863" spans="2:11">
      <c r="B1863" s="5"/>
      <c r="F1863" s="5" t="s">
        <v>3776</v>
      </c>
      <c r="G1863" s="5" t="s">
        <v>3777</v>
      </c>
      <c r="J1863" s="5" t="s">
        <v>4788</v>
      </c>
      <c r="K1863" s="5" t="s">
        <v>4789</v>
      </c>
    </row>
    <row r="1864" spans="2:11">
      <c r="B1864" s="5"/>
      <c r="F1864" s="5" t="s">
        <v>3778</v>
      </c>
      <c r="G1864" s="5" t="s">
        <v>3779</v>
      </c>
      <c r="J1864" s="5" t="s">
        <v>4790</v>
      </c>
      <c r="K1864" s="5" t="s">
        <v>4791</v>
      </c>
    </row>
    <row r="1865" spans="2:11">
      <c r="B1865" s="5"/>
      <c r="F1865" s="5" t="s">
        <v>3780</v>
      </c>
      <c r="G1865" s="5" t="s">
        <v>3781</v>
      </c>
      <c r="J1865" s="5" t="s">
        <v>4792</v>
      </c>
      <c r="K1865" s="5" t="s">
        <v>4793</v>
      </c>
    </row>
    <row r="1866" spans="2:11">
      <c r="B1866" s="5"/>
      <c r="F1866" s="5" t="s">
        <v>3782</v>
      </c>
      <c r="G1866" s="5" t="s">
        <v>3783</v>
      </c>
      <c r="J1866" s="5" t="s">
        <v>4794</v>
      </c>
      <c r="K1866" s="5" t="s">
        <v>4795</v>
      </c>
    </row>
    <row r="1867" spans="2:11">
      <c r="B1867" s="5"/>
      <c r="F1867" s="5" t="s">
        <v>3784</v>
      </c>
      <c r="G1867" s="5" t="s">
        <v>3785</v>
      </c>
      <c r="J1867" s="5" t="s">
        <v>4796</v>
      </c>
      <c r="K1867" s="5" t="s">
        <v>4797</v>
      </c>
    </row>
    <row r="1868" spans="2:11">
      <c r="B1868" s="5"/>
      <c r="F1868" s="5" t="s">
        <v>3786</v>
      </c>
      <c r="G1868" s="5" t="s">
        <v>3787</v>
      </c>
      <c r="J1868" s="5" t="s">
        <v>4798</v>
      </c>
      <c r="K1868" s="5" t="s">
        <v>4799</v>
      </c>
    </row>
    <row r="1869" spans="2:11">
      <c r="B1869" s="5"/>
      <c r="F1869" s="5" t="s">
        <v>3788</v>
      </c>
      <c r="G1869" s="5" t="s">
        <v>3789</v>
      </c>
      <c r="J1869" s="5" t="s">
        <v>4800</v>
      </c>
      <c r="K1869" s="5" t="s">
        <v>4801</v>
      </c>
    </row>
    <row r="1870" spans="2:11">
      <c r="B1870" s="5"/>
      <c r="F1870" s="5" t="s">
        <v>3790</v>
      </c>
      <c r="G1870" s="5" t="s">
        <v>3791</v>
      </c>
      <c r="J1870" s="5" t="s">
        <v>4802</v>
      </c>
      <c r="K1870" s="5" t="s">
        <v>4803</v>
      </c>
    </row>
    <row r="1871" spans="2:11">
      <c r="B1871" s="5"/>
      <c r="F1871" s="5" t="s">
        <v>3792</v>
      </c>
      <c r="G1871" s="5" t="s">
        <v>3793</v>
      </c>
      <c r="J1871" s="5" t="s">
        <v>4804</v>
      </c>
      <c r="K1871" s="5" t="s">
        <v>4805</v>
      </c>
    </row>
    <row r="1872" spans="2:11">
      <c r="B1872" s="5"/>
      <c r="F1872" s="5" t="s">
        <v>3794</v>
      </c>
      <c r="G1872" s="5" t="s">
        <v>3795</v>
      </c>
      <c r="J1872" s="5" t="s">
        <v>4806</v>
      </c>
      <c r="K1872" s="5" t="s">
        <v>4807</v>
      </c>
    </row>
    <row r="1873" spans="2:11">
      <c r="B1873" s="5"/>
      <c r="F1873" s="5" t="s">
        <v>3796</v>
      </c>
      <c r="G1873" s="5" t="s">
        <v>3797</v>
      </c>
      <c r="J1873" s="5" t="s">
        <v>4808</v>
      </c>
      <c r="K1873" s="5" t="s">
        <v>4809</v>
      </c>
    </row>
    <row r="1874" spans="2:11">
      <c r="B1874" s="5"/>
      <c r="F1874" s="5" t="s">
        <v>3798</v>
      </c>
      <c r="G1874" s="5" t="s">
        <v>3799</v>
      </c>
      <c r="J1874" s="5" t="s">
        <v>4810</v>
      </c>
      <c r="K1874" s="5" t="s">
        <v>4811</v>
      </c>
    </row>
    <row r="1875" spans="2:11">
      <c r="B1875" s="5"/>
      <c r="F1875" s="5" t="s">
        <v>3800</v>
      </c>
      <c r="G1875" s="5" t="s">
        <v>3801</v>
      </c>
      <c r="J1875" s="5" t="s">
        <v>4812</v>
      </c>
      <c r="K1875" s="5" t="s">
        <v>4813</v>
      </c>
    </row>
    <row r="1876" spans="2:11">
      <c r="B1876" s="5"/>
      <c r="F1876" s="5" t="s">
        <v>3802</v>
      </c>
      <c r="G1876" s="5" t="s">
        <v>3803</v>
      </c>
      <c r="J1876" s="5" t="s">
        <v>4814</v>
      </c>
      <c r="K1876" s="5" t="s">
        <v>4815</v>
      </c>
    </row>
    <row r="1877" spans="2:11">
      <c r="B1877" s="5"/>
      <c r="F1877" s="5" t="s">
        <v>3804</v>
      </c>
      <c r="G1877" s="5" t="s">
        <v>3805</v>
      </c>
      <c r="J1877" s="5" t="s">
        <v>4816</v>
      </c>
      <c r="K1877" s="5" t="s">
        <v>4817</v>
      </c>
    </row>
    <row r="1878" spans="2:11">
      <c r="B1878" s="5"/>
      <c r="F1878" s="5" t="s">
        <v>3806</v>
      </c>
      <c r="G1878" s="5" t="s">
        <v>3807</v>
      </c>
      <c r="J1878" s="5" t="s">
        <v>4818</v>
      </c>
      <c r="K1878" s="5" t="s">
        <v>4819</v>
      </c>
    </row>
    <row r="1879" spans="2:11">
      <c r="B1879" s="5"/>
      <c r="F1879" s="5" t="s">
        <v>3808</v>
      </c>
      <c r="G1879" s="5" t="s">
        <v>3809</v>
      </c>
      <c r="J1879" s="5" t="s">
        <v>4820</v>
      </c>
      <c r="K1879" s="5" t="s">
        <v>4821</v>
      </c>
    </row>
    <row r="1880" spans="2:11">
      <c r="B1880" s="5"/>
      <c r="F1880" s="5" t="s">
        <v>3810</v>
      </c>
      <c r="G1880" s="5" t="s">
        <v>3811</v>
      </c>
      <c r="J1880" s="5" t="s">
        <v>4822</v>
      </c>
      <c r="K1880" s="5" t="s">
        <v>4823</v>
      </c>
    </row>
    <row r="1881" spans="2:11">
      <c r="B1881" s="5"/>
      <c r="F1881" s="5" t="s">
        <v>3812</v>
      </c>
      <c r="G1881" s="5" t="s">
        <v>3813</v>
      </c>
      <c r="J1881" s="5" t="s">
        <v>4824</v>
      </c>
      <c r="K1881" s="5" t="s">
        <v>4825</v>
      </c>
    </row>
    <row r="1882" spans="2:11">
      <c r="B1882" s="5"/>
      <c r="F1882" s="5" t="s">
        <v>3814</v>
      </c>
      <c r="G1882" s="5" t="s">
        <v>3815</v>
      </c>
      <c r="J1882" s="5" t="s">
        <v>4826</v>
      </c>
      <c r="K1882" s="5" t="s">
        <v>4827</v>
      </c>
    </row>
    <row r="1883" spans="2:11">
      <c r="B1883" s="5"/>
      <c r="F1883" s="5" t="s">
        <v>3816</v>
      </c>
      <c r="G1883" s="5" t="s">
        <v>3817</v>
      </c>
      <c r="J1883" s="5" t="s">
        <v>4828</v>
      </c>
      <c r="K1883" s="5" t="s">
        <v>4829</v>
      </c>
    </row>
    <row r="1884" spans="2:11">
      <c r="B1884" s="5"/>
      <c r="F1884" s="5" t="s">
        <v>3818</v>
      </c>
      <c r="G1884" s="5" t="s">
        <v>3819</v>
      </c>
      <c r="J1884" s="5" t="s">
        <v>4830</v>
      </c>
      <c r="K1884" s="5" t="s">
        <v>4831</v>
      </c>
    </row>
    <row r="1885" spans="2:11">
      <c r="B1885" s="5"/>
      <c r="F1885" s="5" t="s">
        <v>3820</v>
      </c>
      <c r="G1885" s="5" t="s">
        <v>3821</v>
      </c>
      <c r="J1885" s="5" t="s">
        <v>4832</v>
      </c>
      <c r="K1885" s="5" t="s">
        <v>4833</v>
      </c>
    </row>
    <row r="1886" spans="2:11">
      <c r="B1886" s="5"/>
      <c r="F1886" s="5" t="s">
        <v>3822</v>
      </c>
      <c r="G1886" s="5" t="s">
        <v>3823</v>
      </c>
      <c r="J1886" s="5" t="s">
        <v>4834</v>
      </c>
      <c r="K1886" s="5" t="s">
        <v>4835</v>
      </c>
    </row>
    <row r="1887" spans="2:11">
      <c r="B1887" s="5"/>
      <c r="F1887" s="5" t="s">
        <v>3824</v>
      </c>
      <c r="G1887" s="5" t="s">
        <v>3825</v>
      </c>
      <c r="J1887" s="5" t="s">
        <v>4836</v>
      </c>
      <c r="K1887" s="5" t="s">
        <v>4837</v>
      </c>
    </row>
    <row r="1888" spans="2:11">
      <c r="B1888" s="5"/>
      <c r="F1888" s="5" t="s">
        <v>3826</v>
      </c>
      <c r="G1888" s="5" t="s">
        <v>3827</v>
      </c>
      <c r="J1888" s="5" t="s">
        <v>4838</v>
      </c>
      <c r="K1888" s="5" t="s">
        <v>4839</v>
      </c>
    </row>
    <row r="1889" spans="2:11">
      <c r="B1889" s="5"/>
      <c r="F1889" s="5" t="s">
        <v>3828</v>
      </c>
      <c r="G1889" s="5" t="s">
        <v>3829</v>
      </c>
      <c r="J1889" s="5" t="s">
        <v>4840</v>
      </c>
      <c r="K1889" s="5" t="s">
        <v>4841</v>
      </c>
    </row>
    <row r="1890" spans="2:11">
      <c r="B1890" s="5"/>
      <c r="F1890" s="5" t="s">
        <v>3830</v>
      </c>
      <c r="G1890" s="5" t="s">
        <v>3831</v>
      </c>
      <c r="J1890" s="5" t="s">
        <v>4842</v>
      </c>
      <c r="K1890" s="5" t="s">
        <v>4843</v>
      </c>
    </row>
    <row r="1891" spans="2:11">
      <c r="B1891" s="5"/>
      <c r="F1891" s="5" t="s">
        <v>3832</v>
      </c>
      <c r="G1891" s="5" t="s">
        <v>3833</v>
      </c>
      <c r="J1891" s="5" t="s">
        <v>4844</v>
      </c>
      <c r="K1891" s="5" t="s">
        <v>4845</v>
      </c>
    </row>
    <row r="1892" spans="2:11">
      <c r="B1892" s="5"/>
      <c r="F1892" s="5" t="s">
        <v>3834</v>
      </c>
      <c r="G1892" s="5" t="s">
        <v>3835</v>
      </c>
      <c r="J1892" s="5" t="s">
        <v>4846</v>
      </c>
      <c r="K1892" s="5" t="s">
        <v>4847</v>
      </c>
    </row>
    <row r="1893" spans="2:11">
      <c r="B1893" s="5"/>
      <c r="F1893" s="5" t="s">
        <v>3836</v>
      </c>
      <c r="G1893" s="5" t="s">
        <v>3837</v>
      </c>
      <c r="J1893" s="5" t="s">
        <v>4848</v>
      </c>
      <c r="K1893" s="5" t="s">
        <v>4849</v>
      </c>
    </row>
    <row r="1894" spans="2:11">
      <c r="B1894" s="5"/>
      <c r="F1894" s="5" t="s">
        <v>3838</v>
      </c>
      <c r="G1894" s="5" t="s">
        <v>3839</v>
      </c>
      <c r="J1894" s="5" t="s">
        <v>4850</v>
      </c>
      <c r="K1894" s="5" t="s">
        <v>4851</v>
      </c>
    </row>
    <row r="1895" spans="2:11">
      <c r="B1895" s="5"/>
      <c r="F1895" s="5" t="s">
        <v>3840</v>
      </c>
      <c r="G1895" s="5" t="s">
        <v>3841</v>
      </c>
      <c r="J1895" s="5" t="s">
        <v>4852</v>
      </c>
      <c r="K1895" s="5" t="s">
        <v>4853</v>
      </c>
    </row>
    <row r="1896" spans="2:11">
      <c r="B1896" s="5"/>
      <c r="F1896" s="5" t="s">
        <v>3842</v>
      </c>
      <c r="G1896" s="5" t="s">
        <v>3843</v>
      </c>
      <c r="J1896" s="5" t="s">
        <v>4854</v>
      </c>
      <c r="K1896" s="5" t="s">
        <v>4855</v>
      </c>
    </row>
    <row r="1897" spans="2:11">
      <c r="B1897" s="5"/>
      <c r="F1897" s="5" t="s">
        <v>3844</v>
      </c>
      <c r="G1897" s="5" t="s">
        <v>3845</v>
      </c>
      <c r="J1897" s="5" t="s">
        <v>4856</v>
      </c>
      <c r="K1897" s="5" t="s">
        <v>4857</v>
      </c>
    </row>
    <row r="1898" spans="2:11">
      <c r="B1898" s="5"/>
      <c r="F1898" s="5" t="s">
        <v>3846</v>
      </c>
      <c r="G1898" s="5" t="s">
        <v>3847</v>
      </c>
      <c r="J1898" s="5" t="s">
        <v>4858</v>
      </c>
      <c r="K1898" s="5" t="s">
        <v>4859</v>
      </c>
    </row>
    <row r="1899" spans="2:11">
      <c r="B1899" s="5"/>
      <c r="F1899" s="5" t="s">
        <v>3848</v>
      </c>
      <c r="G1899" s="5" t="s">
        <v>3849</v>
      </c>
      <c r="J1899" s="5" t="s">
        <v>4860</v>
      </c>
      <c r="K1899" s="5" t="s">
        <v>4861</v>
      </c>
    </row>
    <row r="1900" spans="2:11">
      <c r="B1900" s="5"/>
      <c r="F1900" s="5" t="s">
        <v>3850</v>
      </c>
      <c r="G1900" s="5" t="s">
        <v>3851</v>
      </c>
      <c r="J1900" s="5" t="s">
        <v>4862</v>
      </c>
      <c r="K1900" s="5" t="s">
        <v>4863</v>
      </c>
    </row>
    <row r="1901" spans="2:11">
      <c r="B1901" s="5"/>
      <c r="F1901" s="5" t="s">
        <v>3852</v>
      </c>
      <c r="G1901" s="5" t="s">
        <v>3853</v>
      </c>
      <c r="J1901" s="5" t="s">
        <v>4864</v>
      </c>
      <c r="K1901" s="5" t="s">
        <v>4865</v>
      </c>
    </row>
    <row r="1902" spans="2:11">
      <c r="B1902" s="5"/>
      <c r="F1902" s="5" t="s">
        <v>3854</v>
      </c>
      <c r="G1902" s="5" t="s">
        <v>3855</v>
      </c>
      <c r="J1902" s="5" t="s">
        <v>4866</v>
      </c>
      <c r="K1902" s="5" t="s">
        <v>4867</v>
      </c>
    </row>
    <row r="1903" spans="2:11">
      <c r="B1903" s="5"/>
      <c r="F1903" s="5" t="s">
        <v>3856</v>
      </c>
      <c r="G1903" s="5" t="s">
        <v>3857</v>
      </c>
      <c r="J1903" s="5" t="s">
        <v>4868</v>
      </c>
      <c r="K1903" s="5" t="s">
        <v>4869</v>
      </c>
    </row>
    <row r="1904" spans="2:11">
      <c r="B1904" s="5"/>
      <c r="F1904" s="5" t="s">
        <v>3858</v>
      </c>
      <c r="G1904" s="5" t="s">
        <v>3859</v>
      </c>
      <c r="J1904" s="5" t="s">
        <v>4870</v>
      </c>
      <c r="K1904" s="5" t="s">
        <v>4871</v>
      </c>
    </row>
    <row r="1905" spans="2:11">
      <c r="B1905" s="5"/>
      <c r="F1905" s="5" t="s">
        <v>3860</v>
      </c>
      <c r="G1905" s="5" t="s">
        <v>3861</v>
      </c>
      <c r="J1905" s="5" t="s">
        <v>4872</v>
      </c>
      <c r="K1905" s="5" t="s">
        <v>4873</v>
      </c>
    </row>
    <row r="1906" spans="2:11">
      <c r="B1906" s="5"/>
      <c r="F1906" s="5" t="s">
        <v>3862</v>
      </c>
      <c r="G1906" s="5" t="s">
        <v>3863</v>
      </c>
      <c r="J1906" s="5" t="s">
        <v>4874</v>
      </c>
      <c r="K1906" s="5" t="s">
        <v>4875</v>
      </c>
    </row>
    <row r="1907" spans="2:11">
      <c r="B1907" s="5"/>
      <c r="F1907" s="5" t="s">
        <v>3864</v>
      </c>
      <c r="G1907" s="5" t="s">
        <v>3865</v>
      </c>
      <c r="J1907" s="5" t="s">
        <v>4876</v>
      </c>
      <c r="K1907" s="5" t="s">
        <v>4877</v>
      </c>
    </row>
    <row r="1908" spans="2:11">
      <c r="B1908" s="5"/>
      <c r="F1908" s="5" t="s">
        <v>3866</v>
      </c>
      <c r="G1908" s="5" t="s">
        <v>3867</v>
      </c>
      <c r="J1908" s="5" t="s">
        <v>4878</v>
      </c>
      <c r="K1908" s="5" t="s">
        <v>4879</v>
      </c>
    </row>
    <row r="1909" spans="2:11">
      <c r="B1909" s="5"/>
      <c r="F1909" s="5" t="s">
        <v>3868</v>
      </c>
      <c r="G1909" s="5" t="s">
        <v>3869</v>
      </c>
      <c r="J1909" s="5" t="s">
        <v>4880</v>
      </c>
      <c r="K1909" s="5" t="s">
        <v>4881</v>
      </c>
    </row>
    <row r="1910" spans="2:11">
      <c r="B1910" s="5"/>
      <c r="F1910" s="5" t="s">
        <v>3870</v>
      </c>
      <c r="G1910" s="5" t="s">
        <v>3871</v>
      </c>
      <c r="J1910" s="5" t="s">
        <v>4882</v>
      </c>
      <c r="K1910" s="5" t="s">
        <v>4883</v>
      </c>
    </row>
    <row r="1911" spans="2:11">
      <c r="B1911" s="5"/>
      <c r="F1911" s="5" t="s">
        <v>3872</v>
      </c>
      <c r="G1911" s="5" t="s">
        <v>3873</v>
      </c>
      <c r="J1911" s="5" t="s">
        <v>4884</v>
      </c>
      <c r="K1911" s="5" t="s">
        <v>4885</v>
      </c>
    </row>
    <row r="1912" spans="2:11">
      <c r="B1912" s="5"/>
      <c r="F1912" s="5" t="s">
        <v>3874</v>
      </c>
      <c r="G1912" s="5" t="s">
        <v>3875</v>
      </c>
      <c r="J1912" s="5" t="s">
        <v>4886</v>
      </c>
      <c r="K1912" s="5" t="s">
        <v>4887</v>
      </c>
    </row>
    <row r="1913" spans="2:11">
      <c r="B1913" s="5"/>
      <c r="F1913" s="5" t="s">
        <v>3876</v>
      </c>
      <c r="G1913" s="5" t="s">
        <v>3877</v>
      </c>
      <c r="J1913" s="5" t="s">
        <v>4888</v>
      </c>
      <c r="K1913" s="5" t="s">
        <v>4889</v>
      </c>
    </row>
    <row r="1914" spans="2:11">
      <c r="B1914" s="5"/>
      <c r="F1914" s="5" t="s">
        <v>3878</v>
      </c>
      <c r="G1914" s="5" t="s">
        <v>3879</v>
      </c>
      <c r="J1914" s="5" t="s">
        <v>4890</v>
      </c>
      <c r="K1914" s="5" t="s">
        <v>4891</v>
      </c>
    </row>
    <row r="1915" spans="2:11">
      <c r="B1915" s="5"/>
      <c r="F1915" s="5" t="s">
        <v>3880</v>
      </c>
      <c r="G1915" s="5" t="s">
        <v>3881</v>
      </c>
      <c r="J1915" s="5" t="s">
        <v>4892</v>
      </c>
      <c r="K1915" s="5" t="s">
        <v>4893</v>
      </c>
    </row>
    <row r="1916" spans="2:11">
      <c r="B1916" s="5"/>
      <c r="F1916" s="5" t="s">
        <v>3882</v>
      </c>
      <c r="G1916" s="5" t="s">
        <v>3883</v>
      </c>
      <c r="J1916" s="5" t="s">
        <v>4894</v>
      </c>
      <c r="K1916" s="5" t="s">
        <v>4895</v>
      </c>
    </row>
    <row r="1917" spans="2:11">
      <c r="B1917" s="5"/>
      <c r="F1917" s="5" t="s">
        <v>3884</v>
      </c>
      <c r="G1917" s="5" t="s">
        <v>3885</v>
      </c>
      <c r="J1917" s="5" t="s">
        <v>4896</v>
      </c>
      <c r="K1917" s="5" t="s">
        <v>4897</v>
      </c>
    </row>
    <row r="1918" spans="2:11">
      <c r="B1918" s="5"/>
      <c r="F1918" s="5" t="s">
        <v>3886</v>
      </c>
      <c r="G1918" s="5" t="s">
        <v>3887</v>
      </c>
      <c r="J1918" s="5" t="s">
        <v>4898</v>
      </c>
      <c r="K1918" s="5" t="s">
        <v>4899</v>
      </c>
    </row>
    <row r="1919" spans="2:11">
      <c r="B1919" s="5"/>
      <c r="F1919" s="5" t="s">
        <v>3888</v>
      </c>
      <c r="G1919" s="5" t="s">
        <v>3889</v>
      </c>
      <c r="J1919" s="5" t="s">
        <v>4900</v>
      </c>
      <c r="K1919" s="5" t="s">
        <v>4901</v>
      </c>
    </row>
    <row r="1920" spans="2:11">
      <c r="B1920" s="5"/>
      <c r="F1920" s="5" t="s">
        <v>3890</v>
      </c>
      <c r="G1920" s="5" t="s">
        <v>3891</v>
      </c>
      <c r="J1920" s="5" t="s">
        <v>4902</v>
      </c>
      <c r="K1920" s="5" t="s">
        <v>4903</v>
      </c>
    </row>
    <row r="1921" spans="2:11">
      <c r="B1921" s="5"/>
      <c r="F1921" s="5" t="s">
        <v>3892</v>
      </c>
      <c r="G1921" s="5" t="s">
        <v>3893</v>
      </c>
      <c r="J1921" s="5" t="s">
        <v>4904</v>
      </c>
      <c r="K1921" s="5" t="s">
        <v>4905</v>
      </c>
    </row>
    <row r="1922" spans="2:11">
      <c r="B1922" s="5"/>
      <c r="F1922" s="5" t="s">
        <v>3894</v>
      </c>
      <c r="G1922" s="5" t="s">
        <v>3895</v>
      </c>
      <c r="J1922" s="5" t="s">
        <v>4906</v>
      </c>
      <c r="K1922" s="5" t="s">
        <v>4907</v>
      </c>
    </row>
    <row r="1923" spans="2:11">
      <c r="B1923" s="5"/>
      <c r="F1923" s="5" t="s">
        <v>3896</v>
      </c>
      <c r="G1923" s="5" t="s">
        <v>3897</v>
      </c>
      <c r="J1923" s="5" t="s">
        <v>4908</v>
      </c>
      <c r="K1923" s="5" t="s">
        <v>4909</v>
      </c>
    </row>
    <row r="1924" spans="2:11">
      <c r="B1924" s="5"/>
      <c r="F1924" s="5" t="s">
        <v>3898</v>
      </c>
      <c r="G1924" s="5" t="s">
        <v>3899</v>
      </c>
      <c r="J1924" s="5" t="s">
        <v>4910</v>
      </c>
      <c r="K1924" s="5" t="s">
        <v>4911</v>
      </c>
    </row>
    <row r="1925" spans="2:11">
      <c r="B1925" s="5"/>
      <c r="F1925" s="5" t="s">
        <v>3900</v>
      </c>
      <c r="G1925" s="5" t="s">
        <v>3901</v>
      </c>
      <c r="J1925" s="5" t="s">
        <v>4912</v>
      </c>
      <c r="K1925" s="5" t="s">
        <v>4913</v>
      </c>
    </row>
    <row r="1926" spans="2:11">
      <c r="B1926" s="5"/>
      <c r="F1926" s="5" t="s">
        <v>3902</v>
      </c>
      <c r="G1926" s="5" t="s">
        <v>3903</v>
      </c>
      <c r="J1926" s="5" t="s">
        <v>4914</v>
      </c>
      <c r="K1926" s="5" t="s">
        <v>4915</v>
      </c>
    </row>
    <row r="1927" spans="2:11">
      <c r="B1927" s="5"/>
      <c r="F1927" s="5" t="s">
        <v>3904</v>
      </c>
      <c r="G1927" s="5" t="s">
        <v>3905</v>
      </c>
      <c r="J1927" s="5" t="s">
        <v>4916</v>
      </c>
      <c r="K1927" s="5" t="s">
        <v>4917</v>
      </c>
    </row>
    <row r="1928" spans="2:11">
      <c r="B1928" s="5"/>
      <c r="F1928" s="5" t="s">
        <v>3906</v>
      </c>
      <c r="G1928" s="5" t="s">
        <v>3907</v>
      </c>
      <c r="J1928" s="5" t="s">
        <v>4918</v>
      </c>
      <c r="K1928" s="5" t="s">
        <v>4919</v>
      </c>
    </row>
    <row r="1929" spans="2:11">
      <c r="B1929" s="5"/>
      <c r="F1929" s="5" t="s">
        <v>3908</v>
      </c>
      <c r="G1929" s="5" t="s">
        <v>3909</v>
      </c>
      <c r="J1929" s="5" t="s">
        <v>4920</v>
      </c>
      <c r="K1929" s="5" t="s">
        <v>4921</v>
      </c>
    </row>
    <row r="1930" spans="2:11">
      <c r="B1930" s="5"/>
      <c r="F1930" s="5" t="s">
        <v>3910</v>
      </c>
      <c r="G1930" s="5" t="s">
        <v>3911</v>
      </c>
      <c r="J1930" s="5" t="s">
        <v>4922</v>
      </c>
      <c r="K1930" s="5" t="s">
        <v>4923</v>
      </c>
    </row>
    <row r="1931" spans="2:11">
      <c r="B1931" s="5"/>
      <c r="F1931" s="5" t="s">
        <v>3912</v>
      </c>
      <c r="G1931" s="5" t="s">
        <v>3913</v>
      </c>
      <c r="J1931" s="5" t="s">
        <v>4924</v>
      </c>
      <c r="K1931" s="5" t="s">
        <v>4925</v>
      </c>
    </row>
    <row r="1932" spans="2:11">
      <c r="B1932" s="5"/>
      <c r="F1932" s="5" t="s">
        <v>3914</v>
      </c>
      <c r="G1932" s="5" t="s">
        <v>3915</v>
      </c>
      <c r="J1932" s="5" t="s">
        <v>4926</v>
      </c>
      <c r="K1932" s="5" t="s">
        <v>4927</v>
      </c>
    </row>
    <row r="1933" spans="2:11">
      <c r="B1933" s="5"/>
      <c r="F1933" s="5" t="s">
        <v>3916</v>
      </c>
      <c r="G1933" s="5" t="s">
        <v>3917</v>
      </c>
      <c r="J1933" s="5" t="s">
        <v>4928</v>
      </c>
      <c r="K1933" s="5" t="s">
        <v>4929</v>
      </c>
    </row>
    <row r="1934" spans="2:11">
      <c r="B1934" s="5"/>
      <c r="F1934" s="5" t="s">
        <v>3918</v>
      </c>
      <c r="G1934" s="5" t="s">
        <v>3919</v>
      </c>
      <c r="J1934" s="5" t="s">
        <v>4930</v>
      </c>
      <c r="K1934" s="5" t="s">
        <v>4931</v>
      </c>
    </row>
    <row r="1935" spans="2:11">
      <c r="B1935" s="5"/>
      <c r="F1935" s="5" t="s">
        <v>3920</v>
      </c>
      <c r="G1935" s="5" t="s">
        <v>3921</v>
      </c>
      <c r="J1935" s="5" t="s">
        <v>4932</v>
      </c>
      <c r="K1935" s="5" t="s">
        <v>4933</v>
      </c>
    </row>
    <row r="1936" spans="2:11">
      <c r="B1936" s="5"/>
      <c r="F1936" s="5" t="s">
        <v>3922</v>
      </c>
      <c r="G1936" s="5" t="s">
        <v>3923</v>
      </c>
      <c r="J1936" s="5" t="s">
        <v>4934</v>
      </c>
      <c r="K1936" s="5" t="s">
        <v>4935</v>
      </c>
    </row>
    <row r="1937" spans="2:11">
      <c r="B1937" s="5"/>
      <c r="F1937" s="5" t="s">
        <v>3924</v>
      </c>
      <c r="G1937" s="5" t="s">
        <v>3925</v>
      </c>
      <c r="J1937" s="5" t="s">
        <v>4936</v>
      </c>
      <c r="K1937" s="5" t="s">
        <v>4937</v>
      </c>
    </row>
    <row r="1938" spans="2:11">
      <c r="B1938" s="5"/>
      <c r="F1938" s="5" t="s">
        <v>3926</v>
      </c>
      <c r="G1938" s="5" t="s">
        <v>3927</v>
      </c>
      <c r="J1938" s="5" t="s">
        <v>4938</v>
      </c>
      <c r="K1938" s="5" t="s">
        <v>4939</v>
      </c>
    </row>
    <row r="1939" spans="2:11">
      <c r="B1939" s="5"/>
      <c r="F1939" s="5" t="s">
        <v>3928</v>
      </c>
      <c r="G1939" s="5" t="s">
        <v>3929</v>
      </c>
      <c r="J1939" s="5" t="s">
        <v>4940</v>
      </c>
      <c r="K1939" s="5" t="s">
        <v>4941</v>
      </c>
    </row>
    <row r="1940" spans="2:11">
      <c r="B1940" s="5"/>
      <c r="F1940" s="5" t="s">
        <v>3930</v>
      </c>
      <c r="G1940" s="5" t="s">
        <v>3931</v>
      </c>
      <c r="J1940" s="5" t="s">
        <v>4942</v>
      </c>
      <c r="K1940" s="5" t="s">
        <v>4943</v>
      </c>
    </row>
    <row r="1941" spans="2:11">
      <c r="B1941" s="5"/>
      <c r="F1941" s="5" t="s">
        <v>3932</v>
      </c>
      <c r="G1941" s="5" t="s">
        <v>3933</v>
      </c>
      <c r="J1941" s="5" t="s">
        <v>4944</v>
      </c>
      <c r="K1941" s="5" t="s">
        <v>4945</v>
      </c>
    </row>
    <row r="1942" spans="2:11">
      <c r="B1942" s="5"/>
      <c r="F1942" s="5" t="s">
        <v>3934</v>
      </c>
      <c r="G1942" s="5" t="s">
        <v>3935</v>
      </c>
      <c r="J1942" s="5" t="s">
        <v>4946</v>
      </c>
      <c r="K1942" s="5" t="s">
        <v>4947</v>
      </c>
    </row>
    <row r="1943" spans="2:11">
      <c r="B1943" s="5"/>
      <c r="F1943" s="5" t="s">
        <v>3936</v>
      </c>
      <c r="G1943" s="5" t="s">
        <v>3937</v>
      </c>
      <c r="J1943" s="5" t="s">
        <v>4948</v>
      </c>
      <c r="K1943" s="5" t="s">
        <v>4949</v>
      </c>
    </row>
    <row r="1944" spans="2:11">
      <c r="B1944" s="5"/>
      <c r="F1944" s="5" t="s">
        <v>3938</v>
      </c>
      <c r="G1944" s="5" t="s">
        <v>3939</v>
      </c>
      <c r="J1944" s="5" t="s">
        <v>4950</v>
      </c>
      <c r="K1944" s="5" t="s">
        <v>4951</v>
      </c>
    </row>
    <row r="1945" spans="2:11">
      <c r="B1945" s="5"/>
      <c r="F1945" s="5" t="s">
        <v>3940</v>
      </c>
      <c r="G1945" s="5" t="s">
        <v>3941</v>
      </c>
      <c r="J1945" s="5" t="s">
        <v>4952</v>
      </c>
      <c r="K1945" s="5" t="s">
        <v>4953</v>
      </c>
    </row>
    <row r="1946" spans="2:11">
      <c r="B1946" s="5"/>
      <c r="F1946" s="5" t="s">
        <v>3942</v>
      </c>
      <c r="G1946" s="5" t="s">
        <v>3943</v>
      </c>
      <c r="J1946" s="5" t="s">
        <v>4954</v>
      </c>
      <c r="K1946" s="5" t="s">
        <v>4955</v>
      </c>
    </row>
    <row r="1947" spans="2:11">
      <c r="B1947" s="5"/>
      <c r="F1947" s="5" t="s">
        <v>3944</v>
      </c>
      <c r="G1947" s="5" t="s">
        <v>3945</v>
      </c>
      <c r="J1947" s="5" t="s">
        <v>4956</v>
      </c>
      <c r="K1947" s="5" t="s">
        <v>4957</v>
      </c>
    </row>
    <row r="1948" spans="2:11">
      <c r="B1948" s="5"/>
      <c r="F1948" s="5" t="s">
        <v>3946</v>
      </c>
      <c r="G1948" s="5" t="s">
        <v>3947</v>
      </c>
      <c r="J1948" s="5" t="s">
        <v>4958</v>
      </c>
      <c r="K1948" s="5" t="s">
        <v>4959</v>
      </c>
    </row>
    <row r="1949" spans="2:11">
      <c r="B1949" s="5"/>
      <c r="F1949" s="5" t="s">
        <v>3948</v>
      </c>
      <c r="G1949" s="5" t="s">
        <v>3949</v>
      </c>
      <c r="J1949" s="5" t="s">
        <v>4960</v>
      </c>
      <c r="K1949" s="5" t="s">
        <v>4961</v>
      </c>
    </row>
    <row r="1950" spans="2:11">
      <c r="B1950" s="5"/>
      <c r="F1950" s="5" t="s">
        <v>3950</v>
      </c>
      <c r="G1950" s="5" t="s">
        <v>3951</v>
      </c>
      <c r="J1950" s="5" t="s">
        <v>4962</v>
      </c>
      <c r="K1950" s="5" t="s">
        <v>4963</v>
      </c>
    </row>
    <row r="1951" spans="2:11">
      <c r="B1951" s="5"/>
      <c r="F1951" s="5" t="s">
        <v>3952</v>
      </c>
      <c r="G1951" s="5" t="s">
        <v>3953</v>
      </c>
      <c r="J1951" s="5" t="s">
        <v>4964</v>
      </c>
      <c r="K1951" s="5" t="s">
        <v>4965</v>
      </c>
    </row>
    <row r="1952" spans="2:11">
      <c r="B1952" s="5"/>
      <c r="F1952" s="5" t="s">
        <v>3954</v>
      </c>
      <c r="G1952" s="5" t="s">
        <v>3955</v>
      </c>
      <c r="J1952" s="5" t="s">
        <v>4966</v>
      </c>
      <c r="K1952" s="5" t="s">
        <v>4967</v>
      </c>
    </row>
    <row r="1953" spans="2:11">
      <c r="B1953" s="5"/>
      <c r="F1953" s="5" t="s">
        <v>3956</v>
      </c>
      <c r="G1953" s="5" t="s">
        <v>3957</v>
      </c>
      <c r="J1953" s="5" t="s">
        <v>4968</v>
      </c>
      <c r="K1953" s="5" t="s">
        <v>4969</v>
      </c>
    </row>
    <row r="1954" spans="2:11">
      <c r="B1954" s="5"/>
      <c r="F1954" s="5" t="s">
        <v>3958</v>
      </c>
      <c r="G1954" s="5" t="s">
        <v>3959</v>
      </c>
      <c r="J1954" s="5" t="s">
        <v>4970</v>
      </c>
      <c r="K1954" s="5" t="s">
        <v>4971</v>
      </c>
    </row>
    <row r="1955" spans="2:11">
      <c r="B1955" s="5"/>
      <c r="F1955" s="5" t="s">
        <v>3960</v>
      </c>
      <c r="G1955" s="5" t="s">
        <v>3961</v>
      </c>
      <c r="J1955" s="5" t="s">
        <v>4972</v>
      </c>
      <c r="K1955" s="5" t="s">
        <v>4973</v>
      </c>
    </row>
    <row r="1956" spans="2:11">
      <c r="B1956" s="5"/>
      <c r="F1956" s="5" t="s">
        <v>3962</v>
      </c>
      <c r="G1956" s="5" t="s">
        <v>3963</v>
      </c>
      <c r="J1956" s="5" t="s">
        <v>4974</v>
      </c>
      <c r="K1956" s="5" t="s">
        <v>4975</v>
      </c>
    </row>
    <row r="1957" spans="2:11">
      <c r="B1957" s="5"/>
      <c r="F1957" s="5" t="s">
        <v>3964</v>
      </c>
      <c r="G1957" s="5" t="s">
        <v>3965</v>
      </c>
      <c r="J1957" s="5" t="s">
        <v>4976</v>
      </c>
      <c r="K1957" s="5" t="s">
        <v>4977</v>
      </c>
    </row>
    <row r="1958" spans="2:11">
      <c r="B1958" s="5"/>
      <c r="F1958" s="5" t="s">
        <v>3966</v>
      </c>
      <c r="G1958" s="5" t="s">
        <v>3967</v>
      </c>
      <c r="J1958" s="5" t="s">
        <v>4978</v>
      </c>
      <c r="K1958" s="5" t="s">
        <v>4979</v>
      </c>
    </row>
    <row r="1959" spans="2:11">
      <c r="B1959" s="5"/>
      <c r="F1959" s="5" t="s">
        <v>3968</v>
      </c>
      <c r="G1959" s="5" t="s">
        <v>3969</v>
      </c>
      <c r="J1959" s="5" t="s">
        <v>4980</v>
      </c>
      <c r="K1959" s="5" t="s">
        <v>4981</v>
      </c>
    </row>
    <row r="1960" spans="2:11">
      <c r="B1960" s="5"/>
      <c r="F1960" s="5" t="s">
        <v>3970</v>
      </c>
      <c r="G1960" s="5" t="s">
        <v>3971</v>
      </c>
      <c r="J1960" s="5" t="s">
        <v>4982</v>
      </c>
      <c r="K1960" s="5" t="s">
        <v>4983</v>
      </c>
    </row>
    <row r="1961" spans="2:11">
      <c r="B1961" s="5"/>
      <c r="F1961" s="5" t="s">
        <v>3972</v>
      </c>
      <c r="G1961" s="5" t="s">
        <v>3973</v>
      </c>
      <c r="J1961" s="5" t="s">
        <v>4984</v>
      </c>
      <c r="K1961" s="5" t="s">
        <v>4985</v>
      </c>
    </row>
    <row r="1962" spans="2:11">
      <c r="B1962" s="5"/>
      <c r="F1962" s="5" t="s">
        <v>3974</v>
      </c>
      <c r="G1962" s="5" t="s">
        <v>3975</v>
      </c>
      <c r="J1962" s="5" t="s">
        <v>4986</v>
      </c>
      <c r="K1962" s="5" t="s">
        <v>4987</v>
      </c>
    </row>
    <row r="1963" spans="2:11">
      <c r="B1963" s="5"/>
      <c r="F1963" s="5" t="s">
        <v>3976</v>
      </c>
      <c r="G1963" s="5" t="s">
        <v>3977</v>
      </c>
      <c r="J1963" s="5" t="s">
        <v>4988</v>
      </c>
      <c r="K1963" s="5" t="s">
        <v>4989</v>
      </c>
    </row>
    <row r="1964" spans="2:11">
      <c r="B1964" s="5"/>
      <c r="F1964" s="5" t="s">
        <v>3978</v>
      </c>
      <c r="G1964" s="5" t="s">
        <v>3979</v>
      </c>
      <c r="J1964" s="5" t="s">
        <v>4990</v>
      </c>
      <c r="K1964" s="5" t="s">
        <v>4991</v>
      </c>
    </row>
    <row r="1965" spans="2:11">
      <c r="B1965" s="5"/>
      <c r="F1965" s="5" t="s">
        <v>3980</v>
      </c>
      <c r="G1965" s="5" t="s">
        <v>3981</v>
      </c>
      <c r="J1965" s="5" t="s">
        <v>4992</v>
      </c>
      <c r="K1965" s="5" t="s">
        <v>4993</v>
      </c>
    </row>
    <row r="1966" spans="2:11">
      <c r="B1966" s="5"/>
      <c r="F1966" s="5" t="s">
        <v>3982</v>
      </c>
      <c r="G1966" s="5" t="s">
        <v>3983</v>
      </c>
      <c r="J1966" s="5" t="s">
        <v>4994</v>
      </c>
      <c r="K1966" s="5" t="s">
        <v>4995</v>
      </c>
    </row>
    <row r="1967" spans="2:11">
      <c r="B1967" s="5"/>
      <c r="F1967" s="5" t="s">
        <v>3984</v>
      </c>
      <c r="G1967" s="5" t="s">
        <v>3985</v>
      </c>
      <c r="J1967" s="5" t="s">
        <v>4996</v>
      </c>
      <c r="K1967" s="5" t="s">
        <v>4997</v>
      </c>
    </row>
    <row r="1968" spans="2:11">
      <c r="B1968" s="5"/>
      <c r="F1968" s="5" t="s">
        <v>3986</v>
      </c>
      <c r="G1968" s="5" t="s">
        <v>3987</v>
      </c>
      <c r="J1968" s="5" t="s">
        <v>4998</v>
      </c>
      <c r="K1968" s="5" t="s">
        <v>4999</v>
      </c>
    </row>
    <row r="1969" spans="2:11">
      <c r="B1969" s="5"/>
      <c r="F1969" s="5" t="s">
        <v>3988</v>
      </c>
      <c r="G1969" s="5" t="s">
        <v>3989</v>
      </c>
      <c r="J1969" s="5" t="s">
        <v>5000</v>
      </c>
      <c r="K1969" s="5" t="s">
        <v>5001</v>
      </c>
    </row>
    <row r="1970" spans="2:11">
      <c r="B1970" s="5"/>
      <c r="F1970" s="5" t="s">
        <v>3990</v>
      </c>
      <c r="G1970" s="5" t="s">
        <v>3991</v>
      </c>
      <c r="J1970" s="5" t="s">
        <v>5002</v>
      </c>
      <c r="K1970" s="5" t="s">
        <v>5003</v>
      </c>
    </row>
    <row r="1971" spans="2:11">
      <c r="B1971" s="5"/>
      <c r="F1971" s="5" t="s">
        <v>3992</v>
      </c>
      <c r="G1971" s="5" t="s">
        <v>3993</v>
      </c>
      <c r="J1971" s="5" t="s">
        <v>5004</v>
      </c>
      <c r="K1971" s="5" t="s">
        <v>5005</v>
      </c>
    </row>
    <row r="1972" spans="2:11">
      <c r="B1972" s="5"/>
      <c r="F1972" s="5" t="s">
        <v>3994</v>
      </c>
      <c r="G1972" s="5" t="s">
        <v>3995</v>
      </c>
      <c r="J1972" s="5" t="s">
        <v>5006</v>
      </c>
      <c r="K1972" s="5" t="s">
        <v>5007</v>
      </c>
    </row>
    <row r="1973" spans="2:11">
      <c r="B1973" s="5"/>
      <c r="F1973" s="5" t="s">
        <v>3996</v>
      </c>
      <c r="G1973" s="5" t="s">
        <v>3997</v>
      </c>
      <c r="J1973" s="5" t="s">
        <v>5008</v>
      </c>
      <c r="K1973" s="5" t="s">
        <v>5009</v>
      </c>
    </row>
    <row r="1974" spans="2:11">
      <c r="B1974" s="5"/>
      <c r="F1974" s="5" t="s">
        <v>3998</v>
      </c>
      <c r="G1974" s="5" t="s">
        <v>3999</v>
      </c>
      <c r="J1974" s="5" t="s">
        <v>5010</v>
      </c>
      <c r="K1974" s="5" t="s">
        <v>5011</v>
      </c>
    </row>
    <row r="1975" spans="2:11">
      <c r="B1975" s="5"/>
      <c r="F1975" s="5" t="s">
        <v>4000</v>
      </c>
      <c r="G1975" s="5" t="s">
        <v>4001</v>
      </c>
      <c r="J1975" s="5" t="s">
        <v>5012</v>
      </c>
      <c r="K1975" s="5" t="s">
        <v>5013</v>
      </c>
    </row>
    <row r="1976" spans="2:11">
      <c r="B1976" s="5"/>
      <c r="F1976" s="5" t="s">
        <v>4002</v>
      </c>
      <c r="G1976" s="5" t="s">
        <v>4003</v>
      </c>
      <c r="J1976" s="5" t="s">
        <v>5014</v>
      </c>
      <c r="K1976" s="5" t="s">
        <v>5015</v>
      </c>
    </row>
    <row r="1977" spans="2:11">
      <c r="B1977" s="5"/>
      <c r="F1977" s="5" t="s">
        <v>4004</v>
      </c>
      <c r="G1977" s="5" t="s">
        <v>4005</v>
      </c>
      <c r="J1977" s="5" t="s">
        <v>5016</v>
      </c>
      <c r="K1977" s="5" t="s">
        <v>5017</v>
      </c>
    </row>
    <row r="1978" spans="2:11">
      <c r="B1978" s="5"/>
      <c r="F1978" s="5" t="s">
        <v>4006</v>
      </c>
      <c r="G1978" s="5" t="s">
        <v>4007</v>
      </c>
      <c r="J1978" s="5" t="s">
        <v>5018</v>
      </c>
      <c r="K1978" s="5" t="s">
        <v>5019</v>
      </c>
    </row>
    <row r="1979" spans="2:11">
      <c r="B1979" s="5"/>
      <c r="F1979" s="5" t="s">
        <v>4008</v>
      </c>
      <c r="G1979" s="5" t="s">
        <v>4009</v>
      </c>
      <c r="J1979" s="5" t="s">
        <v>5020</v>
      </c>
      <c r="K1979" s="5" t="s">
        <v>5021</v>
      </c>
    </row>
    <row r="1980" spans="2:11">
      <c r="B1980" s="5"/>
      <c r="F1980" s="5" t="s">
        <v>4010</v>
      </c>
      <c r="G1980" s="5" t="s">
        <v>4011</v>
      </c>
      <c r="J1980" s="5" t="s">
        <v>5022</v>
      </c>
      <c r="K1980" s="5" t="s">
        <v>5023</v>
      </c>
    </row>
    <row r="1981" spans="2:11">
      <c r="B1981" s="5"/>
      <c r="F1981" s="5" t="s">
        <v>4012</v>
      </c>
      <c r="G1981" s="5" t="s">
        <v>4013</v>
      </c>
      <c r="J1981" s="5" t="s">
        <v>5024</v>
      </c>
      <c r="K1981" s="5" t="s">
        <v>5025</v>
      </c>
    </row>
    <row r="1982" spans="2:11">
      <c r="B1982" s="5"/>
      <c r="F1982" s="5" t="s">
        <v>4014</v>
      </c>
      <c r="G1982" s="5" t="s">
        <v>4015</v>
      </c>
      <c r="J1982" s="5" t="s">
        <v>5026</v>
      </c>
      <c r="K1982" s="5" t="s">
        <v>5027</v>
      </c>
    </row>
    <row r="1983" spans="2:11">
      <c r="B1983" s="5"/>
      <c r="F1983" s="5" t="s">
        <v>4016</v>
      </c>
      <c r="G1983" s="5" t="s">
        <v>4017</v>
      </c>
      <c r="J1983" s="5" t="s">
        <v>5028</v>
      </c>
      <c r="K1983" s="5" t="s">
        <v>5029</v>
      </c>
    </row>
    <row r="1984" spans="2:11">
      <c r="B1984" s="5"/>
      <c r="F1984" s="5" t="s">
        <v>4018</v>
      </c>
      <c r="G1984" s="5" t="s">
        <v>4019</v>
      </c>
      <c r="J1984" s="5" t="s">
        <v>5030</v>
      </c>
      <c r="K1984" s="5" t="s">
        <v>5031</v>
      </c>
    </row>
    <row r="1985" spans="2:11">
      <c r="B1985" s="5"/>
      <c r="F1985" s="5" t="s">
        <v>4020</v>
      </c>
      <c r="G1985" s="5" t="s">
        <v>4021</v>
      </c>
      <c r="J1985" s="5" t="s">
        <v>5032</v>
      </c>
      <c r="K1985" s="5" t="s">
        <v>5033</v>
      </c>
    </row>
    <row r="1986" spans="2:11">
      <c r="B1986" s="5"/>
      <c r="F1986" s="5" t="s">
        <v>4022</v>
      </c>
      <c r="G1986" s="5" t="s">
        <v>4023</v>
      </c>
      <c r="J1986" s="5" t="s">
        <v>5034</v>
      </c>
      <c r="K1986" s="5" t="s">
        <v>5035</v>
      </c>
    </row>
    <row r="1987" spans="2:11">
      <c r="B1987" s="5"/>
      <c r="F1987" s="5" t="s">
        <v>4024</v>
      </c>
      <c r="G1987" s="5" t="s">
        <v>4025</v>
      </c>
      <c r="J1987" s="5" t="s">
        <v>5036</v>
      </c>
      <c r="K1987" s="5" t="s">
        <v>5037</v>
      </c>
    </row>
    <row r="1988" spans="2:11">
      <c r="B1988" s="5"/>
      <c r="F1988" s="5" t="s">
        <v>4026</v>
      </c>
      <c r="G1988" s="5" t="s">
        <v>4027</v>
      </c>
      <c r="J1988" s="5" t="s">
        <v>5038</v>
      </c>
      <c r="K1988" s="5" t="s">
        <v>5039</v>
      </c>
    </row>
    <row r="1989" spans="2:11">
      <c r="B1989" s="5"/>
      <c r="F1989" s="5" t="s">
        <v>4028</v>
      </c>
      <c r="G1989" s="5" t="s">
        <v>4029</v>
      </c>
      <c r="J1989" s="5" t="s">
        <v>5040</v>
      </c>
      <c r="K1989" s="5" t="s">
        <v>5041</v>
      </c>
    </row>
    <row r="1990" spans="2:11">
      <c r="B1990" s="5"/>
      <c r="F1990" s="5" t="s">
        <v>4030</v>
      </c>
      <c r="G1990" s="5" t="s">
        <v>4031</v>
      </c>
      <c r="J1990" s="5" t="s">
        <v>5042</v>
      </c>
      <c r="K1990" s="5" t="s">
        <v>5043</v>
      </c>
    </row>
    <row r="1991" spans="2:11">
      <c r="B1991" s="5"/>
      <c r="F1991" s="5" t="s">
        <v>4032</v>
      </c>
      <c r="G1991" s="5" t="s">
        <v>4033</v>
      </c>
      <c r="J1991" s="5" t="s">
        <v>5044</v>
      </c>
      <c r="K1991" s="5" t="s">
        <v>5045</v>
      </c>
    </row>
    <row r="1992" spans="2:11">
      <c r="B1992" s="5"/>
      <c r="F1992" s="5" t="s">
        <v>4034</v>
      </c>
      <c r="G1992" s="5" t="s">
        <v>4035</v>
      </c>
      <c r="J1992" s="5" t="s">
        <v>5046</v>
      </c>
      <c r="K1992" s="5" t="s">
        <v>5047</v>
      </c>
    </row>
    <row r="1993" spans="2:11">
      <c r="B1993" s="5"/>
      <c r="F1993" s="5" t="s">
        <v>4036</v>
      </c>
      <c r="G1993" s="5" t="s">
        <v>4037</v>
      </c>
      <c r="J1993" s="5" t="s">
        <v>5048</v>
      </c>
      <c r="K1993" s="5" t="s">
        <v>5049</v>
      </c>
    </row>
    <row r="1994" spans="2:11">
      <c r="B1994" s="5"/>
      <c r="F1994" s="5" t="s">
        <v>4038</v>
      </c>
      <c r="G1994" s="5" t="s">
        <v>4039</v>
      </c>
      <c r="J1994" s="5" t="s">
        <v>5050</v>
      </c>
      <c r="K1994" s="5" t="s">
        <v>5051</v>
      </c>
    </row>
    <row r="1995" spans="2:11">
      <c r="B1995" s="5"/>
      <c r="F1995" s="5" t="s">
        <v>4040</v>
      </c>
      <c r="G1995" s="5" t="s">
        <v>4041</v>
      </c>
      <c r="J1995" s="5" t="s">
        <v>5052</v>
      </c>
      <c r="K1995" s="5" t="s">
        <v>5053</v>
      </c>
    </row>
    <row r="1996" spans="2:11">
      <c r="B1996" s="5"/>
      <c r="F1996" s="5" t="s">
        <v>4042</v>
      </c>
      <c r="G1996" s="5" t="s">
        <v>4043</v>
      </c>
      <c r="J1996" s="5" t="s">
        <v>5054</v>
      </c>
      <c r="K1996" s="5" t="s">
        <v>5055</v>
      </c>
    </row>
    <row r="1997" spans="2:11">
      <c r="B1997" s="5"/>
      <c r="F1997" s="5" t="s">
        <v>4044</v>
      </c>
      <c r="G1997" s="5" t="s">
        <v>4045</v>
      </c>
      <c r="J1997" s="5" t="s">
        <v>5056</v>
      </c>
      <c r="K1997" s="5" t="s">
        <v>5057</v>
      </c>
    </row>
    <row r="1998" spans="2:11">
      <c r="B1998" s="5"/>
      <c r="F1998" s="5" t="s">
        <v>4046</v>
      </c>
      <c r="G1998" s="5" t="s">
        <v>4047</v>
      </c>
      <c r="J1998" s="5" t="s">
        <v>5058</v>
      </c>
      <c r="K1998" s="5" t="s">
        <v>5059</v>
      </c>
    </row>
    <row r="1999" spans="2:11">
      <c r="B1999" s="5"/>
      <c r="F1999" s="5" t="s">
        <v>4048</v>
      </c>
      <c r="G1999" s="5" t="s">
        <v>4049</v>
      </c>
      <c r="J1999" s="5" t="s">
        <v>5060</v>
      </c>
      <c r="K1999" s="5" t="s">
        <v>5061</v>
      </c>
    </row>
    <row r="2000" spans="2:11">
      <c r="B2000" s="5"/>
      <c r="F2000" s="5" t="s">
        <v>4050</v>
      </c>
      <c r="G2000" s="5" t="s">
        <v>4051</v>
      </c>
      <c r="J2000" s="5" t="s">
        <v>5062</v>
      </c>
      <c r="K2000" s="5" t="s">
        <v>5063</v>
      </c>
    </row>
    <row r="2001" spans="2:11">
      <c r="B2001" s="5"/>
      <c r="F2001" s="5" t="s">
        <v>4052</v>
      </c>
      <c r="G2001" s="5" t="s">
        <v>4053</v>
      </c>
      <c r="J2001" s="5" t="s">
        <v>5064</v>
      </c>
      <c r="K2001" s="5" t="s">
        <v>5065</v>
      </c>
    </row>
    <row r="2002" spans="2:11">
      <c r="B2002" s="5"/>
      <c r="F2002" s="5" t="s">
        <v>4054</v>
      </c>
      <c r="G2002" s="5" t="s">
        <v>4055</v>
      </c>
      <c r="J2002" s="5" t="s">
        <v>5066</v>
      </c>
      <c r="K2002" s="5" t="s">
        <v>5067</v>
      </c>
    </row>
    <row r="2003" spans="2:11">
      <c r="B2003" s="5"/>
      <c r="F2003" s="5" t="s">
        <v>4056</v>
      </c>
      <c r="G2003" s="5" t="s">
        <v>4057</v>
      </c>
      <c r="J2003" s="5" t="s">
        <v>5068</v>
      </c>
      <c r="K2003" s="5" t="s">
        <v>5069</v>
      </c>
    </row>
    <row r="2004" spans="2:11">
      <c r="B2004" s="5"/>
      <c r="F2004" s="5" t="s">
        <v>4058</v>
      </c>
      <c r="G2004" s="5" t="s">
        <v>4059</v>
      </c>
      <c r="J2004" s="5" t="s">
        <v>5070</v>
      </c>
      <c r="K2004" s="5" t="s">
        <v>5071</v>
      </c>
    </row>
    <row r="2005" spans="2:11">
      <c r="B2005" s="5"/>
      <c r="F2005" s="5" t="s">
        <v>4060</v>
      </c>
      <c r="G2005" s="5" t="s">
        <v>4061</v>
      </c>
      <c r="J2005" s="5" t="s">
        <v>5072</v>
      </c>
      <c r="K2005" s="5" t="s">
        <v>5073</v>
      </c>
    </row>
    <row r="2006" spans="2:11">
      <c r="B2006" s="5"/>
      <c r="F2006" s="5" t="s">
        <v>4062</v>
      </c>
      <c r="G2006" s="5" t="s">
        <v>4063</v>
      </c>
      <c r="J2006" s="5" t="s">
        <v>5074</v>
      </c>
      <c r="K2006" s="5" t="s">
        <v>5075</v>
      </c>
    </row>
    <row r="2007" spans="2:11">
      <c r="B2007" s="5"/>
      <c r="F2007" s="5" t="s">
        <v>4064</v>
      </c>
      <c r="G2007" s="5" t="s">
        <v>4065</v>
      </c>
      <c r="J2007" s="5" t="s">
        <v>5076</v>
      </c>
      <c r="K2007" s="5" t="s">
        <v>5077</v>
      </c>
    </row>
    <row r="2008" spans="2:11">
      <c r="B2008" s="5"/>
      <c r="F2008" s="5" t="s">
        <v>4066</v>
      </c>
      <c r="G2008" s="5" t="s">
        <v>4067</v>
      </c>
      <c r="J2008" s="5" t="s">
        <v>5078</v>
      </c>
      <c r="K2008" s="5" t="s">
        <v>5079</v>
      </c>
    </row>
    <row r="2009" spans="2:11">
      <c r="B2009" s="5"/>
      <c r="F2009" s="5" t="s">
        <v>4068</v>
      </c>
      <c r="G2009" s="5" t="s">
        <v>4069</v>
      </c>
      <c r="J2009" s="5" t="s">
        <v>5080</v>
      </c>
      <c r="K2009" s="5" t="s">
        <v>5081</v>
      </c>
    </row>
    <row r="2010" spans="2:11">
      <c r="B2010" s="5"/>
      <c r="F2010" s="5" t="s">
        <v>4070</v>
      </c>
      <c r="G2010" s="5" t="s">
        <v>4071</v>
      </c>
      <c r="J2010" s="5" t="s">
        <v>5082</v>
      </c>
      <c r="K2010" s="5" t="s">
        <v>5083</v>
      </c>
    </row>
    <row r="2011" spans="2:11">
      <c r="B2011" s="5"/>
      <c r="F2011" s="5" t="s">
        <v>4072</v>
      </c>
      <c r="G2011" s="5" t="s">
        <v>4073</v>
      </c>
      <c r="J2011" s="5" t="s">
        <v>5084</v>
      </c>
      <c r="K2011" s="5" t="s">
        <v>5085</v>
      </c>
    </row>
    <row r="2012" spans="2:11">
      <c r="B2012" s="5"/>
      <c r="F2012" s="5" t="s">
        <v>4074</v>
      </c>
      <c r="G2012" s="5" t="s">
        <v>4075</v>
      </c>
      <c r="J2012" s="5" t="s">
        <v>5086</v>
      </c>
      <c r="K2012" s="5" t="s">
        <v>5087</v>
      </c>
    </row>
    <row r="2013" spans="2:11">
      <c r="B2013" s="5"/>
      <c r="F2013" s="5" t="s">
        <v>4076</v>
      </c>
      <c r="G2013" s="5" t="s">
        <v>4077</v>
      </c>
      <c r="J2013" s="5" t="s">
        <v>5088</v>
      </c>
      <c r="K2013" s="5" t="s">
        <v>5089</v>
      </c>
    </row>
    <row r="2014" spans="2:11">
      <c r="B2014" s="5"/>
      <c r="F2014" s="5" t="s">
        <v>4078</v>
      </c>
      <c r="G2014" s="5" t="s">
        <v>4079</v>
      </c>
      <c r="J2014" s="5" t="s">
        <v>5090</v>
      </c>
      <c r="K2014" s="5" t="s">
        <v>5091</v>
      </c>
    </row>
    <row r="2015" spans="2:11">
      <c r="B2015" s="5"/>
      <c r="F2015" s="5" t="s">
        <v>4080</v>
      </c>
      <c r="G2015" s="5" t="s">
        <v>4081</v>
      </c>
      <c r="J2015" s="5" t="s">
        <v>5092</v>
      </c>
      <c r="K2015" s="5" t="s">
        <v>5093</v>
      </c>
    </row>
    <row r="2016" spans="2:11">
      <c r="B2016" s="5"/>
      <c r="F2016" s="5" t="s">
        <v>4082</v>
      </c>
      <c r="G2016" s="5" t="s">
        <v>4083</v>
      </c>
      <c r="J2016" s="5" t="s">
        <v>5094</v>
      </c>
      <c r="K2016" s="5" t="s">
        <v>5095</v>
      </c>
    </row>
    <row r="2017" spans="2:11">
      <c r="B2017" s="5"/>
      <c r="F2017" s="5" t="s">
        <v>4084</v>
      </c>
      <c r="G2017" s="5" t="s">
        <v>4085</v>
      </c>
      <c r="J2017" s="5" t="s">
        <v>5096</v>
      </c>
      <c r="K2017" s="5" t="s">
        <v>5097</v>
      </c>
    </row>
    <row r="2018" spans="2:11">
      <c r="B2018" s="5"/>
      <c r="F2018" s="5" t="s">
        <v>4086</v>
      </c>
      <c r="G2018" s="5" t="s">
        <v>4087</v>
      </c>
      <c r="J2018" s="5" t="s">
        <v>5098</v>
      </c>
      <c r="K2018" s="5" t="s">
        <v>5099</v>
      </c>
    </row>
    <row r="2019" spans="2:11">
      <c r="B2019" s="5"/>
      <c r="F2019" s="5" t="s">
        <v>4088</v>
      </c>
      <c r="G2019" s="5" t="s">
        <v>4089</v>
      </c>
      <c r="J2019" s="5" t="s">
        <v>5100</v>
      </c>
      <c r="K2019" s="5" t="s">
        <v>5101</v>
      </c>
    </row>
    <row r="2020" spans="2:11">
      <c r="B2020" s="5"/>
      <c r="F2020" s="5" t="s">
        <v>4090</v>
      </c>
      <c r="G2020" s="5" t="s">
        <v>4091</v>
      </c>
      <c r="J2020" s="5" t="s">
        <v>5102</v>
      </c>
      <c r="K2020" s="5" t="s">
        <v>5103</v>
      </c>
    </row>
    <row r="2021" spans="2:11">
      <c r="B2021" s="5"/>
      <c r="F2021" s="5" t="s">
        <v>4092</v>
      </c>
      <c r="G2021" s="5" t="s">
        <v>4093</v>
      </c>
      <c r="J2021" s="5" t="s">
        <v>5104</v>
      </c>
      <c r="K2021" s="5" t="s">
        <v>5105</v>
      </c>
    </row>
    <row r="2022" spans="2:11">
      <c r="B2022" s="5"/>
      <c r="F2022" s="5" t="s">
        <v>4094</v>
      </c>
      <c r="G2022" s="5" t="s">
        <v>4095</v>
      </c>
      <c r="J2022" s="5" t="s">
        <v>5106</v>
      </c>
      <c r="K2022" s="5" t="s">
        <v>5107</v>
      </c>
    </row>
    <row r="2023" spans="2:11">
      <c r="B2023" s="5"/>
      <c r="F2023" s="5" t="s">
        <v>4096</v>
      </c>
      <c r="G2023" s="5" t="s">
        <v>4097</v>
      </c>
      <c r="J2023" s="5" t="s">
        <v>5108</v>
      </c>
      <c r="K2023" s="5" t="s">
        <v>5109</v>
      </c>
    </row>
    <row r="2024" spans="2:11">
      <c r="B2024" s="5"/>
      <c r="F2024" s="5" t="s">
        <v>4098</v>
      </c>
      <c r="G2024" s="5" t="s">
        <v>4099</v>
      </c>
      <c r="J2024" s="5" t="s">
        <v>5110</v>
      </c>
      <c r="K2024" s="5" t="s">
        <v>5111</v>
      </c>
    </row>
    <row r="2025" spans="2:11">
      <c r="B2025" s="5"/>
      <c r="F2025" s="5" t="s">
        <v>4100</v>
      </c>
      <c r="G2025" s="5" t="s">
        <v>4101</v>
      </c>
      <c r="J2025" s="5" t="s">
        <v>5112</v>
      </c>
      <c r="K2025" s="5" t="s">
        <v>5113</v>
      </c>
    </row>
    <row r="2026" spans="2:11">
      <c r="B2026" s="5"/>
      <c r="F2026" s="5" t="s">
        <v>4102</v>
      </c>
      <c r="G2026" s="5" t="s">
        <v>4103</v>
      </c>
      <c r="J2026" s="5" t="s">
        <v>5114</v>
      </c>
      <c r="K2026" s="5" t="s">
        <v>5115</v>
      </c>
    </row>
    <row r="2027" spans="2:11">
      <c r="B2027" s="5"/>
      <c r="F2027" s="5" t="s">
        <v>4104</v>
      </c>
      <c r="G2027" s="5" t="s">
        <v>4105</v>
      </c>
      <c r="J2027" s="5" t="s">
        <v>5116</v>
      </c>
      <c r="K2027" s="5" t="s">
        <v>5117</v>
      </c>
    </row>
    <row r="2028" spans="2:11">
      <c r="B2028" s="5"/>
      <c r="F2028" s="5" t="s">
        <v>4106</v>
      </c>
      <c r="G2028" s="5" t="s">
        <v>4107</v>
      </c>
      <c r="J2028" s="5" t="s">
        <v>5118</v>
      </c>
      <c r="K2028" s="5" t="s">
        <v>5119</v>
      </c>
    </row>
    <row r="2029" spans="2:11">
      <c r="B2029" s="5"/>
      <c r="F2029" s="5" t="s">
        <v>4108</v>
      </c>
      <c r="G2029" s="5" t="s">
        <v>4109</v>
      </c>
      <c r="J2029" s="5" t="s">
        <v>5120</v>
      </c>
      <c r="K2029" s="5" t="s">
        <v>5121</v>
      </c>
    </row>
    <row r="2030" spans="2:11">
      <c r="B2030" s="5"/>
      <c r="F2030" s="5" t="s">
        <v>4110</v>
      </c>
      <c r="G2030" s="5" t="s">
        <v>4111</v>
      </c>
      <c r="J2030" s="5" t="s">
        <v>5122</v>
      </c>
      <c r="K2030" s="5" t="s">
        <v>5123</v>
      </c>
    </row>
    <row r="2031" spans="2:11">
      <c r="B2031" s="5"/>
      <c r="F2031" s="5" t="s">
        <v>4112</v>
      </c>
      <c r="G2031" s="5" t="s">
        <v>4113</v>
      </c>
      <c r="J2031" s="5" t="s">
        <v>5124</v>
      </c>
      <c r="K2031" s="5" t="s">
        <v>5125</v>
      </c>
    </row>
    <row r="2032" spans="2:11">
      <c r="B2032" s="5"/>
      <c r="F2032" s="5" t="s">
        <v>4114</v>
      </c>
      <c r="G2032" s="5" t="s">
        <v>4115</v>
      </c>
      <c r="J2032" s="5" t="s">
        <v>5126</v>
      </c>
      <c r="K2032" s="5" t="s">
        <v>5127</v>
      </c>
    </row>
    <row r="2033" spans="2:11">
      <c r="B2033" s="5"/>
      <c r="F2033" s="5" t="s">
        <v>4116</v>
      </c>
      <c r="G2033" s="5" t="s">
        <v>4117</v>
      </c>
      <c r="J2033" s="5" t="s">
        <v>5128</v>
      </c>
      <c r="K2033" s="5" t="s">
        <v>5129</v>
      </c>
    </row>
    <row r="2034" spans="2:11">
      <c r="B2034" s="5"/>
      <c r="F2034" s="5" t="s">
        <v>4118</v>
      </c>
      <c r="G2034" s="5" t="s">
        <v>4119</v>
      </c>
      <c r="J2034" s="5" t="s">
        <v>5130</v>
      </c>
      <c r="K2034" s="5" t="s">
        <v>5131</v>
      </c>
    </row>
    <row r="2035" spans="2:11">
      <c r="B2035" s="5"/>
      <c r="F2035" s="5" t="s">
        <v>4120</v>
      </c>
      <c r="G2035" s="5" t="s">
        <v>4121</v>
      </c>
      <c r="J2035" s="5" t="s">
        <v>5132</v>
      </c>
      <c r="K2035" s="5" t="s">
        <v>5133</v>
      </c>
    </row>
    <row r="2036" spans="2:11">
      <c r="B2036" s="5"/>
      <c r="F2036" s="5" t="s">
        <v>4122</v>
      </c>
      <c r="G2036" s="5" t="s">
        <v>4123</v>
      </c>
      <c r="J2036" s="5" t="s">
        <v>5134</v>
      </c>
      <c r="K2036" s="5" t="s">
        <v>5135</v>
      </c>
    </row>
    <row r="2037" spans="2:11">
      <c r="B2037" s="5"/>
      <c r="F2037" s="5" t="s">
        <v>4124</v>
      </c>
      <c r="G2037" s="5" t="s">
        <v>4125</v>
      </c>
      <c r="J2037" s="5" t="s">
        <v>5136</v>
      </c>
      <c r="K2037" s="5" t="s">
        <v>5137</v>
      </c>
    </row>
    <row r="2038" spans="2:11">
      <c r="B2038" s="5"/>
      <c r="F2038" s="5" t="s">
        <v>4126</v>
      </c>
      <c r="G2038" s="5" t="s">
        <v>4127</v>
      </c>
      <c r="J2038" s="5" t="s">
        <v>5138</v>
      </c>
      <c r="K2038" s="5" t="s">
        <v>5139</v>
      </c>
    </row>
    <row r="2039" spans="2:11">
      <c r="B2039" s="5"/>
      <c r="F2039" s="5" t="s">
        <v>4128</v>
      </c>
      <c r="G2039" s="5" t="s">
        <v>4129</v>
      </c>
      <c r="J2039" s="5" t="s">
        <v>5140</v>
      </c>
      <c r="K2039" s="5" t="s">
        <v>5141</v>
      </c>
    </row>
    <row r="2040" spans="2:11">
      <c r="B2040" s="5"/>
      <c r="F2040" s="5" t="s">
        <v>4130</v>
      </c>
      <c r="G2040" s="5" t="s">
        <v>4131</v>
      </c>
      <c r="J2040" s="5" t="s">
        <v>5142</v>
      </c>
      <c r="K2040" s="5" t="s">
        <v>5143</v>
      </c>
    </row>
    <row r="2041" spans="2:11">
      <c r="B2041" s="5"/>
      <c r="F2041" s="5" t="s">
        <v>4132</v>
      </c>
      <c r="G2041" s="5" t="s">
        <v>4133</v>
      </c>
      <c r="J2041" s="5" t="s">
        <v>5144</v>
      </c>
      <c r="K2041" s="5" t="s">
        <v>5145</v>
      </c>
    </row>
    <row r="2042" spans="2:11">
      <c r="B2042" s="5"/>
      <c r="F2042" s="5" t="s">
        <v>4134</v>
      </c>
      <c r="G2042" s="5" t="s">
        <v>4135</v>
      </c>
      <c r="J2042" s="5" t="s">
        <v>5146</v>
      </c>
      <c r="K2042" s="5" t="s">
        <v>5147</v>
      </c>
    </row>
    <row r="2043" spans="2:11">
      <c r="B2043" s="5"/>
      <c r="F2043" s="5" t="s">
        <v>4136</v>
      </c>
      <c r="G2043" s="5" t="s">
        <v>4137</v>
      </c>
      <c r="J2043" s="5" t="s">
        <v>5148</v>
      </c>
      <c r="K2043" s="5" t="s">
        <v>5149</v>
      </c>
    </row>
    <row r="2044" spans="2:11">
      <c r="B2044" s="5"/>
      <c r="F2044" s="5" t="s">
        <v>4138</v>
      </c>
      <c r="G2044" s="5" t="s">
        <v>4139</v>
      </c>
      <c r="J2044" s="5" t="s">
        <v>5150</v>
      </c>
      <c r="K2044" s="5" t="s">
        <v>5151</v>
      </c>
    </row>
    <row r="2045" spans="2:11">
      <c r="B2045" s="5"/>
      <c r="F2045" s="5" t="s">
        <v>4140</v>
      </c>
      <c r="G2045" s="5" t="s">
        <v>4141</v>
      </c>
      <c r="J2045" s="5" t="s">
        <v>5152</v>
      </c>
      <c r="K2045" s="5" t="s">
        <v>5153</v>
      </c>
    </row>
    <row r="2046" spans="2:11">
      <c r="B2046" s="5"/>
      <c r="F2046" s="5" t="s">
        <v>4142</v>
      </c>
      <c r="G2046" s="5" t="s">
        <v>4143</v>
      </c>
      <c r="J2046" s="5" t="s">
        <v>5154</v>
      </c>
      <c r="K2046" s="5" t="s">
        <v>5155</v>
      </c>
    </row>
    <row r="2047" spans="2:11">
      <c r="B2047" s="5"/>
      <c r="F2047" s="5" t="s">
        <v>4144</v>
      </c>
      <c r="G2047" s="5" t="s">
        <v>4145</v>
      </c>
      <c r="J2047" s="5" t="s">
        <v>5156</v>
      </c>
      <c r="K2047" s="5" t="s">
        <v>5157</v>
      </c>
    </row>
    <row r="2048" spans="2:11">
      <c r="B2048" s="5"/>
      <c r="F2048" s="5" t="s">
        <v>4146</v>
      </c>
      <c r="G2048" s="5" t="s">
        <v>4147</v>
      </c>
      <c r="J2048" s="5" t="s">
        <v>5158</v>
      </c>
      <c r="K2048" s="5" t="s">
        <v>5159</v>
      </c>
    </row>
    <row r="2049" spans="2:11">
      <c r="B2049" s="5"/>
      <c r="F2049" s="5" t="s">
        <v>4148</v>
      </c>
      <c r="G2049" s="5" t="s">
        <v>4149</v>
      </c>
      <c r="J2049" s="5" t="s">
        <v>5160</v>
      </c>
      <c r="K2049" s="5" t="s">
        <v>5161</v>
      </c>
    </row>
    <row r="2050" spans="2:11">
      <c r="B2050" s="5"/>
      <c r="F2050" s="5" t="s">
        <v>4150</v>
      </c>
      <c r="G2050" s="5" t="s">
        <v>4151</v>
      </c>
      <c r="J2050" s="5" t="s">
        <v>5162</v>
      </c>
      <c r="K2050" s="5" t="s">
        <v>5163</v>
      </c>
    </row>
    <row r="2051" spans="2:11">
      <c r="B2051" s="5"/>
      <c r="F2051" s="5" t="s">
        <v>4152</v>
      </c>
      <c r="G2051" s="5" t="s">
        <v>4153</v>
      </c>
      <c r="J2051" s="5" t="s">
        <v>5164</v>
      </c>
      <c r="K2051" s="5" t="s">
        <v>5165</v>
      </c>
    </row>
    <row r="2052" spans="2:11">
      <c r="B2052" s="5"/>
      <c r="F2052" s="5" t="s">
        <v>4154</v>
      </c>
      <c r="G2052" s="5" t="s">
        <v>4155</v>
      </c>
      <c r="J2052" s="5" t="s">
        <v>5166</v>
      </c>
      <c r="K2052" s="5" t="s">
        <v>5167</v>
      </c>
    </row>
    <row r="2053" spans="2:11">
      <c r="B2053" s="5"/>
      <c r="F2053" s="5" t="s">
        <v>4156</v>
      </c>
      <c r="G2053" s="5" t="s">
        <v>4157</v>
      </c>
      <c r="J2053" s="5" t="s">
        <v>5168</v>
      </c>
      <c r="K2053" s="5" t="s">
        <v>5169</v>
      </c>
    </row>
    <row r="2054" spans="2:11">
      <c r="B2054" s="5"/>
      <c r="F2054" s="5" t="s">
        <v>4158</v>
      </c>
      <c r="G2054" s="5" t="s">
        <v>4159</v>
      </c>
      <c r="J2054" s="5" t="s">
        <v>5170</v>
      </c>
      <c r="K2054" s="5" t="s">
        <v>5171</v>
      </c>
    </row>
    <row r="2055" spans="2:11">
      <c r="B2055" s="5"/>
      <c r="F2055" s="5" t="s">
        <v>4160</v>
      </c>
      <c r="G2055" s="5" t="s">
        <v>4161</v>
      </c>
      <c r="J2055" s="5" t="s">
        <v>5172</v>
      </c>
      <c r="K2055" s="5" t="s">
        <v>5173</v>
      </c>
    </row>
    <row r="2056" spans="2:11">
      <c r="B2056" s="5"/>
      <c r="F2056" s="5" t="s">
        <v>4162</v>
      </c>
      <c r="G2056" s="5" t="s">
        <v>4163</v>
      </c>
      <c r="J2056" s="5" t="s">
        <v>5174</v>
      </c>
      <c r="K2056" s="5" t="s">
        <v>5175</v>
      </c>
    </row>
    <row r="2057" spans="2:11">
      <c r="B2057" s="5"/>
      <c r="F2057" s="5" t="s">
        <v>4164</v>
      </c>
      <c r="G2057" s="5" t="s">
        <v>4165</v>
      </c>
      <c r="J2057" s="5" t="s">
        <v>5176</v>
      </c>
      <c r="K2057" s="5" t="s">
        <v>5177</v>
      </c>
    </row>
    <row r="2058" spans="2:11">
      <c r="B2058" s="5"/>
      <c r="F2058" s="5" t="s">
        <v>4166</v>
      </c>
      <c r="G2058" s="5" t="s">
        <v>4167</v>
      </c>
      <c r="J2058" s="5" t="s">
        <v>5178</v>
      </c>
      <c r="K2058" s="5" t="s">
        <v>5179</v>
      </c>
    </row>
    <row r="2059" spans="2:11">
      <c r="B2059" s="5"/>
      <c r="F2059" s="5" t="s">
        <v>4168</v>
      </c>
      <c r="G2059" s="5" t="s">
        <v>4169</v>
      </c>
      <c r="J2059" s="5" t="s">
        <v>5180</v>
      </c>
      <c r="K2059" s="5" t="s">
        <v>5181</v>
      </c>
    </row>
    <row r="2060" spans="2:11">
      <c r="B2060" s="5"/>
      <c r="F2060" s="5" t="s">
        <v>4170</v>
      </c>
      <c r="G2060" s="5" t="s">
        <v>4171</v>
      </c>
      <c r="J2060" s="5" t="s">
        <v>5182</v>
      </c>
      <c r="K2060" s="5" t="s">
        <v>5183</v>
      </c>
    </row>
    <row r="2061" spans="2:11">
      <c r="B2061" s="5"/>
      <c r="F2061" s="5" t="s">
        <v>4172</v>
      </c>
      <c r="G2061" s="5" t="s">
        <v>4173</v>
      </c>
      <c r="J2061" s="5" t="s">
        <v>5184</v>
      </c>
      <c r="K2061" s="5" t="s">
        <v>5185</v>
      </c>
    </row>
    <row r="2062" spans="2:11">
      <c r="B2062" s="5"/>
      <c r="F2062" s="5" t="s">
        <v>4174</v>
      </c>
      <c r="G2062" s="5" t="s">
        <v>4175</v>
      </c>
      <c r="J2062" s="5" t="s">
        <v>5186</v>
      </c>
      <c r="K2062" s="5" t="s">
        <v>5187</v>
      </c>
    </row>
    <row r="2063" spans="2:11">
      <c r="B2063" s="5"/>
      <c r="F2063" s="5" t="s">
        <v>4176</v>
      </c>
      <c r="G2063" s="5" t="s">
        <v>4177</v>
      </c>
      <c r="J2063" s="5" t="s">
        <v>5188</v>
      </c>
      <c r="K2063" s="5" t="s">
        <v>5189</v>
      </c>
    </row>
    <row r="2064" spans="2:11">
      <c r="B2064" s="5"/>
      <c r="F2064" s="5" t="s">
        <v>4178</v>
      </c>
      <c r="G2064" s="5" t="s">
        <v>4179</v>
      </c>
      <c r="J2064" s="5" t="s">
        <v>5190</v>
      </c>
      <c r="K2064" s="5" t="s">
        <v>5191</v>
      </c>
    </row>
    <row r="2065" spans="2:11">
      <c r="B2065" s="5"/>
      <c r="F2065" s="5" t="s">
        <v>4180</v>
      </c>
      <c r="G2065" s="5" t="s">
        <v>4181</v>
      </c>
      <c r="J2065" s="5" t="s">
        <v>5192</v>
      </c>
      <c r="K2065" s="5" t="s">
        <v>5193</v>
      </c>
    </row>
    <row r="2066" spans="2:11">
      <c r="B2066" s="5"/>
      <c r="F2066" s="5" t="s">
        <v>4182</v>
      </c>
      <c r="G2066" s="5" t="s">
        <v>4183</v>
      </c>
      <c r="J2066" s="5" t="s">
        <v>5194</v>
      </c>
      <c r="K2066" s="5" t="s">
        <v>5195</v>
      </c>
    </row>
    <row r="2067" spans="2:11">
      <c r="B2067" s="5"/>
      <c r="F2067" s="5" t="s">
        <v>4184</v>
      </c>
      <c r="G2067" s="5" t="s">
        <v>4185</v>
      </c>
      <c r="J2067" s="5" t="s">
        <v>5196</v>
      </c>
      <c r="K2067" s="5" t="s">
        <v>5197</v>
      </c>
    </row>
    <row r="2068" spans="2:11">
      <c r="B2068" s="5"/>
      <c r="F2068" s="5" t="s">
        <v>4186</v>
      </c>
      <c r="G2068" s="5" t="s">
        <v>4187</v>
      </c>
      <c r="J2068" s="5" t="s">
        <v>5198</v>
      </c>
      <c r="K2068" s="5" t="s">
        <v>5199</v>
      </c>
    </row>
    <row r="2069" spans="2:11">
      <c r="B2069" s="5"/>
      <c r="F2069" s="5" t="s">
        <v>4188</v>
      </c>
      <c r="G2069" s="5" t="s">
        <v>4189</v>
      </c>
      <c r="J2069" s="5" t="s">
        <v>5200</v>
      </c>
      <c r="K2069" s="5" t="s">
        <v>5201</v>
      </c>
    </row>
    <row r="2070" spans="2:11">
      <c r="B2070" s="5"/>
      <c r="F2070" s="5" t="s">
        <v>4190</v>
      </c>
      <c r="G2070" s="5" t="s">
        <v>4191</v>
      </c>
      <c r="J2070" s="5" t="s">
        <v>5202</v>
      </c>
      <c r="K2070" s="5" t="s">
        <v>5203</v>
      </c>
    </row>
    <row r="2071" spans="2:11">
      <c r="B2071" s="5"/>
      <c r="F2071" s="5" t="s">
        <v>4192</v>
      </c>
      <c r="G2071" s="5" t="s">
        <v>4193</v>
      </c>
      <c r="J2071" s="5" t="s">
        <v>5204</v>
      </c>
      <c r="K2071" s="5" t="s">
        <v>5205</v>
      </c>
    </row>
    <row r="2072" spans="2:11">
      <c r="B2072" s="5"/>
      <c r="F2072" s="5" t="s">
        <v>4194</v>
      </c>
      <c r="G2072" s="5" t="s">
        <v>4195</v>
      </c>
      <c r="J2072" s="5" t="s">
        <v>5206</v>
      </c>
      <c r="K2072" s="5" t="s">
        <v>5207</v>
      </c>
    </row>
    <row r="2073" spans="2:11">
      <c r="B2073" s="5"/>
      <c r="F2073" s="5" t="s">
        <v>4196</v>
      </c>
      <c r="G2073" s="5" t="s">
        <v>4197</v>
      </c>
      <c r="J2073" s="5" t="s">
        <v>5208</v>
      </c>
      <c r="K2073" s="5" t="s">
        <v>5209</v>
      </c>
    </row>
    <row r="2074" spans="2:11">
      <c r="B2074" s="5"/>
      <c r="F2074" s="5" t="s">
        <v>4198</v>
      </c>
      <c r="G2074" s="5" t="s">
        <v>4199</v>
      </c>
      <c r="J2074" s="5" t="s">
        <v>5210</v>
      </c>
      <c r="K2074" s="5" t="s">
        <v>5211</v>
      </c>
    </row>
    <row r="2075" spans="2:11">
      <c r="B2075" s="5"/>
      <c r="F2075" s="5" t="s">
        <v>4200</v>
      </c>
      <c r="G2075" s="5" t="s">
        <v>4201</v>
      </c>
      <c r="J2075" s="5" t="s">
        <v>5212</v>
      </c>
      <c r="K2075" s="5" t="s">
        <v>5213</v>
      </c>
    </row>
    <row r="2076" spans="2:11">
      <c r="B2076" s="5"/>
      <c r="F2076" s="5" t="s">
        <v>4202</v>
      </c>
      <c r="G2076" s="5" t="s">
        <v>4203</v>
      </c>
      <c r="J2076" s="5" t="s">
        <v>5214</v>
      </c>
      <c r="K2076" s="5" t="s">
        <v>5215</v>
      </c>
    </row>
    <row r="2077" spans="2:11">
      <c r="B2077" s="5"/>
      <c r="F2077" s="5" t="s">
        <v>4204</v>
      </c>
      <c r="G2077" s="5" t="s">
        <v>4205</v>
      </c>
      <c r="J2077" s="5" t="s">
        <v>5216</v>
      </c>
      <c r="K2077" s="5" t="s">
        <v>5217</v>
      </c>
    </row>
    <row r="2078" spans="2:11">
      <c r="B2078" s="5"/>
      <c r="F2078" s="5" t="s">
        <v>4206</v>
      </c>
      <c r="G2078" s="5" t="s">
        <v>4207</v>
      </c>
      <c r="J2078" s="5" t="s">
        <v>5218</v>
      </c>
      <c r="K2078" s="5" t="s">
        <v>5219</v>
      </c>
    </row>
    <row r="2079" spans="2:11">
      <c r="B2079" s="5"/>
      <c r="F2079" s="5" t="s">
        <v>4208</v>
      </c>
      <c r="G2079" s="5" t="s">
        <v>4209</v>
      </c>
      <c r="J2079" s="5" t="s">
        <v>5220</v>
      </c>
      <c r="K2079" s="5" t="s">
        <v>5221</v>
      </c>
    </row>
    <row r="2080" spans="2:11">
      <c r="B2080" s="5"/>
      <c r="F2080" s="5" t="s">
        <v>4210</v>
      </c>
      <c r="G2080" s="5" t="s">
        <v>4211</v>
      </c>
      <c r="J2080" s="5" t="s">
        <v>5222</v>
      </c>
      <c r="K2080" s="5" t="s">
        <v>5223</v>
      </c>
    </row>
    <row r="2081" spans="2:11">
      <c r="B2081" s="5"/>
      <c r="F2081" s="5" t="s">
        <v>4212</v>
      </c>
      <c r="G2081" s="5" t="s">
        <v>4213</v>
      </c>
      <c r="J2081" s="5" t="s">
        <v>5224</v>
      </c>
      <c r="K2081" s="5" t="s">
        <v>5225</v>
      </c>
    </row>
    <row r="2082" spans="2:11">
      <c r="B2082" s="5"/>
      <c r="F2082" s="5" t="s">
        <v>4214</v>
      </c>
      <c r="G2082" s="5" t="s">
        <v>4215</v>
      </c>
      <c r="J2082" s="5" t="s">
        <v>5226</v>
      </c>
      <c r="K2082" s="5" t="s">
        <v>5227</v>
      </c>
    </row>
    <row r="2083" spans="2:11">
      <c r="B2083" s="5"/>
      <c r="F2083" s="5" t="s">
        <v>4216</v>
      </c>
      <c r="G2083" s="5" t="s">
        <v>4217</v>
      </c>
      <c r="J2083" s="5" t="s">
        <v>5228</v>
      </c>
      <c r="K2083" s="5" t="s">
        <v>5229</v>
      </c>
    </row>
    <row r="2084" spans="2:11">
      <c r="B2084" s="5"/>
      <c r="F2084" s="5" t="s">
        <v>4218</v>
      </c>
      <c r="G2084" s="5" t="s">
        <v>4219</v>
      </c>
      <c r="J2084" s="5" t="s">
        <v>5230</v>
      </c>
      <c r="K2084" s="5" t="s">
        <v>5231</v>
      </c>
    </row>
    <row r="2085" spans="2:11">
      <c r="B2085" s="5"/>
      <c r="F2085" s="5" t="s">
        <v>4220</v>
      </c>
      <c r="G2085" s="5" t="s">
        <v>4221</v>
      </c>
      <c r="J2085" s="5" t="s">
        <v>5232</v>
      </c>
      <c r="K2085" s="5" t="s">
        <v>5233</v>
      </c>
    </row>
    <row r="2086" spans="2:11">
      <c r="B2086" s="5"/>
      <c r="F2086" s="5" t="s">
        <v>4222</v>
      </c>
      <c r="G2086" s="5" t="s">
        <v>4223</v>
      </c>
      <c r="J2086" s="5" t="s">
        <v>5234</v>
      </c>
      <c r="K2086" s="5" t="s">
        <v>5235</v>
      </c>
    </row>
    <row r="2087" spans="2:11">
      <c r="B2087" s="5"/>
      <c r="F2087" s="5" t="s">
        <v>4224</v>
      </c>
      <c r="G2087" s="5" t="s">
        <v>4225</v>
      </c>
      <c r="J2087" s="5" t="s">
        <v>5236</v>
      </c>
      <c r="K2087" s="5" t="s">
        <v>5237</v>
      </c>
    </row>
    <row r="2088" spans="2:11">
      <c r="B2088" s="5"/>
      <c r="F2088" s="5" t="s">
        <v>4226</v>
      </c>
      <c r="G2088" s="5" t="s">
        <v>4227</v>
      </c>
      <c r="J2088" s="5" t="s">
        <v>5238</v>
      </c>
      <c r="K2088" s="5" t="s">
        <v>5239</v>
      </c>
    </row>
    <row r="2089" spans="2:11">
      <c r="B2089" s="5"/>
      <c r="F2089" s="5" t="s">
        <v>4228</v>
      </c>
      <c r="G2089" s="5" t="s">
        <v>4229</v>
      </c>
      <c r="J2089" s="5" t="s">
        <v>5240</v>
      </c>
      <c r="K2089" s="5" t="s">
        <v>5241</v>
      </c>
    </row>
    <row r="2090" spans="2:11">
      <c r="B2090" s="5"/>
      <c r="F2090" s="5" t="s">
        <v>4230</v>
      </c>
      <c r="G2090" s="5" t="s">
        <v>4231</v>
      </c>
      <c r="J2090" s="5" t="s">
        <v>5242</v>
      </c>
      <c r="K2090" s="5" t="s">
        <v>5243</v>
      </c>
    </row>
    <row r="2091" spans="2:11">
      <c r="B2091" s="5"/>
      <c r="F2091" s="5" t="s">
        <v>4232</v>
      </c>
      <c r="G2091" s="5" t="s">
        <v>4233</v>
      </c>
      <c r="J2091" s="5" t="s">
        <v>5244</v>
      </c>
      <c r="K2091" s="5" t="s">
        <v>5245</v>
      </c>
    </row>
    <row r="2092" spans="2:11">
      <c r="B2092" s="5"/>
      <c r="F2092" s="5" t="s">
        <v>4234</v>
      </c>
      <c r="G2092" s="5" t="s">
        <v>4235</v>
      </c>
      <c r="J2092" s="5" t="s">
        <v>5246</v>
      </c>
      <c r="K2092" s="5" t="s">
        <v>5247</v>
      </c>
    </row>
    <row r="2093" spans="2:11">
      <c r="B2093" s="5"/>
      <c r="F2093" s="5" t="s">
        <v>4236</v>
      </c>
      <c r="G2093" s="5" t="s">
        <v>4237</v>
      </c>
      <c r="J2093" s="5" t="s">
        <v>5248</v>
      </c>
      <c r="K2093" s="5" t="s">
        <v>5249</v>
      </c>
    </row>
    <row r="2094" spans="2:11">
      <c r="B2094" s="5"/>
      <c r="F2094" s="5" t="s">
        <v>4238</v>
      </c>
      <c r="G2094" s="5" t="s">
        <v>4239</v>
      </c>
      <c r="J2094" s="5" t="s">
        <v>5250</v>
      </c>
      <c r="K2094" s="5" t="s">
        <v>5251</v>
      </c>
    </row>
    <row r="2095" spans="2:11">
      <c r="B2095" s="5"/>
      <c r="F2095" s="5" t="s">
        <v>4240</v>
      </c>
      <c r="G2095" s="5" t="s">
        <v>4241</v>
      </c>
      <c r="J2095" s="5" t="s">
        <v>5252</v>
      </c>
      <c r="K2095" s="5" t="s">
        <v>5253</v>
      </c>
    </row>
    <row r="2096" spans="2:11">
      <c r="B2096" s="5"/>
      <c r="F2096" s="5" t="s">
        <v>4242</v>
      </c>
      <c r="G2096" s="5" t="s">
        <v>4243</v>
      </c>
      <c r="J2096" s="5" t="s">
        <v>5254</v>
      </c>
      <c r="K2096" s="5" t="s">
        <v>5255</v>
      </c>
    </row>
    <row r="2097" spans="2:11">
      <c r="B2097" s="5"/>
      <c r="F2097" s="5" t="s">
        <v>4244</v>
      </c>
      <c r="G2097" s="5" t="s">
        <v>4245</v>
      </c>
      <c r="J2097" s="5" t="s">
        <v>5256</v>
      </c>
      <c r="K2097" s="5" t="s">
        <v>5257</v>
      </c>
    </row>
    <row r="2098" spans="2:11">
      <c r="B2098" s="5"/>
      <c r="F2098" s="5" t="s">
        <v>4246</v>
      </c>
      <c r="G2098" s="5" t="s">
        <v>4247</v>
      </c>
      <c r="J2098" s="5" t="s">
        <v>5258</v>
      </c>
      <c r="K2098" s="5" t="s">
        <v>5259</v>
      </c>
    </row>
    <row r="2099" spans="2:11">
      <c r="B2099" s="5"/>
      <c r="F2099" s="5" t="s">
        <v>4248</v>
      </c>
      <c r="G2099" s="5" t="s">
        <v>4249</v>
      </c>
      <c r="J2099" s="5" t="s">
        <v>5260</v>
      </c>
      <c r="K2099" s="5" t="s">
        <v>5261</v>
      </c>
    </row>
    <row r="2100" spans="2:11">
      <c r="B2100" s="5"/>
      <c r="F2100" s="5" t="s">
        <v>4250</v>
      </c>
      <c r="G2100" s="5" t="s">
        <v>4251</v>
      </c>
      <c r="J2100" s="5" t="s">
        <v>5262</v>
      </c>
      <c r="K2100" s="5" t="s">
        <v>5263</v>
      </c>
    </row>
    <row r="2101" spans="2:11">
      <c r="B2101" s="5"/>
      <c r="F2101" s="5" t="s">
        <v>4252</v>
      </c>
      <c r="G2101" s="5" t="s">
        <v>4253</v>
      </c>
      <c r="J2101" s="5" t="s">
        <v>5264</v>
      </c>
      <c r="K2101" s="5" t="s">
        <v>5265</v>
      </c>
    </row>
    <row r="2102" spans="2:11">
      <c r="B2102" s="5"/>
      <c r="F2102" s="5" t="s">
        <v>4254</v>
      </c>
      <c r="G2102" s="5" t="s">
        <v>4255</v>
      </c>
      <c r="J2102" s="5" t="s">
        <v>5266</v>
      </c>
      <c r="K2102" s="5" t="s">
        <v>5267</v>
      </c>
    </row>
    <row r="2103" spans="2:11">
      <c r="B2103" s="5"/>
      <c r="F2103" s="5" t="s">
        <v>4256</v>
      </c>
      <c r="G2103" s="5" t="s">
        <v>4257</v>
      </c>
      <c r="J2103" s="5" t="s">
        <v>5268</v>
      </c>
      <c r="K2103" s="5" t="s">
        <v>5269</v>
      </c>
    </row>
    <row r="2104" spans="2:11">
      <c r="B2104" s="5"/>
      <c r="F2104" s="5" t="s">
        <v>4258</v>
      </c>
      <c r="G2104" s="5" t="s">
        <v>4259</v>
      </c>
      <c r="J2104" s="12" t="s">
        <v>5270</v>
      </c>
      <c r="K2104" s="12" t="s">
        <v>5271</v>
      </c>
    </row>
    <row r="2105" spans="2:11">
      <c r="B2105" s="5"/>
      <c r="F2105" s="5" t="s">
        <v>4260</v>
      </c>
      <c r="G2105" s="5" t="s">
        <v>4261</v>
      </c>
    </row>
    <row r="2106" spans="2:11">
      <c r="F2106" s="5" t="s">
        <v>4262</v>
      </c>
      <c r="G2106" s="5" t="s">
        <v>4263</v>
      </c>
    </row>
    <row r="2107" spans="2:11">
      <c r="F2107" s="5" t="s">
        <v>4264</v>
      </c>
      <c r="G2107" s="5" t="s">
        <v>4265</v>
      </c>
    </row>
    <row r="2108" spans="2:11">
      <c r="F2108" s="5" t="s">
        <v>4266</v>
      </c>
      <c r="G2108" s="5" t="s">
        <v>4267</v>
      </c>
    </row>
    <row r="2109" spans="2:11">
      <c r="F2109" s="5" t="s">
        <v>4268</v>
      </c>
      <c r="G2109" s="5" t="s">
        <v>4269</v>
      </c>
    </row>
    <row r="2110" spans="2:11">
      <c r="F2110" s="5" t="s">
        <v>4270</v>
      </c>
      <c r="G2110" s="5" t="s">
        <v>4271</v>
      </c>
    </row>
    <row r="2111" spans="2:11">
      <c r="F2111" s="5" t="s">
        <v>4272</v>
      </c>
      <c r="G2111" s="5" t="s">
        <v>4273</v>
      </c>
    </row>
    <row r="2112" spans="2:11">
      <c r="F2112" s="5" t="s">
        <v>4274</v>
      </c>
      <c r="G2112" s="5" t="s">
        <v>4275</v>
      </c>
    </row>
    <row r="2113" spans="6:7">
      <c r="F2113" s="5" t="s">
        <v>4276</v>
      </c>
      <c r="G2113" s="5" t="s">
        <v>4277</v>
      </c>
    </row>
    <row r="2114" spans="6:7">
      <c r="F2114" s="5" t="s">
        <v>4278</v>
      </c>
      <c r="G2114" s="5" t="s">
        <v>4279</v>
      </c>
    </row>
    <row r="2115" spans="6:7">
      <c r="F2115" s="5" t="s">
        <v>4280</v>
      </c>
      <c r="G2115" s="5" t="s">
        <v>4281</v>
      </c>
    </row>
    <row r="2116" spans="6:7">
      <c r="F2116" s="5" t="s">
        <v>4282</v>
      </c>
      <c r="G2116" s="5" t="s">
        <v>4283</v>
      </c>
    </row>
    <row r="2117" spans="6:7">
      <c r="F2117" s="5" t="s">
        <v>4284</v>
      </c>
      <c r="G2117" s="5" t="s">
        <v>4285</v>
      </c>
    </row>
    <row r="2118" spans="6:7">
      <c r="F2118" s="5" t="s">
        <v>4286</v>
      </c>
      <c r="G2118" s="5" t="s">
        <v>4287</v>
      </c>
    </row>
    <row r="2119" spans="6:7">
      <c r="F2119" s="5" t="s">
        <v>4288</v>
      </c>
      <c r="G2119" s="5" t="s">
        <v>4289</v>
      </c>
    </row>
    <row r="2120" spans="6:7">
      <c r="F2120" s="5" t="s">
        <v>4290</v>
      </c>
      <c r="G2120" s="5" t="s">
        <v>4291</v>
      </c>
    </row>
    <row r="2121" spans="6:7">
      <c r="F2121" s="5" t="s">
        <v>4292</v>
      </c>
      <c r="G2121" s="5" t="s">
        <v>4293</v>
      </c>
    </row>
    <row r="2122" spans="6:7">
      <c r="F2122" s="5" t="s">
        <v>4294</v>
      </c>
      <c r="G2122" s="5" t="s">
        <v>4295</v>
      </c>
    </row>
    <row r="2123" spans="6:7">
      <c r="F2123" s="5" t="s">
        <v>4296</v>
      </c>
      <c r="G2123" s="5" t="s">
        <v>4297</v>
      </c>
    </row>
    <row r="2124" spans="6:7">
      <c r="F2124" s="5" t="s">
        <v>4298</v>
      </c>
      <c r="G2124" s="5" t="s">
        <v>4299</v>
      </c>
    </row>
    <row r="2125" spans="6:7">
      <c r="F2125" s="5" t="s">
        <v>4300</v>
      </c>
      <c r="G2125" s="5" t="s">
        <v>4301</v>
      </c>
    </row>
    <row r="2126" spans="6:7">
      <c r="F2126" s="5" t="s">
        <v>4302</v>
      </c>
      <c r="G2126" s="5" t="s">
        <v>4303</v>
      </c>
    </row>
    <row r="2127" spans="6:7">
      <c r="F2127" s="5" t="s">
        <v>4304</v>
      </c>
      <c r="G2127" s="5" t="s">
        <v>4305</v>
      </c>
    </row>
    <row r="2128" spans="6:7">
      <c r="F2128" s="5" t="s">
        <v>4306</v>
      </c>
      <c r="G2128" s="5" t="s">
        <v>4307</v>
      </c>
    </row>
    <row r="2129" spans="6:7">
      <c r="F2129" s="5" t="s">
        <v>4308</v>
      </c>
      <c r="G2129" s="5" t="s">
        <v>4309</v>
      </c>
    </row>
    <row r="2130" spans="6:7">
      <c r="F2130" s="5" t="s">
        <v>4310</v>
      </c>
      <c r="G2130" s="5" t="s">
        <v>4311</v>
      </c>
    </row>
    <row r="2131" spans="6:7">
      <c r="F2131" s="5" t="s">
        <v>4312</v>
      </c>
      <c r="G2131" s="5" t="s">
        <v>4313</v>
      </c>
    </row>
    <row r="2132" spans="6:7">
      <c r="F2132" s="5" t="s">
        <v>4314</v>
      </c>
      <c r="G2132" s="5" t="s">
        <v>4315</v>
      </c>
    </row>
    <row r="2133" spans="6:7">
      <c r="F2133" s="5" t="s">
        <v>4316</v>
      </c>
      <c r="G2133" s="5" t="s">
        <v>4317</v>
      </c>
    </row>
    <row r="2134" spans="6:7">
      <c r="F2134" s="5" t="s">
        <v>4318</v>
      </c>
      <c r="G2134" s="5" t="s">
        <v>4319</v>
      </c>
    </row>
    <row r="2135" spans="6:7">
      <c r="F2135" s="5" t="s">
        <v>4320</v>
      </c>
      <c r="G2135" s="5" t="s">
        <v>4321</v>
      </c>
    </row>
    <row r="2136" spans="6:7">
      <c r="F2136" s="5" t="s">
        <v>4322</v>
      </c>
      <c r="G2136" s="5" t="s">
        <v>4323</v>
      </c>
    </row>
    <row r="2137" spans="6:7">
      <c r="F2137" s="5" t="s">
        <v>4324</v>
      </c>
      <c r="G2137" s="5" t="s">
        <v>4325</v>
      </c>
    </row>
    <row r="2138" spans="6:7">
      <c r="F2138" s="5" t="s">
        <v>4326</v>
      </c>
      <c r="G2138" s="5" t="s">
        <v>4327</v>
      </c>
    </row>
    <row r="2139" spans="6:7">
      <c r="F2139" s="5" t="s">
        <v>4328</v>
      </c>
      <c r="G2139" s="5" t="s">
        <v>4329</v>
      </c>
    </row>
    <row r="2140" spans="6:7">
      <c r="F2140" s="5" t="s">
        <v>4330</v>
      </c>
      <c r="G2140" s="5" t="s">
        <v>4331</v>
      </c>
    </row>
    <row r="2141" spans="6:7">
      <c r="F2141" s="5" t="s">
        <v>4332</v>
      </c>
      <c r="G2141" s="5" t="s">
        <v>4333</v>
      </c>
    </row>
    <row r="2142" spans="6:7">
      <c r="F2142" s="5" t="s">
        <v>4334</v>
      </c>
      <c r="G2142" s="5" t="s">
        <v>4335</v>
      </c>
    </row>
    <row r="2143" spans="6:7">
      <c r="F2143" s="5" t="s">
        <v>4336</v>
      </c>
      <c r="G2143" s="5" t="s">
        <v>4337</v>
      </c>
    </row>
    <row r="2144" spans="6:7">
      <c r="F2144" s="5" t="s">
        <v>4338</v>
      </c>
      <c r="G2144" s="5" t="s">
        <v>4339</v>
      </c>
    </row>
    <row r="2145" spans="6:7">
      <c r="F2145" s="5" t="s">
        <v>4340</v>
      </c>
      <c r="G2145" s="5" t="s">
        <v>4341</v>
      </c>
    </row>
    <row r="2146" spans="6:7">
      <c r="F2146" s="5" t="s">
        <v>4342</v>
      </c>
      <c r="G2146" s="5" t="s">
        <v>4343</v>
      </c>
    </row>
    <row r="2147" spans="6:7">
      <c r="F2147" s="5" t="s">
        <v>4344</v>
      </c>
      <c r="G2147" s="5" t="s">
        <v>4345</v>
      </c>
    </row>
    <row r="2148" spans="6:7">
      <c r="F2148" s="5" t="s">
        <v>4346</v>
      </c>
      <c r="G2148" s="5" t="s">
        <v>4347</v>
      </c>
    </row>
    <row r="2149" spans="6:7">
      <c r="F2149" s="5" t="s">
        <v>4348</v>
      </c>
      <c r="G2149" s="5" t="s">
        <v>4349</v>
      </c>
    </row>
    <row r="2150" spans="6:7">
      <c r="F2150" s="5" t="s">
        <v>4350</v>
      </c>
      <c r="G2150" s="5" t="s">
        <v>4351</v>
      </c>
    </row>
    <row r="2151" spans="6:7">
      <c r="F2151" s="5" t="s">
        <v>4352</v>
      </c>
      <c r="G2151" s="5" t="s">
        <v>4353</v>
      </c>
    </row>
    <row r="2152" spans="6:7">
      <c r="F2152" s="5" t="s">
        <v>4354</v>
      </c>
      <c r="G2152" s="5" t="s">
        <v>4355</v>
      </c>
    </row>
    <row r="2153" spans="6:7">
      <c r="F2153" s="5" t="s">
        <v>4356</v>
      </c>
      <c r="G2153" s="5" t="s">
        <v>4357</v>
      </c>
    </row>
    <row r="2154" spans="6:7">
      <c r="F2154" s="5" t="s">
        <v>4358</v>
      </c>
      <c r="G2154" s="5" t="s">
        <v>4359</v>
      </c>
    </row>
    <row r="2155" spans="6:7">
      <c r="F2155" s="5" t="s">
        <v>4360</v>
      </c>
      <c r="G2155" s="5" t="s">
        <v>4361</v>
      </c>
    </row>
    <row r="2156" spans="6:7">
      <c r="F2156" s="5" t="s">
        <v>4362</v>
      </c>
      <c r="G2156" s="5" t="s">
        <v>4363</v>
      </c>
    </row>
    <row r="2157" spans="6:7">
      <c r="F2157" s="5" t="s">
        <v>4364</v>
      </c>
      <c r="G2157" s="5" t="s">
        <v>4365</v>
      </c>
    </row>
    <row r="2158" spans="6:7">
      <c r="F2158" s="5" t="s">
        <v>4366</v>
      </c>
      <c r="G2158" s="5" t="s">
        <v>4367</v>
      </c>
    </row>
    <row r="2159" spans="6:7">
      <c r="F2159" s="5" t="s">
        <v>4368</v>
      </c>
      <c r="G2159" s="5" t="s">
        <v>4369</v>
      </c>
    </row>
    <row r="2160" spans="6:7">
      <c r="F2160" s="5" t="s">
        <v>4370</v>
      </c>
      <c r="G2160" s="5" t="s">
        <v>4371</v>
      </c>
    </row>
    <row r="2161" spans="6:7">
      <c r="F2161" s="5" t="s">
        <v>4372</v>
      </c>
      <c r="G2161" s="5" t="s">
        <v>4373</v>
      </c>
    </row>
    <row r="2162" spans="6:7">
      <c r="F2162" s="5" t="s">
        <v>4374</v>
      </c>
      <c r="G2162" s="5" t="s">
        <v>4375</v>
      </c>
    </row>
    <row r="2163" spans="6:7">
      <c r="F2163" s="5" t="s">
        <v>4376</v>
      </c>
      <c r="G2163" s="5" t="s">
        <v>4377</v>
      </c>
    </row>
    <row r="2164" spans="6:7">
      <c r="F2164" s="5" t="s">
        <v>4378</v>
      </c>
      <c r="G2164" s="5" t="s">
        <v>4379</v>
      </c>
    </row>
    <row r="2165" spans="6:7">
      <c r="F2165" s="5" t="s">
        <v>4380</v>
      </c>
      <c r="G2165" s="5" t="s">
        <v>4381</v>
      </c>
    </row>
    <row r="2166" spans="6:7">
      <c r="F2166" s="5" t="s">
        <v>4382</v>
      </c>
      <c r="G2166" s="5" t="s">
        <v>4383</v>
      </c>
    </row>
    <row r="2167" spans="6:7">
      <c r="F2167" s="5" t="s">
        <v>4384</v>
      </c>
      <c r="G2167" s="5" t="s">
        <v>4385</v>
      </c>
    </row>
    <row r="2168" spans="6:7">
      <c r="F2168" s="5" t="s">
        <v>4386</v>
      </c>
      <c r="G2168" s="5" t="s">
        <v>4387</v>
      </c>
    </row>
    <row r="2169" spans="6:7">
      <c r="F2169" s="5" t="s">
        <v>4388</v>
      </c>
      <c r="G2169" s="5" t="s">
        <v>4389</v>
      </c>
    </row>
    <row r="2170" spans="6:7">
      <c r="F2170" s="5" t="s">
        <v>4390</v>
      </c>
      <c r="G2170" s="5" t="s">
        <v>4391</v>
      </c>
    </row>
    <row r="2171" spans="6:7">
      <c r="F2171" s="5" t="s">
        <v>4392</v>
      </c>
      <c r="G2171" s="5" t="s">
        <v>4393</v>
      </c>
    </row>
    <row r="2172" spans="6:7">
      <c r="F2172" s="5" t="s">
        <v>4394</v>
      </c>
      <c r="G2172" s="5" t="s">
        <v>4395</v>
      </c>
    </row>
    <row r="2173" spans="6:7">
      <c r="F2173" s="5" t="s">
        <v>4396</v>
      </c>
      <c r="G2173" s="5" t="s">
        <v>4397</v>
      </c>
    </row>
    <row r="2174" spans="6:7">
      <c r="F2174" s="5" t="s">
        <v>4398</v>
      </c>
      <c r="G2174" s="5" t="s">
        <v>4399</v>
      </c>
    </row>
    <row r="2175" spans="6:7">
      <c r="F2175" s="5" t="s">
        <v>4400</v>
      </c>
      <c r="G2175" s="5" t="s">
        <v>4401</v>
      </c>
    </row>
    <row r="2176" spans="6:7">
      <c r="F2176" s="5" t="s">
        <v>4402</v>
      </c>
      <c r="G2176" s="5" t="s">
        <v>4403</v>
      </c>
    </row>
    <row r="2177" spans="6:7">
      <c r="F2177" s="5" t="s">
        <v>4404</v>
      </c>
      <c r="G2177" s="5" t="s">
        <v>4405</v>
      </c>
    </row>
    <row r="2178" spans="6:7">
      <c r="F2178" s="5" t="s">
        <v>4406</v>
      </c>
      <c r="G2178" s="5" t="s">
        <v>4407</v>
      </c>
    </row>
    <row r="2179" spans="6:7">
      <c r="F2179" s="5" t="s">
        <v>4408</v>
      </c>
      <c r="G2179" s="5" t="s">
        <v>4409</v>
      </c>
    </row>
    <row r="2180" spans="6:7">
      <c r="F2180" s="5" t="s">
        <v>4410</v>
      </c>
      <c r="G2180" s="5" t="s">
        <v>4411</v>
      </c>
    </row>
    <row r="2181" spans="6:7">
      <c r="F2181" s="5" t="s">
        <v>4412</v>
      </c>
      <c r="G2181" s="5" t="s">
        <v>4413</v>
      </c>
    </row>
    <row r="2182" spans="6:7">
      <c r="F2182" s="5" t="s">
        <v>4414</v>
      </c>
      <c r="G2182" s="5" t="s">
        <v>4415</v>
      </c>
    </row>
    <row r="2183" spans="6:7">
      <c r="F2183" s="5" t="s">
        <v>4416</v>
      </c>
      <c r="G2183" s="5" t="s">
        <v>4417</v>
      </c>
    </row>
    <row r="2184" spans="6:7">
      <c r="F2184" s="5" t="s">
        <v>4418</v>
      </c>
      <c r="G2184" s="5" t="s">
        <v>4419</v>
      </c>
    </row>
    <row r="2185" spans="6:7">
      <c r="F2185" s="5" t="s">
        <v>4420</v>
      </c>
      <c r="G2185" s="5" t="s">
        <v>4421</v>
      </c>
    </row>
    <row r="2186" spans="6:7">
      <c r="F2186" s="5" t="s">
        <v>4422</v>
      </c>
      <c r="G2186" s="5" t="s">
        <v>4423</v>
      </c>
    </row>
    <row r="2187" spans="6:7">
      <c r="F2187" s="5" t="s">
        <v>4424</v>
      </c>
      <c r="G2187" s="5" t="s">
        <v>4425</v>
      </c>
    </row>
    <row r="2188" spans="6:7">
      <c r="F2188" s="5" t="s">
        <v>4426</v>
      </c>
      <c r="G2188" s="5" t="s">
        <v>4427</v>
      </c>
    </row>
    <row r="2189" spans="6:7">
      <c r="F2189" s="5" t="s">
        <v>4428</v>
      </c>
      <c r="G2189" s="5" t="s">
        <v>4429</v>
      </c>
    </row>
    <row r="2190" spans="6:7">
      <c r="F2190" s="5" t="s">
        <v>4430</v>
      </c>
      <c r="G2190" s="5" t="s">
        <v>4431</v>
      </c>
    </row>
    <row r="2191" spans="6:7">
      <c r="F2191" s="5" t="s">
        <v>4432</v>
      </c>
      <c r="G2191" s="5" t="s">
        <v>4433</v>
      </c>
    </row>
    <row r="2192" spans="6:7">
      <c r="F2192" s="5" t="s">
        <v>4434</v>
      </c>
      <c r="G2192" s="5" t="s">
        <v>4435</v>
      </c>
    </row>
    <row r="2193" spans="6:7">
      <c r="F2193" s="5" t="s">
        <v>4436</v>
      </c>
      <c r="G2193" s="5" t="s">
        <v>4437</v>
      </c>
    </row>
    <row r="2194" spans="6:7">
      <c r="F2194" s="5" t="s">
        <v>4438</v>
      </c>
      <c r="G2194" s="5" t="s">
        <v>4439</v>
      </c>
    </row>
    <row r="2195" spans="6:7">
      <c r="F2195" s="5" t="s">
        <v>4440</v>
      </c>
      <c r="G2195" s="5" t="s">
        <v>4441</v>
      </c>
    </row>
    <row r="2196" spans="6:7">
      <c r="F2196" s="5" t="s">
        <v>4442</v>
      </c>
      <c r="G2196" s="5" t="s">
        <v>4443</v>
      </c>
    </row>
    <row r="2197" spans="6:7">
      <c r="F2197" s="5" t="s">
        <v>4444</v>
      </c>
      <c r="G2197" s="5" t="s">
        <v>4445</v>
      </c>
    </row>
    <row r="2198" spans="6:7">
      <c r="F2198" s="5" t="s">
        <v>4446</v>
      </c>
      <c r="G2198" s="5" t="s">
        <v>4447</v>
      </c>
    </row>
    <row r="2199" spans="6:7">
      <c r="F2199" s="5" t="s">
        <v>4448</v>
      </c>
      <c r="G2199" s="5" t="s">
        <v>4449</v>
      </c>
    </row>
    <row r="2200" spans="6:7">
      <c r="F2200" s="5" t="s">
        <v>4450</v>
      </c>
      <c r="G2200" s="5" t="s">
        <v>4451</v>
      </c>
    </row>
    <row r="2201" spans="6:7">
      <c r="F2201" s="5" t="s">
        <v>4452</v>
      </c>
      <c r="G2201" s="5" t="s">
        <v>4453</v>
      </c>
    </row>
    <row r="2202" spans="6:7">
      <c r="F2202" s="5" t="s">
        <v>4454</v>
      </c>
      <c r="G2202" s="5" t="s">
        <v>4455</v>
      </c>
    </row>
    <row r="2203" spans="6:7">
      <c r="F2203" s="5" t="s">
        <v>4456</v>
      </c>
      <c r="G2203" s="5" t="s">
        <v>4457</v>
      </c>
    </row>
    <row r="2204" spans="6:7">
      <c r="F2204" s="5" t="s">
        <v>4458</v>
      </c>
      <c r="G2204" s="5" t="s">
        <v>4459</v>
      </c>
    </row>
    <row r="2205" spans="6:7">
      <c r="F2205" s="5" t="s">
        <v>4460</v>
      </c>
      <c r="G2205" s="5" t="s">
        <v>4461</v>
      </c>
    </row>
    <row r="2206" spans="6:7">
      <c r="F2206" s="5" t="s">
        <v>4462</v>
      </c>
      <c r="G2206" s="5" t="s">
        <v>4463</v>
      </c>
    </row>
    <row r="2207" spans="6:7">
      <c r="F2207" s="5" t="s">
        <v>4464</v>
      </c>
      <c r="G2207" s="5" t="s">
        <v>4465</v>
      </c>
    </row>
    <row r="2208" spans="6:7">
      <c r="F2208" s="5" t="s">
        <v>4466</v>
      </c>
      <c r="G2208" s="5" t="s">
        <v>4467</v>
      </c>
    </row>
    <row r="2209" spans="6:7">
      <c r="F2209" s="5" t="s">
        <v>4468</v>
      </c>
      <c r="G2209" s="5" t="s">
        <v>4469</v>
      </c>
    </row>
    <row r="2210" spans="6:7">
      <c r="F2210" s="5" t="s">
        <v>4470</v>
      </c>
      <c r="G2210" s="5" t="s">
        <v>4471</v>
      </c>
    </row>
    <row r="2211" spans="6:7">
      <c r="F2211" s="5" t="s">
        <v>4472</v>
      </c>
      <c r="G2211" s="5" t="s">
        <v>4473</v>
      </c>
    </row>
    <row r="2212" spans="6:7">
      <c r="F2212" s="5" t="s">
        <v>4474</v>
      </c>
      <c r="G2212" s="5" t="s">
        <v>4475</v>
      </c>
    </row>
    <row r="2213" spans="6:7">
      <c r="F2213" s="5" t="s">
        <v>4476</v>
      </c>
      <c r="G2213" s="5" t="s">
        <v>4477</v>
      </c>
    </row>
    <row r="2214" spans="6:7">
      <c r="F2214" s="5" t="s">
        <v>4478</v>
      </c>
      <c r="G2214" s="5" t="s">
        <v>4479</v>
      </c>
    </row>
    <row r="2215" spans="6:7">
      <c r="F2215" s="5" t="s">
        <v>4480</v>
      </c>
      <c r="G2215" s="5" t="s">
        <v>4481</v>
      </c>
    </row>
    <row r="2216" spans="6:7">
      <c r="F2216" s="5" t="s">
        <v>4482</v>
      </c>
      <c r="G2216" s="5" t="s">
        <v>4483</v>
      </c>
    </row>
    <row r="2217" spans="6:7">
      <c r="F2217" s="5" t="s">
        <v>4484</v>
      </c>
      <c r="G2217" s="5" t="s">
        <v>4485</v>
      </c>
    </row>
    <row r="2218" spans="6:7">
      <c r="F2218" s="5" t="s">
        <v>4486</v>
      </c>
      <c r="G2218" s="5" t="s">
        <v>4487</v>
      </c>
    </row>
    <row r="2219" spans="6:7">
      <c r="F2219" s="5" t="s">
        <v>4488</v>
      </c>
      <c r="G2219" s="5" t="s">
        <v>4489</v>
      </c>
    </row>
    <row r="2220" spans="6:7">
      <c r="F2220" s="5" t="s">
        <v>4490</v>
      </c>
      <c r="G2220" s="5" t="s">
        <v>4491</v>
      </c>
    </row>
    <row r="2221" spans="6:7">
      <c r="F2221" s="5" t="s">
        <v>4492</v>
      </c>
      <c r="G2221" s="5" t="s">
        <v>4493</v>
      </c>
    </row>
    <row r="2222" spans="6:7">
      <c r="F2222" s="5" t="s">
        <v>4494</v>
      </c>
      <c r="G2222" s="5" t="s">
        <v>4495</v>
      </c>
    </row>
    <row r="2223" spans="6:7">
      <c r="F2223" s="5" t="s">
        <v>4496</v>
      </c>
      <c r="G2223" s="5" t="s">
        <v>4497</v>
      </c>
    </row>
    <row r="2224" spans="6:7">
      <c r="F2224" s="5" t="s">
        <v>4498</v>
      </c>
      <c r="G2224" s="5" t="s">
        <v>4499</v>
      </c>
    </row>
    <row r="2225" spans="6:7">
      <c r="F2225" s="5" t="s">
        <v>4500</v>
      </c>
      <c r="G2225" s="5" t="s">
        <v>4501</v>
      </c>
    </row>
    <row r="2226" spans="6:7">
      <c r="F2226" s="5" t="s">
        <v>4502</v>
      </c>
      <c r="G2226" s="5" t="s">
        <v>4503</v>
      </c>
    </row>
    <row r="2227" spans="6:7">
      <c r="F2227" s="5" t="s">
        <v>4504</v>
      </c>
      <c r="G2227" s="5" t="s">
        <v>4505</v>
      </c>
    </row>
    <row r="2228" spans="6:7">
      <c r="F2228" s="5" t="s">
        <v>4506</v>
      </c>
      <c r="G2228" s="5" t="s">
        <v>4507</v>
      </c>
    </row>
    <row r="2229" spans="6:7">
      <c r="F2229" s="5" t="s">
        <v>4508</v>
      </c>
      <c r="G2229" s="5" t="s">
        <v>4509</v>
      </c>
    </row>
    <row r="2230" spans="6:7">
      <c r="F2230" s="5" t="s">
        <v>4510</v>
      </c>
      <c r="G2230" s="5" t="s">
        <v>4511</v>
      </c>
    </row>
    <row r="2231" spans="6:7">
      <c r="F2231" s="5" t="s">
        <v>4512</v>
      </c>
      <c r="G2231" s="5" t="s">
        <v>4513</v>
      </c>
    </row>
    <row r="2232" spans="6:7">
      <c r="F2232" s="5" t="s">
        <v>4514</v>
      </c>
      <c r="G2232" s="5" t="s">
        <v>4515</v>
      </c>
    </row>
    <row r="2233" spans="6:7">
      <c r="F2233" s="5" t="s">
        <v>4516</v>
      </c>
      <c r="G2233" s="5" t="s">
        <v>4517</v>
      </c>
    </row>
    <row r="2234" spans="6:7">
      <c r="F2234" s="5" t="s">
        <v>4518</v>
      </c>
      <c r="G2234" s="5" t="s">
        <v>4519</v>
      </c>
    </row>
    <row r="2235" spans="6:7">
      <c r="F2235" s="5" t="s">
        <v>4520</v>
      </c>
      <c r="G2235" s="5" t="s">
        <v>4521</v>
      </c>
    </row>
    <row r="2236" spans="6:7">
      <c r="F2236" s="5" t="s">
        <v>4522</v>
      </c>
      <c r="G2236" s="5" t="s">
        <v>4523</v>
      </c>
    </row>
    <row r="2237" spans="6:7">
      <c r="F2237" s="5" t="s">
        <v>4524</v>
      </c>
      <c r="G2237" s="5" t="s">
        <v>4525</v>
      </c>
    </row>
    <row r="2238" spans="6:7">
      <c r="F2238" s="5" t="s">
        <v>4526</v>
      </c>
      <c r="G2238" s="5" t="s">
        <v>4527</v>
      </c>
    </row>
    <row r="2239" spans="6:7">
      <c r="F2239" s="5" t="s">
        <v>4528</v>
      </c>
      <c r="G2239" s="5" t="s">
        <v>4529</v>
      </c>
    </row>
    <row r="2240" spans="6:7">
      <c r="F2240" s="5" t="s">
        <v>4530</v>
      </c>
      <c r="G2240" s="5" t="s">
        <v>4531</v>
      </c>
    </row>
    <row r="2241" spans="6:7">
      <c r="F2241" s="5" t="s">
        <v>4532</v>
      </c>
      <c r="G2241" s="5" t="s">
        <v>4533</v>
      </c>
    </row>
    <row r="2242" spans="6:7">
      <c r="F2242" s="5" t="s">
        <v>4534</v>
      </c>
      <c r="G2242" s="5" t="s">
        <v>4535</v>
      </c>
    </row>
    <row r="2243" spans="6:7">
      <c r="F2243" s="5" t="s">
        <v>4536</v>
      </c>
      <c r="G2243" s="5" t="s">
        <v>4537</v>
      </c>
    </row>
    <row r="2244" spans="6:7">
      <c r="F2244" s="5" t="s">
        <v>4538</v>
      </c>
      <c r="G2244" s="5" t="s">
        <v>4539</v>
      </c>
    </row>
    <row r="2245" spans="6:7">
      <c r="F2245" s="5" t="s">
        <v>4540</v>
      </c>
      <c r="G2245" s="5" t="s">
        <v>4541</v>
      </c>
    </row>
    <row r="2246" spans="6:7">
      <c r="F2246" s="5" t="s">
        <v>4542</v>
      </c>
      <c r="G2246" s="5" t="s">
        <v>4543</v>
      </c>
    </row>
    <row r="2247" spans="6:7">
      <c r="F2247" s="5" t="s">
        <v>4544</v>
      </c>
      <c r="G2247" s="5" t="s">
        <v>4545</v>
      </c>
    </row>
    <row r="2248" spans="6:7">
      <c r="F2248" s="5" t="s">
        <v>4546</v>
      </c>
      <c r="G2248" s="5" t="s">
        <v>4547</v>
      </c>
    </row>
    <row r="2249" spans="6:7">
      <c r="F2249" s="5" t="s">
        <v>4548</v>
      </c>
      <c r="G2249" s="5" t="s">
        <v>4549</v>
      </c>
    </row>
    <row r="2250" spans="6:7">
      <c r="F2250" s="5" t="s">
        <v>4550</v>
      </c>
      <c r="G2250" s="5" t="s">
        <v>4551</v>
      </c>
    </row>
    <row r="2251" spans="6:7">
      <c r="F2251" s="5" t="s">
        <v>4552</v>
      </c>
      <c r="G2251" s="5" t="s">
        <v>4553</v>
      </c>
    </row>
    <row r="2252" spans="6:7">
      <c r="F2252" s="5" t="s">
        <v>4554</v>
      </c>
      <c r="G2252" s="5" t="s">
        <v>4555</v>
      </c>
    </row>
    <row r="2253" spans="6:7">
      <c r="F2253" s="5" t="s">
        <v>4556</v>
      </c>
      <c r="G2253" s="5" t="s">
        <v>4557</v>
      </c>
    </row>
    <row r="2254" spans="6:7">
      <c r="F2254" s="5" t="s">
        <v>4558</v>
      </c>
      <c r="G2254" s="5" t="s">
        <v>4559</v>
      </c>
    </row>
    <row r="2255" spans="6:7">
      <c r="F2255" s="5" t="s">
        <v>4560</v>
      </c>
      <c r="G2255" s="5" t="s">
        <v>4561</v>
      </c>
    </row>
    <row r="2256" spans="6:7">
      <c r="F2256" s="5" t="s">
        <v>4562</v>
      </c>
      <c r="G2256" s="5" t="s">
        <v>4563</v>
      </c>
    </row>
    <row r="2257" spans="6:7">
      <c r="F2257" s="5" t="s">
        <v>4564</v>
      </c>
      <c r="G2257" s="5" t="s">
        <v>4565</v>
      </c>
    </row>
    <row r="2258" spans="6:7">
      <c r="F2258" s="5" t="s">
        <v>4566</v>
      </c>
      <c r="G2258" s="5" t="s">
        <v>4567</v>
      </c>
    </row>
    <row r="2259" spans="6:7">
      <c r="F2259" s="5" t="s">
        <v>4568</v>
      </c>
      <c r="G2259" s="5" t="s">
        <v>4569</v>
      </c>
    </row>
    <row r="2260" spans="6:7">
      <c r="F2260" s="5" t="s">
        <v>4570</v>
      </c>
      <c r="G2260" s="5" t="s">
        <v>4571</v>
      </c>
    </row>
    <row r="2261" spans="6:7">
      <c r="F2261" s="5" t="s">
        <v>4572</v>
      </c>
      <c r="G2261" s="5" t="s">
        <v>4573</v>
      </c>
    </row>
    <row r="2262" spans="6:7">
      <c r="F2262" s="5" t="s">
        <v>4574</v>
      </c>
      <c r="G2262" s="5" t="s">
        <v>4575</v>
      </c>
    </row>
    <row r="2263" spans="6:7">
      <c r="F2263" s="5" t="s">
        <v>4576</v>
      </c>
      <c r="G2263" s="5" t="s">
        <v>4577</v>
      </c>
    </row>
    <row r="2264" spans="6:7">
      <c r="F2264" s="5" t="s">
        <v>4578</v>
      </c>
      <c r="G2264" s="5" t="s">
        <v>4579</v>
      </c>
    </row>
    <row r="2265" spans="6:7">
      <c r="F2265" s="5" t="s">
        <v>4580</v>
      </c>
      <c r="G2265" s="5" t="s">
        <v>4581</v>
      </c>
    </row>
    <row r="2266" spans="6:7">
      <c r="F2266" s="5" t="s">
        <v>4582</v>
      </c>
      <c r="G2266" s="5" t="s">
        <v>4583</v>
      </c>
    </row>
    <row r="2267" spans="6:7">
      <c r="F2267" s="5" t="s">
        <v>4584</v>
      </c>
      <c r="G2267" s="5" t="s">
        <v>4585</v>
      </c>
    </row>
    <row r="2268" spans="6:7">
      <c r="F2268" s="5" t="s">
        <v>4586</v>
      </c>
      <c r="G2268" s="5" t="s">
        <v>4587</v>
      </c>
    </row>
    <row r="2269" spans="6:7">
      <c r="F2269" s="5" t="s">
        <v>4588</v>
      </c>
      <c r="G2269" s="5" t="s">
        <v>4589</v>
      </c>
    </row>
    <row r="2270" spans="6:7">
      <c r="F2270" s="5" t="s">
        <v>4590</v>
      </c>
      <c r="G2270" s="5" t="s">
        <v>4591</v>
      </c>
    </row>
    <row r="2271" spans="6:7">
      <c r="F2271" s="5" t="s">
        <v>4592</v>
      </c>
      <c r="G2271" s="5" t="s">
        <v>4593</v>
      </c>
    </row>
    <row r="2272" spans="6:7">
      <c r="F2272" s="5" t="s">
        <v>4594</v>
      </c>
      <c r="G2272" s="5" t="s">
        <v>4595</v>
      </c>
    </row>
    <row r="2273" spans="6:7">
      <c r="F2273" s="5" t="s">
        <v>4596</v>
      </c>
      <c r="G2273" s="5" t="s">
        <v>4597</v>
      </c>
    </row>
    <row r="2274" spans="6:7">
      <c r="F2274" s="5" t="s">
        <v>4598</v>
      </c>
      <c r="G2274" s="5" t="s">
        <v>4599</v>
      </c>
    </row>
    <row r="2275" spans="6:7">
      <c r="F2275" s="5" t="s">
        <v>4600</v>
      </c>
      <c r="G2275" s="5" t="s">
        <v>4601</v>
      </c>
    </row>
    <row r="2276" spans="6:7">
      <c r="F2276" s="5" t="s">
        <v>4602</v>
      </c>
      <c r="G2276" s="5" t="s">
        <v>4603</v>
      </c>
    </row>
    <row r="2277" spans="6:7">
      <c r="F2277" s="5" t="s">
        <v>4604</v>
      </c>
      <c r="G2277" s="5" t="s">
        <v>4605</v>
      </c>
    </row>
    <row r="2278" spans="6:7">
      <c r="F2278" s="5" t="s">
        <v>4606</v>
      </c>
      <c r="G2278" s="5" t="s">
        <v>4607</v>
      </c>
    </row>
    <row r="2279" spans="6:7">
      <c r="F2279" s="5" t="s">
        <v>4608</v>
      </c>
      <c r="G2279" s="5" t="s">
        <v>4609</v>
      </c>
    </row>
    <row r="2280" spans="6:7">
      <c r="F2280" s="5" t="s">
        <v>4610</v>
      </c>
      <c r="G2280" s="5" t="s">
        <v>4611</v>
      </c>
    </row>
    <row r="2281" spans="6:7">
      <c r="F2281" s="5" t="s">
        <v>4612</v>
      </c>
      <c r="G2281" s="5" t="s">
        <v>4613</v>
      </c>
    </row>
    <row r="2282" spans="6:7">
      <c r="F2282" s="5" t="s">
        <v>4614</v>
      </c>
      <c r="G2282" s="5" t="s">
        <v>4615</v>
      </c>
    </row>
    <row r="2283" spans="6:7">
      <c r="F2283" s="5" t="s">
        <v>4616</v>
      </c>
      <c r="G2283" s="5" t="s">
        <v>4617</v>
      </c>
    </row>
    <row r="2284" spans="6:7">
      <c r="F2284" s="5" t="s">
        <v>4618</v>
      </c>
      <c r="G2284" s="5" t="s">
        <v>4619</v>
      </c>
    </row>
    <row r="2285" spans="6:7">
      <c r="F2285" s="5" t="s">
        <v>4620</v>
      </c>
      <c r="G2285" s="5" t="s">
        <v>4621</v>
      </c>
    </row>
    <row r="2286" spans="6:7">
      <c r="F2286" s="5" t="s">
        <v>4622</v>
      </c>
      <c r="G2286" s="5" t="s">
        <v>4623</v>
      </c>
    </row>
    <row r="2287" spans="6:7">
      <c r="F2287" s="5" t="s">
        <v>4624</v>
      </c>
      <c r="G2287" s="5" t="s">
        <v>4625</v>
      </c>
    </row>
    <row r="2288" spans="6:7">
      <c r="F2288" s="5" t="s">
        <v>4626</v>
      </c>
      <c r="G2288" s="5" t="s">
        <v>4627</v>
      </c>
    </row>
    <row r="2289" spans="6:7">
      <c r="F2289" s="5" t="s">
        <v>4628</v>
      </c>
      <c r="G2289" s="5" t="s">
        <v>4629</v>
      </c>
    </row>
    <row r="2290" spans="6:7">
      <c r="F2290" s="5" t="s">
        <v>4630</v>
      </c>
      <c r="G2290" s="5" t="s">
        <v>4631</v>
      </c>
    </row>
    <row r="2291" spans="6:7">
      <c r="F2291" s="5" t="s">
        <v>4632</v>
      </c>
      <c r="G2291" s="5" t="s">
        <v>4633</v>
      </c>
    </row>
    <row r="2292" spans="6:7">
      <c r="F2292" s="5" t="s">
        <v>4634</v>
      </c>
      <c r="G2292" s="5" t="s">
        <v>4635</v>
      </c>
    </row>
    <row r="2293" spans="6:7">
      <c r="F2293" s="5" t="s">
        <v>4636</v>
      </c>
      <c r="G2293" s="5" t="s">
        <v>4637</v>
      </c>
    </row>
    <row r="2294" spans="6:7">
      <c r="F2294" s="5" t="s">
        <v>4638</v>
      </c>
      <c r="G2294" s="5" t="s">
        <v>4639</v>
      </c>
    </row>
    <row r="2295" spans="6:7">
      <c r="F2295" s="5" t="s">
        <v>4640</v>
      </c>
      <c r="G2295" s="5" t="s">
        <v>4641</v>
      </c>
    </row>
    <row r="2296" spans="6:7">
      <c r="F2296" s="5" t="s">
        <v>4642</v>
      </c>
      <c r="G2296" s="5" t="s">
        <v>4643</v>
      </c>
    </row>
    <row r="2297" spans="6:7">
      <c r="F2297" s="5" t="s">
        <v>4644</v>
      </c>
      <c r="G2297" s="5" t="s">
        <v>4645</v>
      </c>
    </row>
    <row r="2298" spans="6:7">
      <c r="F2298" s="5" t="s">
        <v>4646</v>
      </c>
      <c r="G2298" s="5" t="s">
        <v>4647</v>
      </c>
    </row>
    <row r="2299" spans="6:7">
      <c r="F2299" s="5" t="s">
        <v>4648</v>
      </c>
      <c r="G2299" s="5" t="s">
        <v>4649</v>
      </c>
    </row>
    <row r="2300" spans="6:7">
      <c r="F2300" s="5" t="s">
        <v>4650</v>
      </c>
      <c r="G2300" s="5" t="s">
        <v>4651</v>
      </c>
    </row>
    <row r="2301" spans="6:7">
      <c r="F2301" s="5" t="s">
        <v>4652</v>
      </c>
      <c r="G2301" s="5" t="s">
        <v>4653</v>
      </c>
    </row>
    <row r="2302" spans="6:7">
      <c r="F2302" s="5" t="s">
        <v>4654</v>
      </c>
      <c r="G2302" s="5" t="s">
        <v>4655</v>
      </c>
    </row>
    <row r="2303" spans="6:7">
      <c r="F2303" s="5" t="s">
        <v>4656</v>
      </c>
      <c r="G2303" s="5" t="s">
        <v>4657</v>
      </c>
    </row>
    <row r="2304" spans="6:7">
      <c r="F2304" s="5" t="s">
        <v>4658</v>
      </c>
      <c r="G2304" s="5" t="s">
        <v>4659</v>
      </c>
    </row>
    <row r="2305" spans="6:7">
      <c r="F2305" s="5" t="s">
        <v>4660</v>
      </c>
      <c r="G2305" s="5" t="s">
        <v>4661</v>
      </c>
    </row>
    <row r="2306" spans="6:7">
      <c r="F2306" s="5" t="s">
        <v>4662</v>
      </c>
      <c r="G2306" s="5" t="s">
        <v>4663</v>
      </c>
    </row>
    <row r="2307" spans="6:7">
      <c r="F2307" s="5" t="s">
        <v>4664</v>
      </c>
      <c r="G2307" s="5" t="s">
        <v>4665</v>
      </c>
    </row>
    <row r="2308" spans="6:7">
      <c r="F2308" s="5" t="s">
        <v>4666</v>
      </c>
      <c r="G2308" s="5" t="s">
        <v>4667</v>
      </c>
    </row>
    <row r="2309" spans="6:7">
      <c r="F2309" s="5" t="s">
        <v>4668</v>
      </c>
      <c r="G2309" s="5" t="s">
        <v>4669</v>
      </c>
    </row>
    <row r="2310" spans="6:7">
      <c r="F2310" s="5" t="s">
        <v>4670</v>
      </c>
      <c r="G2310" s="5" t="s">
        <v>4671</v>
      </c>
    </row>
    <row r="2311" spans="6:7">
      <c r="F2311" s="5" t="s">
        <v>4672</v>
      </c>
      <c r="G2311" s="5" t="s">
        <v>4673</v>
      </c>
    </row>
    <row r="2312" spans="6:7">
      <c r="F2312" s="5" t="s">
        <v>4674</v>
      </c>
      <c r="G2312" s="5" t="s">
        <v>4675</v>
      </c>
    </row>
    <row r="2313" spans="6:7">
      <c r="F2313" s="5" t="s">
        <v>4676</v>
      </c>
      <c r="G2313" s="5" t="s">
        <v>4677</v>
      </c>
    </row>
    <row r="2314" spans="6:7">
      <c r="F2314" s="5" t="s">
        <v>4678</v>
      </c>
      <c r="G2314" s="5" t="s">
        <v>4679</v>
      </c>
    </row>
    <row r="2315" spans="6:7">
      <c r="F2315" s="5" t="s">
        <v>4680</v>
      </c>
      <c r="G2315" s="5" t="s">
        <v>4681</v>
      </c>
    </row>
    <row r="2316" spans="6:7">
      <c r="F2316" s="5" t="s">
        <v>4682</v>
      </c>
      <c r="G2316" s="5" t="s">
        <v>4683</v>
      </c>
    </row>
    <row r="2317" spans="6:7">
      <c r="F2317" s="5" t="s">
        <v>4684</v>
      </c>
      <c r="G2317" s="5" t="s">
        <v>4685</v>
      </c>
    </row>
    <row r="2318" spans="6:7">
      <c r="F2318" s="5" t="s">
        <v>4686</v>
      </c>
      <c r="G2318" s="5" t="s">
        <v>4687</v>
      </c>
    </row>
    <row r="2319" spans="6:7">
      <c r="F2319" s="5" t="s">
        <v>4688</v>
      </c>
      <c r="G2319" s="5" t="s">
        <v>4689</v>
      </c>
    </row>
    <row r="2320" spans="6:7">
      <c r="F2320" s="5" t="s">
        <v>4690</v>
      </c>
      <c r="G2320" s="5" t="s">
        <v>4691</v>
      </c>
    </row>
    <row r="2321" spans="6:7">
      <c r="F2321" s="5" t="s">
        <v>4692</v>
      </c>
      <c r="G2321" s="5" t="s">
        <v>4693</v>
      </c>
    </row>
    <row r="2322" spans="6:7">
      <c r="F2322" s="5" t="s">
        <v>4694</v>
      </c>
      <c r="G2322" s="5" t="s">
        <v>4695</v>
      </c>
    </row>
    <row r="2323" spans="6:7">
      <c r="F2323" s="5" t="s">
        <v>4696</v>
      </c>
      <c r="G2323" s="5" t="s">
        <v>4697</v>
      </c>
    </row>
    <row r="2324" spans="6:7">
      <c r="F2324" s="5" t="s">
        <v>4698</v>
      </c>
      <c r="G2324" s="5" t="s">
        <v>4699</v>
      </c>
    </row>
    <row r="2325" spans="6:7">
      <c r="F2325" s="5" t="s">
        <v>4700</v>
      </c>
      <c r="G2325" s="5" t="s">
        <v>4701</v>
      </c>
    </row>
    <row r="2326" spans="6:7">
      <c r="F2326" s="5" t="s">
        <v>4702</v>
      </c>
      <c r="G2326" s="5" t="s">
        <v>4703</v>
      </c>
    </row>
    <row r="2327" spans="6:7">
      <c r="F2327" s="5" t="s">
        <v>4704</v>
      </c>
      <c r="G2327" s="5" t="s">
        <v>4705</v>
      </c>
    </row>
    <row r="2328" spans="6:7">
      <c r="F2328" s="5" t="s">
        <v>4706</v>
      </c>
      <c r="G2328" s="5" t="s">
        <v>4707</v>
      </c>
    </row>
    <row r="2329" spans="6:7">
      <c r="F2329" s="5" t="s">
        <v>4708</v>
      </c>
      <c r="G2329" s="5" t="s">
        <v>4709</v>
      </c>
    </row>
    <row r="2330" spans="6:7">
      <c r="F2330" s="5" t="s">
        <v>4710</v>
      </c>
      <c r="G2330" s="5" t="s">
        <v>4711</v>
      </c>
    </row>
    <row r="2331" spans="6:7">
      <c r="F2331" s="5" t="s">
        <v>4712</v>
      </c>
      <c r="G2331" s="5" t="s">
        <v>4713</v>
      </c>
    </row>
    <row r="2332" spans="6:7">
      <c r="F2332" s="5" t="s">
        <v>4714</v>
      </c>
      <c r="G2332" s="5" t="s">
        <v>4715</v>
      </c>
    </row>
    <row r="2333" spans="6:7">
      <c r="F2333" s="5" t="s">
        <v>4716</v>
      </c>
      <c r="G2333" s="5" t="s">
        <v>4717</v>
      </c>
    </row>
    <row r="2334" spans="6:7">
      <c r="F2334" s="5" t="s">
        <v>4718</v>
      </c>
      <c r="G2334" s="5" t="s">
        <v>4719</v>
      </c>
    </row>
    <row r="2335" spans="6:7">
      <c r="F2335" s="5" t="s">
        <v>4720</v>
      </c>
      <c r="G2335" s="5" t="s">
        <v>4721</v>
      </c>
    </row>
    <row r="2336" spans="6:7">
      <c r="F2336" s="5" t="s">
        <v>4722</v>
      </c>
      <c r="G2336" s="5" t="s">
        <v>4723</v>
      </c>
    </row>
    <row r="2337" spans="6:7">
      <c r="F2337" s="5" t="s">
        <v>4724</v>
      </c>
      <c r="G2337" s="5" t="s">
        <v>4725</v>
      </c>
    </row>
    <row r="2338" spans="6:7">
      <c r="F2338" s="5" t="s">
        <v>4726</v>
      </c>
      <c r="G2338" s="5" t="s">
        <v>4727</v>
      </c>
    </row>
    <row r="2339" spans="6:7">
      <c r="F2339" s="5" t="s">
        <v>4728</v>
      </c>
      <c r="G2339" s="5" t="s">
        <v>4729</v>
      </c>
    </row>
    <row r="2340" spans="6:7">
      <c r="F2340" s="5" t="s">
        <v>4730</v>
      </c>
      <c r="G2340" s="5" t="s">
        <v>4731</v>
      </c>
    </row>
    <row r="2341" spans="6:7">
      <c r="F2341" s="5" t="s">
        <v>4732</v>
      </c>
      <c r="G2341" s="5" t="s">
        <v>4733</v>
      </c>
    </row>
    <row r="2342" spans="6:7">
      <c r="F2342" s="5" t="s">
        <v>4734</v>
      </c>
      <c r="G2342" s="5" t="s">
        <v>4735</v>
      </c>
    </row>
    <row r="2343" spans="6:7">
      <c r="F2343" s="5" t="s">
        <v>4736</v>
      </c>
      <c r="G2343" s="5" t="s">
        <v>4737</v>
      </c>
    </row>
    <row r="2344" spans="6:7">
      <c r="F2344" s="5" t="s">
        <v>4738</v>
      </c>
      <c r="G2344" s="5" t="s">
        <v>4739</v>
      </c>
    </row>
    <row r="2345" spans="6:7">
      <c r="F2345" s="5" t="s">
        <v>4740</v>
      </c>
      <c r="G2345" s="5" t="s">
        <v>4741</v>
      </c>
    </row>
    <row r="2346" spans="6:7">
      <c r="F2346" s="5" t="s">
        <v>4742</v>
      </c>
      <c r="G2346" s="5" t="s">
        <v>4743</v>
      </c>
    </row>
    <row r="2347" spans="6:7">
      <c r="F2347" s="5" t="s">
        <v>4744</v>
      </c>
      <c r="G2347" s="5" t="s">
        <v>4745</v>
      </c>
    </row>
    <row r="2348" spans="6:7">
      <c r="F2348" s="5" t="s">
        <v>4746</v>
      </c>
      <c r="G2348" s="5" t="s">
        <v>4747</v>
      </c>
    </row>
    <row r="2349" spans="6:7">
      <c r="F2349" s="5" t="s">
        <v>4748</v>
      </c>
      <c r="G2349" s="5" t="s">
        <v>4749</v>
      </c>
    </row>
    <row r="2350" spans="6:7">
      <c r="F2350" s="5" t="s">
        <v>4750</v>
      </c>
      <c r="G2350" s="5" t="s">
        <v>4751</v>
      </c>
    </row>
    <row r="2351" spans="6:7">
      <c r="F2351" s="5" t="s">
        <v>4752</v>
      </c>
      <c r="G2351" s="5" t="s">
        <v>4753</v>
      </c>
    </row>
    <row r="2352" spans="6:7">
      <c r="F2352" s="5" t="s">
        <v>4754</v>
      </c>
      <c r="G2352" s="5" t="s">
        <v>4755</v>
      </c>
    </row>
    <row r="2353" spans="6:7">
      <c r="F2353" s="5" t="s">
        <v>4756</v>
      </c>
      <c r="G2353" s="5" t="s">
        <v>4757</v>
      </c>
    </row>
    <row r="2354" spans="6:7">
      <c r="F2354" s="5" t="s">
        <v>4758</v>
      </c>
      <c r="G2354" s="5" t="s">
        <v>4759</v>
      </c>
    </row>
    <row r="2355" spans="6:7">
      <c r="F2355" s="5" t="s">
        <v>4760</v>
      </c>
      <c r="G2355" s="5" t="s">
        <v>4761</v>
      </c>
    </row>
    <row r="2356" spans="6:7">
      <c r="F2356" s="5" t="s">
        <v>4762</v>
      </c>
      <c r="G2356" s="5" t="s">
        <v>4763</v>
      </c>
    </row>
    <row r="2357" spans="6:7">
      <c r="F2357" s="5" t="s">
        <v>4764</v>
      </c>
      <c r="G2357" s="5" t="s">
        <v>4765</v>
      </c>
    </row>
    <row r="2358" spans="6:7">
      <c r="F2358" s="5" t="s">
        <v>4766</v>
      </c>
      <c r="G2358" s="5" t="s">
        <v>4767</v>
      </c>
    </row>
    <row r="2359" spans="6:7">
      <c r="F2359" s="5" t="s">
        <v>4768</v>
      </c>
      <c r="G2359" s="5" t="s">
        <v>4769</v>
      </c>
    </row>
    <row r="2360" spans="6:7">
      <c r="F2360" s="5" t="s">
        <v>4770</v>
      </c>
      <c r="G2360" s="5" t="s">
        <v>4771</v>
      </c>
    </row>
    <row r="2361" spans="6:7">
      <c r="F2361" s="5" t="s">
        <v>4772</v>
      </c>
      <c r="G2361" s="5" t="s">
        <v>4773</v>
      </c>
    </row>
    <row r="2362" spans="6:7">
      <c r="F2362" s="5" t="s">
        <v>4774</v>
      </c>
      <c r="G2362" s="5" t="s">
        <v>4775</v>
      </c>
    </row>
    <row r="2363" spans="6:7">
      <c r="F2363" s="5" t="s">
        <v>4776</v>
      </c>
      <c r="G2363" s="5" t="s">
        <v>4777</v>
      </c>
    </row>
    <row r="2364" spans="6:7">
      <c r="F2364" s="5" t="s">
        <v>4778</v>
      </c>
      <c r="G2364" s="5" t="s">
        <v>4779</v>
      </c>
    </row>
    <row r="2365" spans="6:7">
      <c r="F2365" s="5" t="s">
        <v>4780</v>
      </c>
      <c r="G2365" s="5" t="s">
        <v>4781</v>
      </c>
    </row>
    <row r="2366" spans="6:7">
      <c r="F2366" s="5" t="s">
        <v>4782</v>
      </c>
      <c r="G2366" s="5" t="s">
        <v>4783</v>
      </c>
    </row>
    <row r="2367" spans="6:7">
      <c r="F2367" s="5" t="s">
        <v>4784</v>
      </c>
      <c r="G2367" s="5" t="s">
        <v>4785</v>
      </c>
    </row>
    <row r="2368" spans="6:7">
      <c r="F2368" s="5" t="s">
        <v>4786</v>
      </c>
      <c r="G2368" s="5" t="s">
        <v>4787</v>
      </c>
    </row>
    <row r="2369" spans="6:7">
      <c r="F2369" s="5" t="s">
        <v>4788</v>
      </c>
      <c r="G2369" s="5" t="s">
        <v>4789</v>
      </c>
    </row>
    <row r="2370" spans="6:7">
      <c r="F2370" s="5" t="s">
        <v>4790</v>
      </c>
      <c r="G2370" s="5" t="s">
        <v>4791</v>
      </c>
    </row>
    <row r="2371" spans="6:7">
      <c r="F2371" s="5" t="s">
        <v>4792</v>
      </c>
      <c r="G2371" s="5" t="s">
        <v>4793</v>
      </c>
    </row>
    <row r="2372" spans="6:7">
      <c r="F2372" s="5" t="s">
        <v>4794</v>
      </c>
      <c r="G2372" s="5" t="s">
        <v>4795</v>
      </c>
    </row>
    <row r="2373" spans="6:7">
      <c r="F2373" s="5" t="s">
        <v>4796</v>
      </c>
      <c r="G2373" s="5" t="s">
        <v>4797</v>
      </c>
    </row>
    <row r="2374" spans="6:7">
      <c r="F2374" s="5" t="s">
        <v>4798</v>
      </c>
      <c r="G2374" s="5" t="s">
        <v>4799</v>
      </c>
    </row>
    <row r="2375" spans="6:7">
      <c r="F2375" s="5" t="s">
        <v>4800</v>
      </c>
      <c r="G2375" s="5" t="s">
        <v>4801</v>
      </c>
    </row>
    <row r="2376" spans="6:7">
      <c r="F2376" s="5" t="s">
        <v>4802</v>
      </c>
      <c r="G2376" s="5" t="s">
        <v>4803</v>
      </c>
    </row>
    <row r="2377" spans="6:7">
      <c r="F2377" s="5" t="s">
        <v>4804</v>
      </c>
      <c r="G2377" s="5" t="s">
        <v>4805</v>
      </c>
    </row>
    <row r="2378" spans="6:7">
      <c r="F2378" s="5" t="s">
        <v>4806</v>
      </c>
      <c r="G2378" s="5" t="s">
        <v>4807</v>
      </c>
    </row>
    <row r="2379" spans="6:7">
      <c r="F2379" s="5" t="s">
        <v>4808</v>
      </c>
      <c r="G2379" s="5" t="s">
        <v>4809</v>
      </c>
    </row>
    <row r="2380" spans="6:7">
      <c r="F2380" s="5" t="s">
        <v>4810</v>
      </c>
      <c r="G2380" s="5" t="s">
        <v>4811</v>
      </c>
    </row>
    <row r="2381" spans="6:7">
      <c r="F2381" s="5" t="s">
        <v>4812</v>
      </c>
      <c r="G2381" s="5" t="s">
        <v>4813</v>
      </c>
    </row>
    <row r="2382" spans="6:7">
      <c r="F2382" s="5" t="s">
        <v>4814</v>
      </c>
      <c r="G2382" s="5" t="s">
        <v>4815</v>
      </c>
    </row>
    <row r="2383" spans="6:7">
      <c r="F2383" s="5" t="s">
        <v>4816</v>
      </c>
      <c r="G2383" s="5" t="s">
        <v>4817</v>
      </c>
    </row>
    <row r="2384" spans="6:7">
      <c r="F2384" s="5" t="s">
        <v>4818</v>
      </c>
      <c r="G2384" s="5" t="s">
        <v>4819</v>
      </c>
    </row>
    <row r="2385" spans="6:7">
      <c r="F2385" s="5" t="s">
        <v>4820</v>
      </c>
      <c r="G2385" s="5" t="s">
        <v>4821</v>
      </c>
    </row>
    <row r="2386" spans="6:7">
      <c r="F2386" s="5" t="s">
        <v>4822</v>
      </c>
      <c r="G2386" s="5" t="s">
        <v>4823</v>
      </c>
    </row>
    <row r="2387" spans="6:7">
      <c r="F2387" s="5" t="s">
        <v>4824</v>
      </c>
      <c r="G2387" s="5" t="s">
        <v>4825</v>
      </c>
    </row>
    <row r="2388" spans="6:7">
      <c r="F2388" s="5" t="s">
        <v>4826</v>
      </c>
      <c r="G2388" s="5" t="s">
        <v>4827</v>
      </c>
    </row>
    <row r="2389" spans="6:7">
      <c r="F2389" s="5" t="s">
        <v>4828</v>
      </c>
      <c r="G2389" s="5" t="s">
        <v>4829</v>
      </c>
    </row>
    <row r="2390" spans="6:7">
      <c r="F2390" s="5" t="s">
        <v>4830</v>
      </c>
      <c r="G2390" s="5" t="s">
        <v>4831</v>
      </c>
    </row>
    <row r="2391" spans="6:7">
      <c r="F2391" s="5" t="s">
        <v>4832</v>
      </c>
      <c r="G2391" s="5" t="s">
        <v>4833</v>
      </c>
    </row>
    <row r="2392" spans="6:7">
      <c r="F2392" s="5" t="s">
        <v>4834</v>
      </c>
      <c r="G2392" s="5" t="s">
        <v>4835</v>
      </c>
    </row>
    <row r="2393" spans="6:7">
      <c r="F2393" s="5" t="s">
        <v>4836</v>
      </c>
      <c r="G2393" s="5" t="s">
        <v>4837</v>
      </c>
    </row>
    <row r="2394" spans="6:7">
      <c r="F2394" s="5" t="s">
        <v>4838</v>
      </c>
      <c r="G2394" s="5" t="s">
        <v>4839</v>
      </c>
    </row>
    <row r="2395" spans="6:7">
      <c r="F2395" s="5" t="s">
        <v>4840</v>
      </c>
      <c r="G2395" s="5" t="s">
        <v>4841</v>
      </c>
    </row>
    <row r="2396" spans="6:7">
      <c r="F2396" s="5" t="s">
        <v>4842</v>
      </c>
      <c r="G2396" s="5" t="s">
        <v>4843</v>
      </c>
    </row>
    <row r="2397" spans="6:7">
      <c r="F2397" s="5" t="s">
        <v>4844</v>
      </c>
      <c r="G2397" s="5" t="s">
        <v>4845</v>
      </c>
    </row>
    <row r="2398" spans="6:7">
      <c r="F2398" s="5" t="s">
        <v>4846</v>
      </c>
      <c r="G2398" s="5" t="s">
        <v>4847</v>
      </c>
    </row>
    <row r="2399" spans="6:7">
      <c r="F2399" s="5" t="s">
        <v>4848</v>
      </c>
      <c r="G2399" s="5" t="s">
        <v>4849</v>
      </c>
    </row>
    <row r="2400" spans="6:7">
      <c r="F2400" s="5" t="s">
        <v>4850</v>
      </c>
      <c r="G2400" s="5" t="s">
        <v>4851</v>
      </c>
    </row>
    <row r="2401" spans="6:7">
      <c r="F2401" s="5" t="s">
        <v>4852</v>
      </c>
      <c r="G2401" s="5" t="s">
        <v>4853</v>
      </c>
    </row>
    <row r="2402" spans="6:7">
      <c r="F2402" s="5" t="s">
        <v>4854</v>
      </c>
      <c r="G2402" s="5" t="s">
        <v>4855</v>
      </c>
    </row>
    <row r="2403" spans="6:7">
      <c r="F2403" s="5" t="s">
        <v>4856</v>
      </c>
      <c r="G2403" s="5" t="s">
        <v>4857</v>
      </c>
    </row>
    <row r="2404" spans="6:7">
      <c r="F2404" s="5" t="s">
        <v>4858</v>
      </c>
      <c r="G2404" s="5" t="s">
        <v>4859</v>
      </c>
    </row>
    <row r="2405" spans="6:7">
      <c r="F2405" s="5" t="s">
        <v>4860</v>
      </c>
      <c r="G2405" s="5" t="s">
        <v>4861</v>
      </c>
    </row>
    <row r="2406" spans="6:7">
      <c r="F2406" s="5" t="s">
        <v>4862</v>
      </c>
      <c r="G2406" s="5" t="s">
        <v>4863</v>
      </c>
    </row>
    <row r="2407" spans="6:7">
      <c r="F2407" s="5" t="s">
        <v>4864</v>
      </c>
      <c r="G2407" s="5" t="s">
        <v>4865</v>
      </c>
    </row>
    <row r="2408" spans="6:7">
      <c r="F2408" s="5" t="s">
        <v>4866</v>
      </c>
      <c r="G2408" s="5" t="s">
        <v>4867</v>
      </c>
    </row>
    <row r="2409" spans="6:7">
      <c r="F2409" s="5" t="s">
        <v>4868</v>
      </c>
      <c r="G2409" s="5" t="s">
        <v>4869</v>
      </c>
    </row>
    <row r="2410" spans="6:7">
      <c r="F2410" s="5" t="s">
        <v>4870</v>
      </c>
      <c r="G2410" s="5" t="s">
        <v>4871</v>
      </c>
    </row>
    <row r="2411" spans="6:7">
      <c r="F2411" s="5" t="s">
        <v>4872</v>
      </c>
      <c r="G2411" s="5" t="s">
        <v>4873</v>
      </c>
    </row>
    <row r="2412" spans="6:7">
      <c r="F2412" s="5" t="s">
        <v>4874</v>
      </c>
      <c r="G2412" s="5" t="s">
        <v>4875</v>
      </c>
    </row>
    <row r="2413" spans="6:7">
      <c r="F2413" s="5" t="s">
        <v>4876</v>
      </c>
      <c r="G2413" s="5" t="s">
        <v>4877</v>
      </c>
    </row>
    <row r="2414" spans="6:7">
      <c r="F2414" s="5" t="s">
        <v>4878</v>
      </c>
      <c r="G2414" s="5" t="s">
        <v>4879</v>
      </c>
    </row>
    <row r="2415" spans="6:7">
      <c r="F2415" s="5" t="s">
        <v>4880</v>
      </c>
      <c r="G2415" s="5" t="s">
        <v>4881</v>
      </c>
    </row>
    <row r="2416" spans="6:7">
      <c r="F2416" s="5" t="s">
        <v>4882</v>
      </c>
      <c r="G2416" s="5" t="s">
        <v>4883</v>
      </c>
    </row>
    <row r="2417" spans="6:7">
      <c r="F2417" s="5" t="s">
        <v>4884</v>
      </c>
      <c r="G2417" s="5" t="s">
        <v>4885</v>
      </c>
    </row>
    <row r="2418" spans="6:7">
      <c r="F2418" s="5" t="s">
        <v>4886</v>
      </c>
      <c r="G2418" s="5" t="s">
        <v>4887</v>
      </c>
    </row>
    <row r="2419" spans="6:7">
      <c r="F2419" s="5" t="s">
        <v>4888</v>
      </c>
      <c r="G2419" s="5" t="s">
        <v>4889</v>
      </c>
    </row>
    <row r="2420" spans="6:7">
      <c r="F2420" s="5" t="s">
        <v>4890</v>
      </c>
      <c r="G2420" s="5" t="s">
        <v>4891</v>
      </c>
    </row>
    <row r="2421" spans="6:7">
      <c r="F2421" s="5" t="s">
        <v>4892</v>
      </c>
      <c r="G2421" s="5" t="s">
        <v>4893</v>
      </c>
    </row>
    <row r="2422" spans="6:7">
      <c r="F2422" s="5" t="s">
        <v>4894</v>
      </c>
      <c r="G2422" s="5" t="s">
        <v>4895</v>
      </c>
    </row>
    <row r="2423" spans="6:7">
      <c r="F2423" s="5" t="s">
        <v>4896</v>
      </c>
      <c r="G2423" s="5" t="s">
        <v>4897</v>
      </c>
    </row>
    <row r="2424" spans="6:7">
      <c r="F2424" s="5" t="s">
        <v>4898</v>
      </c>
      <c r="G2424" s="5" t="s">
        <v>4899</v>
      </c>
    </row>
    <row r="2425" spans="6:7">
      <c r="F2425" s="5" t="s">
        <v>4900</v>
      </c>
      <c r="G2425" s="5" t="s">
        <v>4901</v>
      </c>
    </row>
    <row r="2426" spans="6:7">
      <c r="F2426" s="5" t="s">
        <v>4902</v>
      </c>
      <c r="G2426" s="5" t="s">
        <v>4903</v>
      </c>
    </row>
    <row r="2427" spans="6:7">
      <c r="F2427" s="5" t="s">
        <v>4904</v>
      </c>
      <c r="G2427" s="5" t="s">
        <v>4905</v>
      </c>
    </row>
    <row r="2428" spans="6:7">
      <c r="F2428" s="5" t="s">
        <v>4906</v>
      </c>
      <c r="G2428" s="5" t="s">
        <v>4907</v>
      </c>
    </row>
    <row r="2429" spans="6:7">
      <c r="F2429" s="5" t="s">
        <v>4908</v>
      </c>
      <c r="G2429" s="5" t="s">
        <v>4909</v>
      </c>
    </row>
    <row r="2430" spans="6:7">
      <c r="F2430" s="5" t="s">
        <v>4910</v>
      </c>
      <c r="G2430" s="5" t="s">
        <v>4911</v>
      </c>
    </row>
    <row r="2431" spans="6:7">
      <c r="F2431" s="5" t="s">
        <v>4912</v>
      </c>
      <c r="G2431" s="5" t="s">
        <v>4913</v>
      </c>
    </row>
    <row r="2432" spans="6:7">
      <c r="F2432" s="5" t="s">
        <v>4914</v>
      </c>
      <c r="G2432" s="5" t="s">
        <v>4915</v>
      </c>
    </row>
    <row r="2433" spans="6:7">
      <c r="F2433" s="5" t="s">
        <v>4916</v>
      </c>
      <c r="G2433" s="5" t="s">
        <v>4917</v>
      </c>
    </row>
    <row r="2434" spans="6:7">
      <c r="F2434" s="5" t="s">
        <v>4918</v>
      </c>
      <c r="G2434" s="5" t="s">
        <v>4919</v>
      </c>
    </row>
    <row r="2435" spans="6:7">
      <c r="F2435" s="5" t="s">
        <v>4920</v>
      </c>
      <c r="G2435" s="5" t="s">
        <v>4921</v>
      </c>
    </row>
    <row r="2436" spans="6:7">
      <c r="F2436" s="5" t="s">
        <v>4922</v>
      </c>
      <c r="G2436" s="5" t="s">
        <v>4923</v>
      </c>
    </row>
    <row r="2437" spans="6:7">
      <c r="F2437" s="5" t="s">
        <v>4924</v>
      </c>
      <c r="G2437" s="5" t="s">
        <v>4925</v>
      </c>
    </row>
    <row r="2438" spans="6:7">
      <c r="F2438" s="5" t="s">
        <v>4926</v>
      </c>
      <c r="G2438" s="5" t="s">
        <v>4927</v>
      </c>
    </row>
    <row r="2439" spans="6:7">
      <c r="F2439" s="5" t="s">
        <v>4928</v>
      </c>
      <c r="G2439" s="5" t="s">
        <v>4929</v>
      </c>
    </row>
    <row r="2440" spans="6:7">
      <c r="F2440" s="5" t="s">
        <v>4930</v>
      </c>
      <c r="G2440" s="5" t="s">
        <v>4931</v>
      </c>
    </row>
    <row r="2441" spans="6:7">
      <c r="F2441" s="5" t="s">
        <v>4932</v>
      </c>
      <c r="G2441" s="5" t="s">
        <v>4933</v>
      </c>
    </row>
    <row r="2442" spans="6:7">
      <c r="F2442" s="5" t="s">
        <v>4934</v>
      </c>
      <c r="G2442" s="5" t="s">
        <v>4935</v>
      </c>
    </row>
    <row r="2443" spans="6:7">
      <c r="F2443" s="5" t="s">
        <v>4936</v>
      </c>
      <c r="G2443" s="5" t="s">
        <v>4937</v>
      </c>
    </row>
    <row r="2444" spans="6:7">
      <c r="F2444" s="5" t="s">
        <v>4938</v>
      </c>
      <c r="G2444" s="5" t="s">
        <v>4939</v>
      </c>
    </row>
    <row r="2445" spans="6:7">
      <c r="F2445" s="5" t="s">
        <v>4940</v>
      </c>
      <c r="G2445" s="5" t="s">
        <v>4941</v>
      </c>
    </row>
    <row r="2446" spans="6:7">
      <c r="F2446" s="5" t="s">
        <v>4942</v>
      </c>
      <c r="G2446" s="5" t="s">
        <v>4943</v>
      </c>
    </row>
    <row r="2447" spans="6:7">
      <c r="F2447" s="5" t="s">
        <v>4944</v>
      </c>
      <c r="G2447" s="5" t="s">
        <v>4945</v>
      </c>
    </row>
    <row r="2448" spans="6:7">
      <c r="F2448" s="5" t="s">
        <v>4946</v>
      </c>
      <c r="G2448" s="5" t="s">
        <v>4947</v>
      </c>
    </row>
    <row r="2449" spans="6:7">
      <c r="F2449" s="5" t="s">
        <v>4948</v>
      </c>
      <c r="G2449" s="5" t="s">
        <v>4949</v>
      </c>
    </row>
    <row r="2450" spans="6:7">
      <c r="F2450" s="5" t="s">
        <v>4950</v>
      </c>
      <c r="G2450" s="5" t="s">
        <v>4951</v>
      </c>
    </row>
    <row r="2451" spans="6:7">
      <c r="F2451" s="5" t="s">
        <v>4952</v>
      </c>
      <c r="G2451" s="5" t="s">
        <v>4953</v>
      </c>
    </row>
    <row r="2452" spans="6:7">
      <c r="F2452" s="5" t="s">
        <v>4954</v>
      </c>
      <c r="G2452" s="5" t="s">
        <v>4955</v>
      </c>
    </row>
    <row r="2453" spans="6:7">
      <c r="F2453" s="5" t="s">
        <v>4956</v>
      </c>
      <c r="G2453" s="5" t="s">
        <v>4957</v>
      </c>
    </row>
    <row r="2454" spans="6:7">
      <c r="F2454" s="5" t="s">
        <v>4958</v>
      </c>
      <c r="G2454" s="5" t="s">
        <v>4959</v>
      </c>
    </row>
    <row r="2455" spans="6:7">
      <c r="F2455" s="5" t="s">
        <v>4960</v>
      </c>
      <c r="G2455" s="5" t="s">
        <v>4961</v>
      </c>
    </row>
    <row r="2456" spans="6:7">
      <c r="F2456" s="5" t="s">
        <v>4962</v>
      </c>
      <c r="G2456" s="5" t="s">
        <v>4963</v>
      </c>
    </row>
    <row r="2457" spans="6:7">
      <c r="F2457" s="5" t="s">
        <v>4964</v>
      </c>
      <c r="G2457" s="5" t="s">
        <v>4965</v>
      </c>
    </row>
    <row r="2458" spans="6:7">
      <c r="F2458" s="5" t="s">
        <v>4966</v>
      </c>
      <c r="G2458" s="5" t="s">
        <v>4967</v>
      </c>
    </row>
    <row r="2459" spans="6:7">
      <c r="F2459" s="5" t="s">
        <v>4968</v>
      </c>
      <c r="G2459" s="5" t="s">
        <v>4969</v>
      </c>
    </row>
    <row r="2460" spans="6:7">
      <c r="F2460" s="5" t="s">
        <v>4970</v>
      </c>
      <c r="G2460" s="5" t="s">
        <v>4971</v>
      </c>
    </row>
    <row r="2461" spans="6:7">
      <c r="F2461" s="5" t="s">
        <v>4972</v>
      </c>
      <c r="G2461" s="5" t="s">
        <v>4973</v>
      </c>
    </row>
    <row r="2462" spans="6:7">
      <c r="F2462" s="5" t="s">
        <v>4974</v>
      </c>
      <c r="G2462" s="5" t="s">
        <v>4975</v>
      </c>
    </row>
    <row r="2463" spans="6:7">
      <c r="F2463" s="5" t="s">
        <v>4976</v>
      </c>
      <c r="G2463" s="5" t="s">
        <v>4977</v>
      </c>
    </row>
    <row r="2464" spans="6:7">
      <c r="F2464" s="5" t="s">
        <v>4978</v>
      </c>
      <c r="G2464" s="5" t="s">
        <v>4979</v>
      </c>
    </row>
    <row r="2465" spans="6:7">
      <c r="F2465" s="5" t="s">
        <v>4980</v>
      </c>
      <c r="G2465" s="5" t="s">
        <v>4981</v>
      </c>
    </row>
    <row r="2466" spans="6:7">
      <c r="F2466" s="5" t="s">
        <v>4982</v>
      </c>
      <c r="G2466" s="5" t="s">
        <v>4983</v>
      </c>
    </row>
    <row r="2467" spans="6:7">
      <c r="F2467" s="5" t="s">
        <v>4984</v>
      </c>
      <c r="G2467" s="5" t="s">
        <v>4985</v>
      </c>
    </row>
    <row r="2468" spans="6:7">
      <c r="F2468" s="5" t="s">
        <v>4986</v>
      </c>
      <c r="G2468" s="5" t="s">
        <v>4987</v>
      </c>
    </row>
    <row r="2469" spans="6:7">
      <c r="F2469" s="5" t="s">
        <v>4988</v>
      </c>
      <c r="G2469" s="5" t="s">
        <v>4989</v>
      </c>
    </row>
    <row r="2470" spans="6:7">
      <c r="F2470" s="5" t="s">
        <v>4990</v>
      </c>
      <c r="G2470" s="5" t="s">
        <v>4991</v>
      </c>
    </row>
    <row r="2471" spans="6:7">
      <c r="F2471" s="5" t="s">
        <v>4992</v>
      </c>
      <c r="G2471" s="5" t="s">
        <v>4993</v>
      </c>
    </row>
    <row r="2472" spans="6:7">
      <c r="F2472" s="5" t="s">
        <v>4994</v>
      </c>
      <c r="G2472" s="5" t="s">
        <v>4995</v>
      </c>
    </row>
    <row r="2473" spans="6:7">
      <c r="F2473" s="5" t="s">
        <v>4996</v>
      </c>
      <c r="G2473" s="5" t="s">
        <v>4997</v>
      </c>
    </row>
    <row r="2474" spans="6:7">
      <c r="F2474" s="5" t="s">
        <v>4998</v>
      </c>
      <c r="G2474" s="5" t="s">
        <v>4999</v>
      </c>
    </row>
    <row r="2475" spans="6:7">
      <c r="F2475" s="5" t="s">
        <v>5000</v>
      </c>
      <c r="G2475" s="5" t="s">
        <v>5001</v>
      </c>
    </row>
    <row r="2476" spans="6:7">
      <c r="F2476" s="5" t="s">
        <v>5002</v>
      </c>
      <c r="G2476" s="5" t="s">
        <v>5003</v>
      </c>
    </row>
    <row r="2477" spans="6:7">
      <c r="F2477" s="5" t="s">
        <v>5004</v>
      </c>
      <c r="G2477" s="5" t="s">
        <v>5005</v>
      </c>
    </row>
    <row r="2478" spans="6:7">
      <c r="F2478" s="5" t="s">
        <v>5006</v>
      </c>
      <c r="G2478" s="5" t="s">
        <v>5007</v>
      </c>
    </row>
    <row r="2479" spans="6:7">
      <c r="F2479" s="5" t="s">
        <v>5008</v>
      </c>
      <c r="G2479" s="5" t="s">
        <v>5009</v>
      </c>
    </row>
    <row r="2480" spans="6:7">
      <c r="F2480" s="5" t="s">
        <v>5010</v>
      </c>
      <c r="G2480" s="5" t="s">
        <v>5011</v>
      </c>
    </row>
    <row r="2481" spans="6:7">
      <c r="F2481" s="5" t="s">
        <v>5012</v>
      </c>
      <c r="G2481" s="5" t="s">
        <v>5013</v>
      </c>
    </row>
    <row r="2482" spans="6:7">
      <c r="F2482" s="5" t="s">
        <v>5014</v>
      </c>
      <c r="G2482" s="5" t="s">
        <v>5015</v>
      </c>
    </row>
    <row r="2483" spans="6:7">
      <c r="F2483" s="5" t="s">
        <v>5016</v>
      </c>
      <c r="G2483" s="5" t="s">
        <v>5017</v>
      </c>
    </row>
    <row r="2484" spans="6:7">
      <c r="F2484" s="5" t="s">
        <v>5018</v>
      </c>
      <c r="G2484" s="5" t="s">
        <v>5019</v>
      </c>
    </row>
    <row r="2485" spans="6:7">
      <c r="F2485" s="5" t="s">
        <v>5020</v>
      </c>
      <c r="G2485" s="5" t="s">
        <v>5021</v>
      </c>
    </row>
    <row r="2486" spans="6:7">
      <c r="F2486" s="5" t="s">
        <v>5022</v>
      </c>
      <c r="G2486" s="5" t="s">
        <v>5023</v>
      </c>
    </row>
    <row r="2487" spans="6:7">
      <c r="F2487" s="5" t="s">
        <v>5024</v>
      </c>
      <c r="G2487" s="5" t="s">
        <v>5025</v>
      </c>
    </row>
    <row r="2488" spans="6:7">
      <c r="F2488" s="5" t="s">
        <v>5026</v>
      </c>
      <c r="G2488" s="5" t="s">
        <v>5027</v>
      </c>
    </row>
    <row r="2489" spans="6:7">
      <c r="F2489" s="5" t="s">
        <v>5028</v>
      </c>
      <c r="G2489" s="5" t="s">
        <v>5029</v>
      </c>
    </row>
    <row r="2490" spans="6:7">
      <c r="F2490" s="5" t="s">
        <v>5030</v>
      </c>
      <c r="G2490" s="5" t="s">
        <v>5031</v>
      </c>
    </row>
    <row r="2491" spans="6:7">
      <c r="F2491" s="5" t="s">
        <v>5032</v>
      </c>
      <c r="G2491" s="5" t="s">
        <v>5033</v>
      </c>
    </row>
    <row r="2492" spans="6:7">
      <c r="F2492" s="5" t="s">
        <v>5034</v>
      </c>
      <c r="G2492" s="5" t="s">
        <v>5035</v>
      </c>
    </row>
    <row r="2493" spans="6:7">
      <c r="F2493" s="5" t="s">
        <v>5036</v>
      </c>
      <c r="G2493" s="5" t="s">
        <v>5037</v>
      </c>
    </row>
    <row r="2494" spans="6:7">
      <c r="F2494" s="5" t="s">
        <v>5038</v>
      </c>
      <c r="G2494" s="5" t="s">
        <v>5039</v>
      </c>
    </row>
    <row r="2495" spans="6:7">
      <c r="F2495" s="5" t="s">
        <v>5040</v>
      </c>
      <c r="G2495" s="5" t="s">
        <v>5041</v>
      </c>
    </row>
    <row r="2496" spans="6:7">
      <c r="F2496" s="5" t="s">
        <v>5042</v>
      </c>
      <c r="G2496" s="5" t="s">
        <v>5043</v>
      </c>
    </row>
    <row r="2497" spans="6:7">
      <c r="F2497" s="5" t="s">
        <v>5044</v>
      </c>
      <c r="G2497" s="5" t="s">
        <v>5045</v>
      </c>
    </row>
    <row r="2498" spans="6:7">
      <c r="F2498" s="5" t="s">
        <v>5046</v>
      </c>
      <c r="G2498" s="5" t="s">
        <v>5047</v>
      </c>
    </row>
    <row r="2499" spans="6:7">
      <c r="F2499" s="5" t="s">
        <v>5048</v>
      </c>
      <c r="G2499" s="5" t="s">
        <v>5049</v>
      </c>
    </row>
    <row r="2500" spans="6:7">
      <c r="F2500" s="5" t="s">
        <v>5050</v>
      </c>
      <c r="G2500" s="5" t="s">
        <v>5051</v>
      </c>
    </row>
    <row r="2501" spans="6:7">
      <c r="F2501" s="5" t="s">
        <v>5052</v>
      </c>
      <c r="G2501" s="5" t="s">
        <v>5053</v>
      </c>
    </row>
    <row r="2502" spans="6:7">
      <c r="F2502" s="5" t="s">
        <v>5054</v>
      </c>
      <c r="G2502" s="5" t="s">
        <v>5055</v>
      </c>
    </row>
    <row r="2503" spans="6:7">
      <c r="F2503" s="5" t="s">
        <v>5056</v>
      </c>
      <c r="G2503" s="5" t="s">
        <v>5057</v>
      </c>
    </row>
    <row r="2504" spans="6:7">
      <c r="F2504" s="5" t="s">
        <v>5058</v>
      </c>
      <c r="G2504" s="5" t="s">
        <v>5059</v>
      </c>
    </row>
    <row r="2505" spans="6:7">
      <c r="F2505" s="5" t="s">
        <v>5060</v>
      </c>
      <c r="G2505" s="5" t="s">
        <v>5061</v>
      </c>
    </row>
    <row r="2506" spans="6:7">
      <c r="F2506" s="5" t="s">
        <v>5062</v>
      </c>
      <c r="G2506" s="5" t="s">
        <v>5063</v>
      </c>
    </row>
    <row r="2507" spans="6:7">
      <c r="F2507" s="5" t="s">
        <v>5064</v>
      </c>
      <c r="G2507" s="5" t="s">
        <v>5065</v>
      </c>
    </row>
    <row r="2508" spans="6:7">
      <c r="F2508" s="5" t="s">
        <v>5066</v>
      </c>
      <c r="G2508" s="5" t="s">
        <v>5067</v>
      </c>
    </row>
    <row r="2509" spans="6:7">
      <c r="F2509" s="5" t="s">
        <v>5068</v>
      </c>
      <c r="G2509" s="5" t="s">
        <v>5069</v>
      </c>
    </row>
    <row r="2510" spans="6:7">
      <c r="F2510" s="5" t="s">
        <v>5070</v>
      </c>
      <c r="G2510" s="5" t="s">
        <v>5071</v>
      </c>
    </row>
    <row r="2511" spans="6:7">
      <c r="F2511" s="5" t="s">
        <v>5072</v>
      </c>
      <c r="G2511" s="5" t="s">
        <v>5073</v>
      </c>
    </row>
    <row r="2512" spans="6:7">
      <c r="F2512" s="5" t="s">
        <v>5074</v>
      </c>
      <c r="G2512" s="5" t="s">
        <v>5075</v>
      </c>
    </row>
    <row r="2513" spans="6:7">
      <c r="F2513" s="5" t="s">
        <v>5076</v>
      </c>
      <c r="G2513" s="5" t="s">
        <v>5077</v>
      </c>
    </row>
    <row r="2514" spans="6:7">
      <c r="F2514" s="5" t="s">
        <v>5078</v>
      </c>
      <c r="G2514" s="5" t="s">
        <v>5079</v>
      </c>
    </row>
    <row r="2515" spans="6:7">
      <c r="F2515" s="5" t="s">
        <v>5080</v>
      </c>
      <c r="G2515" s="5" t="s">
        <v>5081</v>
      </c>
    </row>
    <row r="2516" spans="6:7">
      <c r="F2516" s="5" t="s">
        <v>5082</v>
      </c>
      <c r="G2516" s="5" t="s">
        <v>5083</v>
      </c>
    </row>
    <row r="2517" spans="6:7">
      <c r="F2517" s="5" t="s">
        <v>5084</v>
      </c>
      <c r="G2517" s="5" t="s">
        <v>5085</v>
      </c>
    </row>
    <row r="2518" spans="6:7">
      <c r="F2518" s="5" t="s">
        <v>5086</v>
      </c>
      <c r="G2518" s="5" t="s">
        <v>5087</v>
      </c>
    </row>
    <row r="2519" spans="6:7">
      <c r="F2519" s="5" t="s">
        <v>5088</v>
      </c>
      <c r="G2519" s="5" t="s">
        <v>5089</v>
      </c>
    </row>
    <row r="2520" spans="6:7">
      <c r="F2520" s="5" t="s">
        <v>5090</v>
      </c>
      <c r="G2520" s="5" t="s">
        <v>5091</v>
      </c>
    </row>
    <row r="2521" spans="6:7">
      <c r="F2521" s="5" t="s">
        <v>5092</v>
      </c>
      <c r="G2521" s="5" t="s">
        <v>5093</v>
      </c>
    </row>
    <row r="2522" spans="6:7">
      <c r="F2522" s="5" t="s">
        <v>5094</v>
      </c>
      <c r="G2522" s="5" t="s">
        <v>5095</v>
      </c>
    </row>
    <row r="2523" spans="6:7">
      <c r="F2523" s="5" t="s">
        <v>5096</v>
      </c>
      <c r="G2523" s="5" t="s">
        <v>5097</v>
      </c>
    </row>
    <row r="2524" spans="6:7">
      <c r="F2524" s="5" t="s">
        <v>5098</v>
      </c>
      <c r="G2524" s="5" t="s">
        <v>5099</v>
      </c>
    </row>
    <row r="2525" spans="6:7">
      <c r="F2525" s="5" t="s">
        <v>5100</v>
      </c>
      <c r="G2525" s="5" t="s">
        <v>5101</v>
      </c>
    </row>
    <row r="2526" spans="6:7">
      <c r="F2526" s="5" t="s">
        <v>5102</v>
      </c>
      <c r="G2526" s="5" t="s">
        <v>5103</v>
      </c>
    </row>
    <row r="2527" spans="6:7">
      <c r="F2527" s="5" t="s">
        <v>5104</v>
      </c>
      <c r="G2527" s="5" t="s">
        <v>5105</v>
      </c>
    </row>
    <row r="2528" spans="6:7">
      <c r="F2528" s="5" t="s">
        <v>5106</v>
      </c>
      <c r="G2528" s="5" t="s">
        <v>5107</v>
      </c>
    </row>
    <row r="2529" spans="6:7">
      <c r="F2529" s="5" t="s">
        <v>5108</v>
      </c>
      <c r="G2529" s="5" t="s">
        <v>5109</v>
      </c>
    </row>
    <row r="2530" spans="6:7">
      <c r="F2530" s="5" t="s">
        <v>5110</v>
      </c>
      <c r="G2530" s="5" t="s">
        <v>5111</v>
      </c>
    </row>
    <row r="2531" spans="6:7">
      <c r="F2531" s="5" t="s">
        <v>5112</v>
      </c>
      <c r="G2531" s="5" t="s">
        <v>5113</v>
      </c>
    </row>
    <row r="2532" spans="6:7">
      <c r="F2532" s="5" t="s">
        <v>5114</v>
      </c>
      <c r="G2532" s="5" t="s">
        <v>5115</v>
      </c>
    </row>
    <row r="2533" spans="6:7">
      <c r="F2533" s="5" t="s">
        <v>5116</v>
      </c>
      <c r="G2533" s="5" t="s">
        <v>5117</v>
      </c>
    </row>
    <row r="2534" spans="6:7">
      <c r="F2534" s="5" t="s">
        <v>5118</v>
      </c>
      <c r="G2534" s="5" t="s">
        <v>5119</v>
      </c>
    </row>
    <row r="2535" spans="6:7">
      <c r="F2535" s="5" t="s">
        <v>5120</v>
      </c>
      <c r="G2535" s="5" t="s">
        <v>5121</v>
      </c>
    </row>
    <row r="2536" spans="6:7">
      <c r="F2536" s="5" t="s">
        <v>5122</v>
      </c>
      <c r="G2536" s="5" t="s">
        <v>5123</v>
      </c>
    </row>
    <row r="2537" spans="6:7">
      <c r="F2537" s="5" t="s">
        <v>5124</v>
      </c>
      <c r="G2537" s="5" t="s">
        <v>5125</v>
      </c>
    </row>
    <row r="2538" spans="6:7">
      <c r="F2538" s="5" t="s">
        <v>5126</v>
      </c>
      <c r="G2538" s="5" t="s">
        <v>5127</v>
      </c>
    </row>
    <row r="2539" spans="6:7">
      <c r="F2539" s="5" t="s">
        <v>5128</v>
      </c>
      <c r="G2539" s="5" t="s">
        <v>5129</v>
      </c>
    </row>
    <row r="2540" spans="6:7">
      <c r="F2540" s="5" t="s">
        <v>5130</v>
      </c>
      <c r="G2540" s="5" t="s">
        <v>5131</v>
      </c>
    </row>
    <row r="2541" spans="6:7">
      <c r="F2541" s="5" t="s">
        <v>5132</v>
      </c>
      <c r="G2541" s="5" t="s">
        <v>5133</v>
      </c>
    </row>
    <row r="2542" spans="6:7">
      <c r="F2542" s="5" t="s">
        <v>5134</v>
      </c>
      <c r="G2542" s="5" t="s">
        <v>5135</v>
      </c>
    </row>
    <row r="2543" spans="6:7">
      <c r="F2543" s="5" t="s">
        <v>5136</v>
      </c>
      <c r="G2543" s="5" t="s">
        <v>5137</v>
      </c>
    </row>
    <row r="2544" spans="6:7">
      <c r="F2544" s="5" t="s">
        <v>5138</v>
      </c>
      <c r="G2544" s="5" t="s">
        <v>5139</v>
      </c>
    </row>
    <row r="2545" spans="6:7">
      <c r="F2545" s="5" t="s">
        <v>5140</v>
      </c>
      <c r="G2545" s="5" t="s">
        <v>5141</v>
      </c>
    </row>
    <row r="2546" spans="6:7">
      <c r="F2546" s="5" t="s">
        <v>5142</v>
      </c>
      <c r="G2546" s="5" t="s">
        <v>5143</v>
      </c>
    </row>
    <row r="2547" spans="6:7">
      <c r="F2547" s="5" t="s">
        <v>5144</v>
      </c>
      <c r="G2547" s="5" t="s">
        <v>5145</v>
      </c>
    </row>
    <row r="2548" spans="6:7">
      <c r="F2548" s="5" t="s">
        <v>5146</v>
      </c>
      <c r="G2548" s="5" t="s">
        <v>5147</v>
      </c>
    </row>
    <row r="2549" spans="6:7">
      <c r="F2549" s="5" t="s">
        <v>5148</v>
      </c>
      <c r="G2549" s="5" t="s">
        <v>5149</v>
      </c>
    </row>
    <row r="2550" spans="6:7">
      <c r="F2550" s="5" t="s">
        <v>5150</v>
      </c>
      <c r="G2550" s="5" t="s">
        <v>5151</v>
      </c>
    </row>
    <row r="2551" spans="6:7">
      <c r="F2551" s="5" t="s">
        <v>5152</v>
      </c>
      <c r="G2551" s="5" t="s">
        <v>5153</v>
      </c>
    </row>
    <row r="2552" spans="6:7">
      <c r="F2552" s="5" t="s">
        <v>5154</v>
      </c>
      <c r="G2552" s="5" t="s">
        <v>5155</v>
      </c>
    </row>
    <row r="2553" spans="6:7">
      <c r="F2553" s="5" t="s">
        <v>5156</v>
      </c>
      <c r="G2553" s="5" t="s">
        <v>5157</v>
      </c>
    </row>
    <row r="2554" spans="6:7">
      <c r="F2554" s="5" t="s">
        <v>5158</v>
      </c>
      <c r="G2554" s="5" t="s">
        <v>5159</v>
      </c>
    </row>
    <row r="2555" spans="6:7">
      <c r="F2555" s="5" t="s">
        <v>5160</v>
      </c>
      <c r="G2555" s="5" t="s">
        <v>5161</v>
      </c>
    </row>
    <row r="2556" spans="6:7">
      <c r="F2556" s="5" t="s">
        <v>5162</v>
      </c>
      <c r="G2556" s="5" t="s">
        <v>5163</v>
      </c>
    </row>
    <row r="2557" spans="6:7">
      <c r="F2557" s="5" t="s">
        <v>5164</v>
      </c>
      <c r="G2557" s="5" t="s">
        <v>5165</v>
      </c>
    </row>
    <row r="2558" spans="6:7">
      <c r="F2558" s="5" t="s">
        <v>5166</v>
      </c>
      <c r="G2558" s="5" t="s">
        <v>5167</v>
      </c>
    </row>
    <row r="2559" spans="6:7">
      <c r="F2559" s="5" t="s">
        <v>5168</v>
      </c>
      <c r="G2559" s="5" t="s">
        <v>5169</v>
      </c>
    </row>
    <row r="2560" spans="6:7">
      <c r="F2560" s="5" t="s">
        <v>5170</v>
      </c>
      <c r="G2560" s="5" t="s">
        <v>5171</v>
      </c>
    </row>
    <row r="2561" spans="6:7">
      <c r="F2561" s="5" t="s">
        <v>5172</v>
      </c>
      <c r="G2561" s="5" t="s">
        <v>5173</v>
      </c>
    </row>
    <row r="2562" spans="6:7">
      <c r="F2562" s="5" t="s">
        <v>5174</v>
      </c>
      <c r="G2562" s="5" t="s">
        <v>5175</v>
      </c>
    </row>
    <row r="2563" spans="6:7">
      <c r="F2563" s="5" t="s">
        <v>5176</v>
      </c>
      <c r="G2563" s="5" t="s">
        <v>5177</v>
      </c>
    </row>
    <row r="2564" spans="6:7">
      <c r="F2564" s="5" t="s">
        <v>5178</v>
      </c>
      <c r="G2564" s="5" t="s">
        <v>5179</v>
      </c>
    </row>
    <row r="2565" spans="6:7">
      <c r="F2565" s="5" t="s">
        <v>5180</v>
      </c>
      <c r="G2565" s="5" t="s">
        <v>5181</v>
      </c>
    </row>
    <row r="2566" spans="6:7">
      <c r="F2566" s="5" t="s">
        <v>5182</v>
      </c>
      <c r="G2566" s="5" t="s">
        <v>5183</v>
      </c>
    </row>
    <row r="2567" spans="6:7">
      <c r="F2567" s="5" t="s">
        <v>5184</v>
      </c>
      <c r="G2567" s="5" t="s">
        <v>5185</v>
      </c>
    </row>
    <row r="2568" spans="6:7">
      <c r="F2568" s="5" t="s">
        <v>5186</v>
      </c>
      <c r="G2568" s="5" t="s">
        <v>5187</v>
      </c>
    </row>
    <row r="2569" spans="6:7">
      <c r="F2569" s="5" t="s">
        <v>5188</v>
      </c>
      <c r="G2569" s="5" t="s">
        <v>5189</v>
      </c>
    </row>
    <row r="2570" spans="6:7">
      <c r="F2570" s="5" t="s">
        <v>5190</v>
      </c>
      <c r="G2570" s="5" t="s">
        <v>5191</v>
      </c>
    </row>
    <row r="2571" spans="6:7">
      <c r="F2571" s="5" t="s">
        <v>5192</v>
      </c>
      <c r="G2571" s="5" t="s">
        <v>5193</v>
      </c>
    </row>
    <row r="2572" spans="6:7">
      <c r="F2572" s="5" t="s">
        <v>5194</v>
      </c>
      <c r="G2572" s="5" t="s">
        <v>5195</v>
      </c>
    </row>
    <row r="2573" spans="6:7">
      <c r="F2573" s="5" t="s">
        <v>5196</v>
      </c>
      <c r="G2573" s="5" t="s">
        <v>5197</v>
      </c>
    </row>
    <row r="2574" spans="6:7">
      <c r="F2574" s="5" t="s">
        <v>5198</v>
      </c>
      <c r="G2574" s="5" t="s">
        <v>5199</v>
      </c>
    </row>
    <row r="2575" spans="6:7">
      <c r="F2575" s="5" t="s">
        <v>5200</v>
      </c>
      <c r="G2575" s="5" t="s">
        <v>5201</v>
      </c>
    </row>
    <row r="2576" spans="6:7">
      <c r="F2576" s="5" t="s">
        <v>5202</v>
      </c>
      <c r="G2576" s="5" t="s">
        <v>5203</v>
      </c>
    </row>
    <row r="2577" spans="6:7">
      <c r="F2577" s="5" t="s">
        <v>5204</v>
      </c>
      <c r="G2577" s="5" t="s">
        <v>5205</v>
      </c>
    </row>
    <row r="2578" spans="6:7">
      <c r="F2578" s="5" t="s">
        <v>5206</v>
      </c>
      <c r="G2578" s="5" t="s">
        <v>5207</v>
      </c>
    </row>
    <row r="2579" spans="6:7">
      <c r="F2579" s="5" t="s">
        <v>5208</v>
      </c>
      <c r="G2579" s="5" t="s">
        <v>5209</v>
      </c>
    </row>
    <row r="2580" spans="6:7">
      <c r="F2580" s="5" t="s">
        <v>5210</v>
      </c>
      <c r="G2580" s="5" t="s">
        <v>5211</v>
      </c>
    </row>
    <row r="2581" spans="6:7">
      <c r="F2581" s="5" t="s">
        <v>5212</v>
      </c>
      <c r="G2581" s="5" t="s">
        <v>5213</v>
      </c>
    </row>
    <row r="2582" spans="6:7">
      <c r="F2582" s="5" t="s">
        <v>5214</v>
      </c>
      <c r="G2582" s="5" t="s">
        <v>5215</v>
      </c>
    </row>
    <row r="2583" spans="6:7">
      <c r="F2583" s="5" t="s">
        <v>5216</v>
      </c>
      <c r="G2583" s="5" t="s">
        <v>5217</v>
      </c>
    </row>
    <row r="2584" spans="6:7">
      <c r="F2584" s="5" t="s">
        <v>5218</v>
      </c>
      <c r="G2584" s="5" t="s">
        <v>5219</v>
      </c>
    </row>
    <row r="2585" spans="6:7">
      <c r="F2585" s="5" t="s">
        <v>5220</v>
      </c>
      <c r="G2585" s="5" t="s">
        <v>5221</v>
      </c>
    </row>
    <row r="2586" spans="6:7">
      <c r="F2586" s="5" t="s">
        <v>5222</v>
      </c>
      <c r="G2586" s="5" t="s">
        <v>5223</v>
      </c>
    </row>
    <row r="2587" spans="6:7">
      <c r="F2587" s="5" t="s">
        <v>5224</v>
      </c>
      <c r="G2587" s="5" t="s">
        <v>5225</v>
      </c>
    </row>
    <row r="2588" spans="6:7">
      <c r="F2588" s="5" t="s">
        <v>5226</v>
      </c>
      <c r="G2588" s="5" t="s">
        <v>5227</v>
      </c>
    </row>
    <row r="2589" spans="6:7">
      <c r="F2589" s="5" t="s">
        <v>5228</v>
      </c>
      <c r="G2589" s="5" t="s">
        <v>5229</v>
      </c>
    </row>
    <row r="2590" spans="6:7">
      <c r="F2590" s="5" t="s">
        <v>5230</v>
      </c>
      <c r="G2590" s="5" t="s">
        <v>5231</v>
      </c>
    </row>
    <row r="2591" spans="6:7">
      <c r="F2591" s="5" t="s">
        <v>5232</v>
      </c>
      <c r="G2591" s="5" t="s">
        <v>5233</v>
      </c>
    </row>
    <row r="2592" spans="6:7">
      <c r="F2592" s="5" t="s">
        <v>5234</v>
      </c>
      <c r="G2592" s="5" t="s">
        <v>5235</v>
      </c>
    </row>
    <row r="2593" spans="6:7">
      <c r="F2593" s="5" t="s">
        <v>5236</v>
      </c>
      <c r="G2593" s="5" t="s">
        <v>5237</v>
      </c>
    </row>
    <row r="2594" spans="6:7">
      <c r="F2594" s="5" t="s">
        <v>5238</v>
      </c>
      <c r="G2594" s="5" t="s">
        <v>5239</v>
      </c>
    </row>
    <row r="2595" spans="6:7">
      <c r="F2595" s="5" t="s">
        <v>5240</v>
      </c>
      <c r="G2595" s="5" t="s">
        <v>5241</v>
      </c>
    </row>
    <row r="2596" spans="6:7">
      <c r="F2596" s="5" t="s">
        <v>5242</v>
      </c>
      <c r="G2596" s="5" t="s">
        <v>5243</v>
      </c>
    </row>
    <row r="2597" spans="6:7">
      <c r="F2597" s="5" t="s">
        <v>5244</v>
      </c>
      <c r="G2597" s="5" t="s">
        <v>5245</v>
      </c>
    </row>
    <row r="2598" spans="6:7">
      <c r="F2598" s="5" t="s">
        <v>5246</v>
      </c>
      <c r="G2598" s="5" t="s">
        <v>5247</v>
      </c>
    </row>
    <row r="2599" spans="6:7">
      <c r="F2599" s="5" t="s">
        <v>5248</v>
      </c>
      <c r="G2599" s="5" t="s">
        <v>5249</v>
      </c>
    </row>
    <row r="2600" spans="6:7">
      <c r="F2600" s="5" t="s">
        <v>5250</v>
      </c>
      <c r="G2600" s="5" t="s">
        <v>5251</v>
      </c>
    </row>
    <row r="2601" spans="6:7">
      <c r="F2601" s="5" t="s">
        <v>5252</v>
      </c>
      <c r="G2601" s="5" t="s">
        <v>5253</v>
      </c>
    </row>
    <row r="2602" spans="6:7">
      <c r="F2602" s="5" t="s">
        <v>5254</v>
      </c>
      <c r="G2602" s="5" t="s">
        <v>5255</v>
      </c>
    </row>
    <row r="2603" spans="6:7">
      <c r="F2603" s="5" t="s">
        <v>5256</v>
      </c>
      <c r="G2603" s="5" t="s">
        <v>5257</v>
      </c>
    </row>
    <row r="2604" spans="6:7">
      <c r="F2604" s="5" t="s">
        <v>5258</v>
      </c>
      <c r="G2604" s="5" t="s">
        <v>5259</v>
      </c>
    </row>
    <row r="2605" spans="6:7">
      <c r="F2605" s="5" t="s">
        <v>5260</v>
      </c>
      <c r="G2605" s="5" t="s">
        <v>5261</v>
      </c>
    </row>
    <row r="2606" spans="6:7">
      <c r="F2606" s="5" t="s">
        <v>5262</v>
      </c>
      <c r="G2606" s="5" t="s">
        <v>5263</v>
      </c>
    </row>
    <row r="2607" spans="6:7">
      <c r="F2607" s="5" t="s">
        <v>5264</v>
      </c>
      <c r="G2607" s="5" t="s">
        <v>5265</v>
      </c>
    </row>
    <row r="2608" spans="6:7">
      <c r="F2608" s="5" t="s">
        <v>5266</v>
      </c>
      <c r="G2608" s="5" t="s">
        <v>5267</v>
      </c>
    </row>
    <row r="2609" spans="6:7">
      <c r="F2609" s="5" t="s">
        <v>5268</v>
      </c>
      <c r="G2609" s="5" t="s">
        <v>5269</v>
      </c>
    </row>
    <row r="2610" spans="6:7">
      <c r="F2610" s="12" t="s">
        <v>5270</v>
      </c>
      <c r="G2610" s="12" t="s">
        <v>5271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03788512702C41A2E95271A9F046E9" ma:contentTypeVersion="16" ma:contentTypeDescription="Crée un document." ma:contentTypeScope="" ma:versionID="f0afe03f728da7914a46dea3a469f548">
  <xsd:schema xmlns:xsd="http://www.w3.org/2001/XMLSchema" xmlns:xs="http://www.w3.org/2001/XMLSchema" xmlns:p="http://schemas.microsoft.com/office/2006/metadata/properties" xmlns:ns3="0b37875a-6dd4-4294-9870-31d255f9e657" xmlns:ns4="07edef44-68ab-4af5-a2b4-2dff0a72b350" targetNamespace="http://schemas.microsoft.com/office/2006/metadata/properties" ma:root="true" ma:fieldsID="80cee27eaa79f538a847a0616dedc909" ns3:_="" ns4:_="">
    <xsd:import namespace="0b37875a-6dd4-4294-9870-31d255f9e657"/>
    <xsd:import namespace="07edef44-68ab-4af5-a2b4-2dff0a72b3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7875a-6dd4-4294-9870-31d255f9e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def44-68ab-4af5-a2b4-2dff0a72b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37875a-6dd4-4294-9870-31d255f9e657" xsi:nil="true"/>
  </documentManagement>
</p:properties>
</file>

<file path=customXml/itemProps1.xml><?xml version="1.0" encoding="utf-8"?>
<ds:datastoreItem xmlns:ds="http://schemas.openxmlformats.org/officeDocument/2006/customXml" ds:itemID="{D8810137-0F38-4B1F-98FA-8D882A5745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622D9E-6C1C-404C-892A-9D2D28E9F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37875a-6dd4-4294-9870-31d255f9e657"/>
    <ds:schemaRef ds:uri="07edef44-68ab-4af5-a2b4-2dff0a72b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5645A-DE5E-4EFD-8B99-7271C2528C24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0b37875a-6dd4-4294-9870-31d255f9e657"/>
    <ds:schemaRef ds:uri="http://www.w3.org/XML/1998/namespace"/>
    <ds:schemaRef ds:uri="http://schemas.microsoft.com/office/2006/documentManagement/types"/>
    <ds:schemaRef ds:uri="07edef44-68ab-4af5-a2b4-2dff0a72b35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Monotonic-0-degree (version 2).</vt:lpstr>
      <vt:lpstr>Nanomaterial_TD3</vt:lpstr>
      <vt:lpstr>For_Abaqus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KENGNE WAFO Clémentine</cp:lastModifiedBy>
  <dcterms:created xsi:type="dcterms:W3CDTF">2025-11-20T09:41:48Z</dcterms:created>
  <dcterms:modified xsi:type="dcterms:W3CDTF">2026-01-07T12:06:44Z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0x010100A803788512702C41A2E95271A9F046E9</vt:lpwstr>
  </property>
</Properties>
</file>